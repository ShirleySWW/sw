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olors2.xml" ContentType="application/vnd.ms-office.chartcolorsty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pivotTables/pivotTable3.xml" ContentType="application/vnd.openxmlformats-officedocument.spreadsheetml.pivot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xl/vbaProjectSignature.bin" ContentType="application/vnd.ms-office.vbaProjectSignature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connections.xml" ContentType="application/vnd.openxmlformats-officedocument.spreadsheetml.connections+xml"/>
  <Override PartName="/xl/metadata.xml" ContentType="application/vnd.openxmlformats-officedocument.spreadsheetml.sheetMetadata+xml"/>
  <Override PartName="/xl/tables/table3.xml" ContentType="application/vnd.openxmlformats-officedocument.spreadsheetml.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tables/table11.xml" ContentType="application/vnd.openxmlformats-officedocument.spreadsheetml.table+xml"/>
  <Override PartName="/xl/tables/table10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2.xml" ContentType="application/vnd.openxmlformats-officedocument.spreadsheetml.queryTable+xml"/>
  <Override PartName="/xl/tables/table15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tables/table6.xml" ContentType="application/vnd.openxmlformats-officedocument.spreadsheetml.table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tables/table12.xml" ContentType="application/vnd.openxmlformats-officedocument.spreadsheetml.table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172E4E1F-E5EF-0DF4-AAB5-FFAA808CBF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aingorourkeau.sharepoint.com/sites/CommercialSystems-AUS/Shared Documents/General/Commercial Services Documents/Excel Tools/10 - TORPS/"/>
    </mc:Choice>
  </mc:AlternateContent>
  <xr:revisionPtr revIDLastSave="245" documentId="13_ncr:1_{353E7896-35E1-4837-AE06-72B3D89D321B}" xr6:coauthVersionLast="47" xr6:coauthVersionMax="47" xr10:uidLastSave="{FDB028B9-B932-4FA1-B6D6-9454A6DDA5FA}"/>
  <bookViews>
    <workbookView xWindow="14730" yWindow="-16320" windowWidth="29040" windowHeight="15720" tabRatio="879" xr2:uid="{2002CDAF-44E4-4AB5-9E7C-204506B01F58}"/>
  </bookViews>
  <sheets>
    <sheet name="TORPS" sheetId="7" r:id="rId1"/>
    <sheet name="DATA" sheetId="26" r:id="rId2"/>
    <sheet name="KPI" sheetId="41" r:id="rId3"/>
    <sheet name="PRISM_UPLOAD_EVENTS" sheetId="37" state="hidden" r:id="rId4"/>
    <sheet name="PRISM_UPLOAD_CONTRACT" sheetId="36" r:id="rId5"/>
    <sheet name="PRISM_UPLOAD_DATES" sheetId="35" r:id="rId6"/>
  </sheets>
  <definedNames>
    <definedName name="_xlnm._FilterDatabase" localSheetId="0" hidden="1">TORPS!$B$12:$U$12</definedName>
    <definedName name="ExternalData_2" localSheetId="5" hidden="1">PRISM_UPLOAD_DATES!$A$1:$G$193</definedName>
    <definedName name="ExternalData_3" localSheetId="4" hidden="1">PRISM_UPLOAD_CONTRACT!$A$1:$M$17</definedName>
    <definedName name="ExternalData_4" localSheetId="3" hidden="1">PRISM_UPLOAD_EVENTS!$A$1:$B$13</definedName>
    <definedName name="List_Area">tblAREA[ID|Desc]</definedName>
    <definedName name="List_CommercialOwner">tblComercialOwner[ID|Desc]</definedName>
    <definedName name="List_ContractCategory">tblContractCategory[ID|Desc]</definedName>
    <definedName name="List_ContractType">tblContractType[ID|Desc]</definedName>
    <definedName name="List_Discipline">tblDiscipline[ID|Desc]</definedName>
    <definedName name="List_PackageOwner">tblPackageOwner[ID|Desc]</definedName>
    <definedName name="List_ProcurementOwner">tblProcurementOwner[ID|Desc]</definedName>
    <definedName name="List_Upper">tblUpperTitle[Upper Title]</definedName>
    <definedName name="List_UpperTitle">#REF!</definedName>
    <definedName name="ListEvents">#REF!</definedName>
    <definedName name="_xlnm.Print_Area" localSheetId="0">TORPS!$B$10:$P$44</definedName>
    <definedName name="PRISM_ID">TORPS!$C$7</definedName>
  </definedNames>
  <calcPr calcId="191029"/>
  <extLst>
    <ext xmlns:x15="http://schemas.microsoft.com/office/spreadsheetml/2010/11/main" uri="{841E416B-1EF1-43b6-AB56-02D37102CBD5}">
      <x15:pivotCaches>
        <pivotCache cacheId="0" r:id="rId7"/>
        <pivotCache cacheId="1" r:id="rId8"/>
        <pivotCache cacheId="2" r:id="rId9"/>
      </x15:pivotCaches>
    </ext>
    <ext xmlns:x15="http://schemas.microsoft.com/office/spreadsheetml/2010/11/main" uri="{983426D0-5260-488c-9760-48F4B6AC55F4}">
      <x15:pivotTableReferences>
        <x15:pivotTableReference r:id="rId10"/>
        <x15:pivotTableReference r:id="rId11"/>
        <x15:pivotTableReference r:id="rId12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KPI_GRAPH_dd3e82a0-a2df-4010-840b-5818e78a2950" name="KPI_GRAPH" connection="Query - KPI_GRAPH"/>
        </x15:modelTables>
        <x15:extLst>
          <ext xmlns:x16="http://schemas.microsoft.com/office/spreadsheetml/2014/11/main" uri="{9835A34E-60A6-4A7C-AAB8-D5F71C897F49}">
            <x16:modelTimeGroupings>
              <x16:modelTimeGrouping tableName="KPI_GRAPH" columnName="Value" columnId="Value">
                <x16:calculatedTimeColumn columnName="Value (Year)" columnId="Value (Year)" contentType="years" isSelected="1"/>
                <x16:calculatedTimeColumn columnName="Value (Quarter)" columnId="Value (Quarter)" contentType="quarters" isSelected="1"/>
                <x16:calculatedTimeColumn columnName="Value (Month Index)" columnId="Value (Month Index)" contentType="monthsindex" isSelected="1"/>
                <x16:calculatedTimeColumn columnName="Value (Month)" columnId="Value (Month)" contentType="months" isSelected="1"/>
              </x16:modelTimeGrouping>
              <x16:modelTimeGrouping tableName="KPI_GRAPH" columnName="WeekEnding" columnId="WeekEnding">
                <x16:calculatedTimeColumn columnName="WeekEnding (Year)" columnId="WeekEnding (Year)" contentType="years" isSelected="1"/>
                <x16:calculatedTimeColumn columnName="WeekEnding (Quarter)" columnId="WeekEnding (Quarter)" contentType="quarters" isSelected="1"/>
                <x16:calculatedTimeColumn columnName="WeekEnding (Month Index)" columnId="WeekEnding (Month Index)" contentType="monthsindex" isSelected="1"/>
                <x16:calculatedTimeColumn columnName="WeekEnding (Month)" columnId="WeekEnding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7" l="1"/>
  <c r="AM13" i="7"/>
  <c r="AR13" i="7" s="1"/>
  <c r="AW13" i="7" s="1"/>
  <c r="BB13" i="7" s="1"/>
  <c r="BG13" i="7" s="1"/>
  <c r="BL13" i="7" s="1"/>
  <c r="BQ13" i="7" s="1"/>
  <c r="BV13" i="7" s="1"/>
  <c r="CA13" i="7" s="1"/>
  <c r="BU26" i="7"/>
  <c r="BP26" i="7" s="1"/>
  <c r="BK26" i="7" s="1"/>
  <c r="BF26" i="7" s="1"/>
  <c r="BA26" i="7" s="1"/>
  <c r="AV26" i="7" s="1"/>
  <c r="AQ26" i="7" s="1"/>
  <c r="AL26" i="7" s="1"/>
  <c r="AG26" i="7" s="1"/>
  <c r="AB26" i="7" s="1"/>
  <c r="W26" i="7" s="1"/>
  <c r="BU13" i="7"/>
  <c r="BP13" i="7" s="1"/>
  <c r="BK13" i="7" s="1"/>
  <c r="BF13" i="7" s="1"/>
  <c r="BA13" i="7" s="1"/>
  <c r="AV13" i="7" s="1"/>
  <c r="AQ13" i="7" s="1"/>
  <c r="AL13" i="7" s="1"/>
  <c r="AG13" i="7" s="1"/>
  <c r="AB13" i="7" s="1"/>
  <c r="W13" i="7" s="1"/>
  <c r="BU14" i="7"/>
  <c r="BP14" i="7" s="1"/>
  <c r="BK14" i="7" s="1"/>
  <c r="BF14" i="7" s="1"/>
  <c r="BA14" i="7" s="1"/>
  <c r="AV14" i="7" s="1"/>
  <c r="AQ14" i="7" s="1"/>
  <c r="AL14" i="7" s="1"/>
  <c r="AG14" i="7" s="1"/>
  <c r="AB14" i="7" s="1"/>
  <c r="W14" i="7" s="1"/>
  <c r="BU15" i="7"/>
  <c r="BP15" i="7" s="1"/>
  <c r="BK15" i="7" s="1"/>
  <c r="BF15" i="7" s="1"/>
  <c r="BA15" i="7" s="1"/>
  <c r="AV15" i="7" s="1"/>
  <c r="AQ15" i="7" s="1"/>
  <c r="AL15" i="7" s="1"/>
  <c r="AG15" i="7" s="1"/>
  <c r="AB15" i="7" s="1"/>
  <c r="W15" i="7" s="1"/>
  <c r="BU16" i="7"/>
  <c r="BP16" i="7" s="1"/>
  <c r="BK16" i="7" s="1"/>
  <c r="BF16" i="7" s="1"/>
  <c r="BA16" i="7" s="1"/>
  <c r="AV16" i="7" s="1"/>
  <c r="AQ16" i="7" s="1"/>
  <c r="AL16" i="7" s="1"/>
  <c r="AG16" i="7" s="1"/>
  <c r="AB16" i="7" s="1"/>
  <c r="W16" i="7" s="1"/>
  <c r="BU17" i="7"/>
  <c r="BP17" i="7" s="1"/>
  <c r="BK17" i="7" s="1"/>
  <c r="BF17" i="7" s="1"/>
  <c r="BA17" i="7" s="1"/>
  <c r="AV17" i="7" s="1"/>
  <c r="AQ17" i="7" s="1"/>
  <c r="AL17" i="7" s="1"/>
  <c r="AG17" i="7" s="1"/>
  <c r="AB17" i="7" s="1"/>
  <c r="W17" i="7" s="1"/>
  <c r="BU18" i="7"/>
  <c r="BP18" i="7" s="1"/>
  <c r="BK18" i="7" s="1"/>
  <c r="BF18" i="7" s="1"/>
  <c r="BA18" i="7" s="1"/>
  <c r="AV18" i="7" s="1"/>
  <c r="AQ18" i="7" s="1"/>
  <c r="AL18" i="7" s="1"/>
  <c r="AG18" i="7" s="1"/>
  <c r="AB18" i="7" s="1"/>
  <c r="W18" i="7" s="1"/>
  <c r="BU19" i="7"/>
  <c r="BP19" i="7" s="1"/>
  <c r="BK19" i="7" s="1"/>
  <c r="BF19" i="7" s="1"/>
  <c r="BA19" i="7" s="1"/>
  <c r="AV19" i="7" s="1"/>
  <c r="AQ19" i="7" s="1"/>
  <c r="AL19" i="7" s="1"/>
  <c r="AG19" i="7" s="1"/>
  <c r="AB19" i="7" s="1"/>
  <c r="W19" i="7" s="1"/>
  <c r="BU20" i="7"/>
  <c r="BP20" i="7" s="1"/>
  <c r="BK20" i="7" s="1"/>
  <c r="BF20" i="7" s="1"/>
  <c r="BA20" i="7" s="1"/>
  <c r="AV20" i="7" s="1"/>
  <c r="AQ20" i="7" s="1"/>
  <c r="AL20" i="7" s="1"/>
  <c r="AG20" i="7" s="1"/>
  <c r="AB20" i="7" s="1"/>
  <c r="W20" i="7" s="1"/>
  <c r="BU21" i="7"/>
  <c r="BP21" i="7" s="1"/>
  <c r="BK21" i="7" s="1"/>
  <c r="BF21" i="7" s="1"/>
  <c r="BA21" i="7" s="1"/>
  <c r="AV21" i="7" s="1"/>
  <c r="AQ21" i="7" s="1"/>
  <c r="AL21" i="7" s="1"/>
  <c r="AG21" i="7" s="1"/>
  <c r="AB21" i="7" s="1"/>
  <c r="W21" i="7" s="1"/>
  <c r="BU22" i="7"/>
  <c r="BP22" i="7" s="1"/>
  <c r="BK22" i="7" s="1"/>
  <c r="BF22" i="7" s="1"/>
  <c r="BA22" i="7" s="1"/>
  <c r="AV22" i="7" s="1"/>
  <c r="AQ22" i="7" s="1"/>
  <c r="AL22" i="7" s="1"/>
  <c r="AG22" i="7" s="1"/>
  <c r="AB22" i="7" s="1"/>
  <c r="W22" i="7" s="1"/>
  <c r="BU23" i="7"/>
  <c r="BP23" i="7" s="1"/>
  <c r="BK23" i="7" s="1"/>
  <c r="BF23" i="7" s="1"/>
  <c r="BA23" i="7" s="1"/>
  <c r="AV23" i="7" s="1"/>
  <c r="AQ23" i="7" s="1"/>
  <c r="AL23" i="7" s="1"/>
  <c r="AG23" i="7" s="1"/>
  <c r="AB23" i="7" s="1"/>
  <c r="W23" i="7" s="1"/>
  <c r="BU24" i="7"/>
  <c r="BP24" i="7" s="1"/>
  <c r="BK24" i="7" s="1"/>
  <c r="BF24" i="7" s="1"/>
  <c r="BA24" i="7" s="1"/>
  <c r="AV24" i="7" s="1"/>
  <c r="AQ24" i="7" s="1"/>
  <c r="AL24" i="7" s="1"/>
  <c r="AG24" i="7" s="1"/>
  <c r="AB24" i="7" s="1"/>
  <c r="W24" i="7" s="1"/>
  <c r="BU25" i="7"/>
  <c r="BP25" i="7" s="1"/>
  <c r="BK25" i="7" s="1"/>
  <c r="BF25" i="7" s="1"/>
  <c r="BA25" i="7" s="1"/>
  <c r="AV25" i="7" s="1"/>
  <c r="AQ25" i="7" s="1"/>
  <c r="AL25" i="7" s="1"/>
  <c r="AG25" i="7" s="1"/>
  <c r="AB25" i="7" s="1"/>
  <c r="W25" i="7" s="1"/>
  <c r="BU27" i="7"/>
  <c r="BP27" i="7" s="1"/>
  <c r="BK27" i="7" s="1"/>
  <c r="BF27" i="7" s="1"/>
  <c r="BA27" i="7" s="1"/>
  <c r="AV27" i="7" s="1"/>
  <c r="AQ27" i="7" s="1"/>
  <c r="AL27" i="7" s="1"/>
  <c r="AG27" i="7" s="1"/>
  <c r="AB27" i="7" s="1"/>
  <c r="W27" i="7" s="1"/>
  <c r="BU28" i="7"/>
  <c r="BP28" i="7" s="1"/>
  <c r="BK28" i="7" s="1"/>
  <c r="BF28" i="7" s="1"/>
  <c r="BA28" i="7" s="1"/>
  <c r="AV28" i="7" s="1"/>
  <c r="AQ28" i="7" s="1"/>
  <c r="AL28" i="7" s="1"/>
  <c r="AG28" i="7" s="1"/>
  <c r="AB28" i="7" s="1"/>
  <c r="W28" i="7" s="1"/>
  <c r="BU29" i="7"/>
  <c r="BP29" i="7" s="1"/>
  <c r="BK29" i="7" s="1"/>
  <c r="BF29" i="7" s="1"/>
  <c r="BA29" i="7" s="1"/>
  <c r="AV29" i="7" s="1"/>
  <c r="AQ29" i="7" s="1"/>
  <c r="AL29" i="7" s="1"/>
  <c r="AG29" i="7" s="1"/>
  <c r="AB29" i="7" s="1"/>
  <c r="W29" i="7" s="1"/>
  <c r="BU30" i="7"/>
  <c r="BP30" i="7" s="1"/>
  <c r="BK30" i="7" s="1"/>
  <c r="BF30" i="7" s="1"/>
  <c r="BA30" i="7" s="1"/>
  <c r="AV30" i="7" s="1"/>
  <c r="AQ30" i="7" s="1"/>
  <c r="AL30" i="7" s="1"/>
  <c r="AG30" i="7" s="1"/>
  <c r="AB30" i="7" s="1"/>
  <c r="W30" i="7" s="1"/>
  <c r="BU31" i="7"/>
  <c r="BP31" i="7" s="1"/>
  <c r="BK31" i="7" s="1"/>
  <c r="BF31" i="7" s="1"/>
  <c r="BA31" i="7" s="1"/>
  <c r="AV31" i="7" s="1"/>
  <c r="AQ31" i="7" s="1"/>
  <c r="AL31" i="7" s="1"/>
  <c r="AG31" i="7" s="1"/>
  <c r="AB31" i="7" s="1"/>
  <c r="W31" i="7" s="1"/>
  <c r="BU32" i="7"/>
  <c r="BP32" i="7" s="1"/>
  <c r="BK32" i="7" s="1"/>
  <c r="BF32" i="7" s="1"/>
  <c r="BA32" i="7" s="1"/>
  <c r="AV32" i="7" s="1"/>
  <c r="AQ32" i="7" s="1"/>
  <c r="AL32" i="7" s="1"/>
  <c r="AG32" i="7" s="1"/>
  <c r="AB32" i="7" s="1"/>
  <c r="W32" i="7" s="1"/>
  <c r="BU33" i="7"/>
  <c r="BP33" i="7" s="1"/>
  <c r="BK33" i="7" s="1"/>
  <c r="BF33" i="7" s="1"/>
  <c r="BA33" i="7" s="1"/>
  <c r="AV33" i="7" s="1"/>
  <c r="AQ33" i="7" s="1"/>
  <c r="AL33" i="7" s="1"/>
  <c r="AG33" i="7" s="1"/>
  <c r="AB33" i="7" s="1"/>
  <c r="W33" i="7" s="1"/>
  <c r="BU34" i="7"/>
  <c r="BP34" i="7" s="1"/>
  <c r="BK34" i="7" s="1"/>
  <c r="BF34" i="7" s="1"/>
  <c r="BA34" i="7" s="1"/>
  <c r="AV34" i="7" s="1"/>
  <c r="AQ34" i="7" s="1"/>
  <c r="AL34" i="7" s="1"/>
  <c r="AG34" i="7" s="1"/>
  <c r="AB34" i="7" s="1"/>
  <c r="W34" i="7" s="1"/>
  <c r="BU35" i="7"/>
  <c r="BP35" i="7" s="1"/>
  <c r="BK35" i="7" s="1"/>
  <c r="BF35" i="7" s="1"/>
  <c r="BA35" i="7" s="1"/>
  <c r="AV35" i="7" s="1"/>
  <c r="AQ35" i="7" s="1"/>
  <c r="AL35" i="7" s="1"/>
  <c r="AG35" i="7" s="1"/>
  <c r="AB35" i="7" s="1"/>
  <c r="W35" i="7" s="1"/>
  <c r="BU36" i="7"/>
  <c r="BP36" i="7" s="1"/>
  <c r="BK36" i="7" s="1"/>
  <c r="BF36" i="7" s="1"/>
  <c r="BA36" i="7" s="1"/>
  <c r="AV36" i="7" s="1"/>
  <c r="AQ36" i="7" s="1"/>
  <c r="AL36" i="7" s="1"/>
  <c r="AG36" i="7" s="1"/>
  <c r="AB36" i="7" s="1"/>
  <c r="W36" i="7" s="1"/>
  <c r="BU37" i="7"/>
  <c r="BP37" i="7" s="1"/>
  <c r="BK37" i="7" s="1"/>
  <c r="BF37" i="7" s="1"/>
  <c r="BA37" i="7" s="1"/>
  <c r="AV37" i="7" s="1"/>
  <c r="AQ37" i="7" s="1"/>
  <c r="AL37" i="7" s="1"/>
  <c r="AG37" i="7" s="1"/>
  <c r="AB37" i="7" s="1"/>
  <c r="W37" i="7" s="1"/>
  <c r="BU38" i="7"/>
  <c r="BP38" i="7" s="1"/>
  <c r="BK38" i="7" s="1"/>
  <c r="BF38" i="7" s="1"/>
  <c r="BA38" i="7" s="1"/>
  <c r="AV38" i="7" s="1"/>
  <c r="AQ38" i="7" s="1"/>
  <c r="AL38" i="7" s="1"/>
  <c r="AG38" i="7" s="1"/>
  <c r="AB38" i="7" s="1"/>
  <c r="W38" i="7" s="1"/>
  <c r="BU39" i="7"/>
  <c r="BP39" i="7" s="1"/>
  <c r="BK39" i="7" s="1"/>
  <c r="BF39" i="7" s="1"/>
  <c r="BA39" i="7" s="1"/>
  <c r="AV39" i="7" s="1"/>
  <c r="AQ39" i="7" s="1"/>
  <c r="AL39" i="7" s="1"/>
  <c r="AG39" i="7" s="1"/>
  <c r="AB39" i="7" s="1"/>
  <c r="W39" i="7" s="1"/>
  <c r="BU40" i="7"/>
  <c r="BP40" i="7" s="1"/>
  <c r="BK40" i="7" s="1"/>
  <c r="BF40" i="7" s="1"/>
  <c r="BA40" i="7" s="1"/>
  <c r="AV40" i="7" s="1"/>
  <c r="AQ40" i="7" s="1"/>
  <c r="AL40" i="7" s="1"/>
  <c r="AG40" i="7" s="1"/>
  <c r="AB40" i="7" s="1"/>
  <c r="W40" i="7" s="1"/>
  <c r="BU41" i="7"/>
  <c r="BP41" i="7" s="1"/>
  <c r="BK41" i="7" s="1"/>
  <c r="BF41" i="7" s="1"/>
  <c r="BA41" i="7" s="1"/>
  <c r="AV41" i="7" s="1"/>
  <c r="AQ41" i="7" s="1"/>
  <c r="AL41" i="7" s="1"/>
  <c r="AG41" i="7" s="1"/>
  <c r="AB41" i="7" s="1"/>
  <c r="W41" i="7" s="1"/>
  <c r="BU42" i="7"/>
  <c r="BP42" i="7" s="1"/>
  <c r="BK42" i="7" s="1"/>
  <c r="BF42" i="7" s="1"/>
  <c r="BA42" i="7" s="1"/>
  <c r="AV42" i="7" s="1"/>
  <c r="AQ42" i="7" s="1"/>
  <c r="AL42" i="7" s="1"/>
  <c r="AG42" i="7" s="1"/>
  <c r="AB42" i="7" s="1"/>
  <c r="W42" i="7" s="1"/>
  <c r="BU43" i="7"/>
  <c r="BP43" i="7" s="1"/>
  <c r="BK43" i="7" s="1"/>
  <c r="BF43" i="7" s="1"/>
  <c r="BA43" i="7" s="1"/>
  <c r="AV43" i="7" s="1"/>
  <c r="AQ43" i="7" s="1"/>
  <c r="AL43" i="7" s="1"/>
  <c r="AG43" i="7" s="1"/>
  <c r="AB43" i="7" s="1"/>
  <c r="W43" i="7" s="1"/>
  <c r="BU44" i="7"/>
  <c r="BP44" i="7" s="1"/>
  <c r="BK44" i="7" s="1"/>
  <c r="BF44" i="7" s="1"/>
  <c r="BA44" i="7" s="1"/>
  <c r="AV44" i="7" s="1"/>
  <c r="AQ44" i="7" s="1"/>
  <c r="AL44" i="7" s="1"/>
  <c r="AG44" i="7" s="1"/>
  <c r="AB44" i="7" s="1"/>
  <c r="W44" i="7" s="1"/>
  <c r="BU45" i="7"/>
  <c r="BP45" i="7" s="1"/>
  <c r="BK45" i="7" s="1"/>
  <c r="BF45" i="7" s="1"/>
  <c r="BA45" i="7" s="1"/>
  <c r="AV45" i="7" s="1"/>
  <c r="AQ45" i="7" s="1"/>
  <c r="AL45" i="7" s="1"/>
  <c r="AG45" i="7" s="1"/>
  <c r="AB45" i="7" s="1"/>
  <c r="W45" i="7" s="1"/>
  <c r="BU46" i="7"/>
  <c r="BP46" i="7" s="1"/>
  <c r="BK46" i="7" s="1"/>
  <c r="BF46" i="7" s="1"/>
  <c r="BA46" i="7" s="1"/>
  <c r="AV46" i="7" s="1"/>
  <c r="AQ46" i="7" s="1"/>
  <c r="AL46" i="7" s="1"/>
  <c r="AG46" i="7" s="1"/>
  <c r="AB46" i="7" s="1"/>
  <c r="W46" i="7" s="1"/>
  <c r="BU47" i="7"/>
  <c r="BP47" i="7" s="1"/>
  <c r="BK47" i="7" s="1"/>
  <c r="BF47" i="7" s="1"/>
  <c r="BA47" i="7" s="1"/>
  <c r="AV47" i="7" s="1"/>
  <c r="AQ47" i="7" s="1"/>
  <c r="AL47" i="7" s="1"/>
  <c r="AG47" i="7" s="1"/>
  <c r="AB47" i="7" s="1"/>
  <c r="W47" i="7" s="1"/>
  <c r="BU48" i="7"/>
  <c r="BP48" i="7" s="1"/>
  <c r="BK48" i="7" s="1"/>
  <c r="BF48" i="7" s="1"/>
  <c r="BA48" i="7" s="1"/>
  <c r="AV48" i="7" s="1"/>
  <c r="AQ48" i="7" s="1"/>
  <c r="AL48" i="7" s="1"/>
  <c r="AG48" i="7" s="1"/>
  <c r="AB48" i="7" s="1"/>
  <c r="W48" i="7" s="1"/>
  <c r="BU49" i="7"/>
  <c r="BP49" i="7" s="1"/>
  <c r="BK49" i="7" s="1"/>
  <c r="BF49" i="7" s="1"/>
  <c r="BA49" i="7" s="1"/>
  <c r="AV49" i="7" s="1"/>
  <c r="AQ49" i="7" s="1"/>
  <c r="AL49" i="7" s="1"/>
  <c r="AG49" i="7" s="1"/>
  <c r="AB49" i="7" s="1"/>
  <c r="W49" i="7" s="1"/>
  <c r="BU50" i="7"/>
  <c r="BP50" i="7" s="1"/>
  <c r="BK50" i="7" s="1"/>
  <c r="BF50" i="7" s="1"/>
  <c r="BA50" i="7" s="1"/>
  <c r="AV50" i="7" s="1"/>
  <c r="AQ50" i="7" s="1"/>
  <c r="AL50" i="7" s="1"/>
  <c r="AG50" i="7" s="1"/>
  <c r="AB50" i="7" s="1"/>
  <c r="W50" i="7" s="1"/>
  <c r="BU51" i="7"/>
  <c r="BP51" i="7" s="1"/>
  <c r="BK51" i="7" s="1"/>
  <c r="BF51" i="7" s="1"/>
  <c r="BA51" i="7" s="1"/>
  <c r="AV51" i="7" s="1"/>
  <c r="AQ51" i="7" s="1"/>
  <c r="AL51" i="7" s="1"/>
  <c r="AG51" i="7" s="1"/>
  <c r="AB51" i="7" s="1"/>
  <c r="W51" i="7" s="1"/>
  <c r="BU52" i="7"/>
  <c r="BP52" i="7" s="1"/>
  <c r="BK52" i="7" s="1"/>
  <c r="BF52" i="7" s="1"/>
  <c r="BA52" i="7" s="1"/>
  <c r="AV52" i="7" s="1"/>
  <c r="AQ52" i="7" s="1"/>
  <c r="AL52" i="7" s="1"/>
  <c r="AG52" i="7" s="1"/>
  <c r="AB52" i="7" s="1"/>
  <c r="W52" i="7" s="1"/>
  <c r="BU53" i="7"/>
  <c r="BP53" i="7" s="1"/>
  <c r="BK53" i="7" s="1"/>
  <c r="BF53" i="7" s="1"/>
  <c r="BA53" i="7" s="1"/>
  <c r="AV53" i="7" s="1"/>
  <c r="AQ53" i="7" s="1"/>
  <c r="AL53" i="7" s="1"/>
  <c r="AG53" i="7" s="1"/>
  <c r="AB53" i="7" s="1"/>
  <c r="W53" i="7" s="1"/>
  <c r="BU54" i="7"/>
  <c r="BP54" i="7" s="1"/>
  <c r="BK54" i="7" s="1"/>
  <c r="BF54" i="7" s="1"/>
  <c r="BA54" i="7" s="1"/>
  <c r="AV54" i="7" s="1"/>
  <c r="AQ54" i="7" s="1"/>
  <c r="AL54" i="7" s="1"/>
  <c r="AG54" i="7" s="1"/>
  <c r="AB54" i="7" s="1"/>
  <c r="W54" i="7" s="1"/>
  <c r="BU55" i="7"/>
  <c r="BP55" i="7" s="1"/>
  <c r="BK55" i="7" s="1"/>
  <c r="BF55" i="7" s="1"/>
  <c r="BA55" i="7" s="1"/>
  <c r="AV55" i="7" s="1"/>
  <c r="AQ55" i="7" s="1"/>
  <c r="AL55" i="7" s="1"/>
  <c r="AG55" i="7" s="1"/>
  <c r="AB55" i="7" s="1"/>
  <c r="W55" i="7" s="1"/>
  <c r="BU56" i="7"/>
  <c r="BP56" i="7" s="1"/>
  <c r="BK56" i="7" s="1"/>
  <c r="BF56" i="7" s="1"/>
  <c r="BA56" i="7" s="1"/>
  <c r="AV56" i="7" s="1"/>
  <c r="AQ56" i="7" s="1"/>
  <c r="AL56" i="7" s="1"/>
  <c r="AG56" i="7" s="1"/>
  <c r="AB56" i="7" s="1"/>
  <c r="W56" i="7" s="1"/>
  <c r="BU57" i="7"/>
  <c r="BP57" i="7" s="1"/>
  <c r="BK57" i="7" s="1"/>
  <c r="BF57" i="7" s="1"/>
  <c r="BA57" i="7" s="1"/>
  <c r="AV57" i="7" s="1"/>
  <c r="AQ57" i="7" s="1"/>
  <c r="AL57" i="7" s="1"/>
  <c r="AG57" i="7" s="1"/>
  <c r="AB57" i="7" s="1"/>
  <c r="W57" i="7" s="1"/>
  <c r="BU58" i="7"/>
  <c r="BP58" i="7" s="1"/>
  <c r="BK58" i="7" s="1"/>
  <c r="BF58" i="7" s="1"/>
  <c r="BA58" i="7" s="1"/>
  <c r="AV58" i="7" s="1"/>
  <c r="AQ58" i="7" s="1"/>
  <c r="AL58" i="7" s="1"/>
  <c r="AG58" i="7" s="1"/>
  <c r="AB58" i="7" s="1"/>
  <c r="W58" i="7" s="1"/>
  <c r="BU59" i="7"/>
  <c r="BP59" i="7" s="1"/>
  <c r="BK59" i="7" s="1"/>
  <c r="BF59" i="7" s="1"/>
  <c r="BA59" i="7" s="1"/>
  <c r="AV59" i="7" s="1"/>
  <c r="AQ59" i="7" s="1"/>
  <c r="AL59" i="7" s="1"/>
  <c r="AG59" i="7" s="1"/>
  <c r="AB59" i="7" s="1"/>
  <c r="W59" i="7" s="1"/>
  <c r="BU60" i="7"/>
  <c r="BP60" i="7" s="1"/>
  <c r="BK60" i="7" s="1"/>
  <c r="BF60" i="7" s="1"/>
  <c r="BA60" i="7" s="1"/>
  <c r="AV60" i="7" s="1"/>
  <c r="AQ60" i="7" s="1"/>
  <c r="AL60" i="7" s="1"/>
  <c r="AG60" i="7" s="1"/>
  <c r="AB60" i="7" s="1"/>
  <c r="W60" i="7" s="1"/>
  <c r="BU61" i="7"/>
  <c r="BP61" i="7" s="1"/>
  <c r="BK61" i="7" s="1"/>
  <c r="BF61" i="7" s="1"/>
  <c r="BA61" i="7" s="1"/>
  <c r="AV61" i="7" s="1"/>
  <c r="AQ61" i="7" s="1"/>
  <c r="AL61" i="7" s="1"/>
  <c r="AG61" i="7" s="1"/>
  <c r="AB61" i="7" s="1"/>
  <c r="W61" i="7" s="1"/>
  <c r="BU62" i="7"/>
  <c r="BP62" i="7" s="1"/>
  <c r="BK62" i="7" s="1"/>
  <c r="BF62" i="7" s="1"/>
  <c r="BA62" i="7" s="1"/>
  <c r="AV62" i="7" s="1"/>
  <c r="AQ62" i="7" s="1"/>
  <c r="AL62" i="7" s="1"/>
  <c r="AG62" i="7" s="1"/>
  <c r="AB62" i="7" s="1"/>
  <c r="W62" i="7" s="1"/>
  <c r="BU63" i="7"/>
  <c r="BP63" i="7" s="1"/>
  <c r="BK63" i="7" s="1"/>
  <c r="BF63" i="7" s="1"/>
  <c r="BA63" i="7" s="1"/>
  <c r="AV63" i="7" s="1"/>
  <c r="AQ63" i="7" s="1"/>
  <c r="AL63" i="7" s="1"/>
  <c r="AG63" i="7" s="1"/>
  <c r="AB63" i="7" s="1"/>
  <c r="W63" i="7" s="1"/>
  <c r="BU64" i="7"/>
  <c r="BP64" i="7" s="1"/>
  <c r="BK64" i="7" s="1"/>
  <c r="BF64" i="7" s="1"/>
  <c r="BA64" i="7" s="1"/>
  <c r="AV64" i="7" s="1"/>
  <c r="AQ64" i="7" s="1"/>
  <c r="AL64" i="7" s="1"/>
  <c r="AG64" i="7" s="1"/>
  <c r="AB64" i="7" s="1"/>
  <c r="W64" i="7" s="1"/>
  <c r="BU65" i="7"/>
  <c r="BP65" i="7" s="1"/>
  <c r="BK65" i="7" s="1"/>
  <c r="BF65" i="7" s="1"/>
  <c r="BA65" i="7" s="1"/>
  <c r="AV65" i="7" s="1"/>
  <c r="AQ65" i="7" s="1"/>
  <c r="AL65" i="7" s="1"/>
  <c r="AG65" i="7" s="1"/>
  <c r="AB65" i="7" s="1"/>
  <c r="W65" i="7" s="1"/>
  <c r="BU66" i="7"/>
  <c r="BP66" i="7" s="1"/>
  <c r="BK66" i="7" s="1"/>
  <c r="BF66" i="7" s="1"/>
  <c r="BA66" i="7" s="1"/>
  <c r="AV66" i="7" s="1"/>
  <c r="AQ66" i="7" s="1"/>
  <c r="AL66" i="7" s="1"/>
  <c r="AG66" i="7" s="1"/>
  <c r="AB66" i="7" s="1"/>
  <c r="W66" i="7" s="1"/>
  <c r="BU67" i="7"/>
  <c r="BP67" i="7" s="1"/>
  <c r="BK67" i="7" s="1"/>
  <c r="BF67" i="7" s="1"/>
  <c r="BA67" i="7" s="1"/>
  <c r="AV67" i="7" s="1"/>
  <c r="AQ67" i="7" s="1"/>
  <c r="AL67" i="7" s="1"/>
  <c r="AG67" i="7" s="1"/>
  <c r="AB67" i="7" s="1"/>
  <c r="W67" i="7" s="1"/>
  <c r="BU68" i="7"/>
  <c r="BP68" i="7" s="1"/>
  <c r="BK68" i="7" s="1"/>
  <c r="BF68" i="7" s="1"/>
  <c r="BA68" i="7" s="1"/>
  <c r="AV68" i="7" s="1"/>
  <c r="AQ68" i="7" s="1"/>
  <c r="AL68" i="7" s="1"/>
  <c r="AG68" i="7" s="1"/>
  <c r="AB68" i="7" s="1"/>
  <c r="W68" i="7" s="1"/>
  <c r="BU69" i="7"/>
  <c r="BP69" i="7" s="1"/>
  <c r="BK69" i="7" s="1"/>
  <c r="BF69" i="7" s="1"/>
  <c r="BA69" i="7" s="1"/>
  <c r="AV69" i="7" s="1"/>
  <c r="AQ69" i="7" s="1"/>
  <c r="AL69" i="7" s="1"/>
  <c r="AG69" i="7" s="1"/>
  <c r="AB69" i="7" s="1"/>
  <c r="W69" i="7" s="1"/>
  <c r="BU70" i="7"/>
  <c r="BP70" i="7" s="1"/>
  <c r="BK70" i="7" s="1"/>
  <c r="BF70" i="7" s="1"/>
  <c r="BA70" i="7" s="1"/>
  <c r="AV70" i="7" s="1"/>
  <c r="AQ70" i="7" s="1"/>
  <c r="AL70" i="7" s="1"/>
  <c r="AG70" i="7" s="1"/>
  <c r="AB70" i="7" s="1"/>
  <c r="W70" i="7" s="1"/>
  <c r="BU71" i="7"/>
  <c r="BP71" i="7" s="1"/>
  <c r="BK71" i="7" s="1"/>
  <c r="BF71" i="7" s="1"/>
  <c r="BA71" i="7" s="1"/>
  <c r="AV71" i="7" s="1"/>
  <c r="AQ71" i="7" s="1"/>
  <c r="AL71" i="7" s="1"/>
  <c r="AG71" i="7" s="1"/>
  <c r="AB71" i="7" s="1"/>
  <c r="W71" i="7" s="1"/>
  <c r="BU72" i="7"/>
  <c r="BP72" i="7" s="1"/>
  <c r="BK72" i="7" s="1"/>
  <c r="BF72" i="7" s="1"/>
  <c r="BA72" i="7" s="1"/>
  <c r="AV72" i="7" s="1"/>
  <c r="AQ72" i="7" s="1"/>
  <c r="AL72" i="7" s="1"/>
  <c r="AG72" i="7" s="1"/>
  <c r="AB72" i="7" s="1"/>
  <c r="W72" i="7" s="1"/>
  <c r="BU73" i="7"/>
  <c r="BP73" i="7" s="1"/>
  <c r="BK73" i="7" s="1"/>
  <c r="BF73" i="7" s="1"/>
  <c r="BA73" i="7" s="1"/>
  <c r="AV73" i="7" s="1"/>
  <c r="AQ73" i="7" s="1"/>
  <c r="AL73" i="7" s="1"/>
  <c r="AG73" i="7" s="1"/>
  <c r="AB73" i="7" s="1"/>
  <c r="W73" i="7" s="1"/>
  <c r="BU74" i="7"/>
  <c r="BP74" i="7" s="1"/>
  <c r="BK74" i="7" s="1"/>
  <c r="BF74" i="7" s="1"/>
  <c r="BA74" i="7" s="1"/>
  <c r="AV74" i="7" s="1"/>
  <c r="AQ74" i="7" s="1"/>
  <c r="AL74" i="7" s="1"/>
  <c r="AG74" i="7" s="1"/>
  <c r="AB74" i="7" s="1"/>
  <c r="W74" i="7" s="1"/>
  <c r="BU75" i="7"/>
  <c r="BP75" i="7" s="1"/>
  <c r="BK75" i="7" s="1"/>
  <c r="BF75" i="7" s="1"/>
  <c r="BA75" i="7" s="1"/>
  <c r="AV75" i="7" s="1"/>
  <c r="AQ75" i="7" s="1"/>
  <c r="AL75" i="7" s="1"/>
  <c r="AG75" i="7" s="1"/>
  <c r="AB75" i="7" s="1"/>
  <c r="W75" i="7" s="1"/>
  <c r="BU76" i="7"/>
  <c r="BP76" i="7" s="1"/>
  <c r="BK76" i="7" s="1"/>
  <c r="BF76" i="7" s="1"/>
  <c r="BA76" i="7" s="1"/>
  <c r="AV76" i="7" s="1"/>
  <c r="AQ76" i="7" s="1"/>
  <c r="AL76" i="7" s="1"/>
  <c r="AG76" i="7" s="1"/>
  <c r="AB76" i="7" s="1"/>
  <c r="W76" i="7" s="1"/>
  <c r="BU77" i="7"/>
  <c r="BP77" i="7" s="1"/>
  <c r="BK77" i="7" s="1"/>
  <c r="BF77" i="7" s="1"/>
  <c r="BA77" i="7" s="1"/>
  <c r="AV77" i="7" s="1"/>
  <c r="AQ77" i="7" s="1"/>
  <c r="AL77" i="7" s="1"/>
  <c r="AG77" i="7" s="1"/>
  <c r="AB77" i="7" s="1"/>
  <c r="W77" i="7" s="1"/>
  <c r="BU78" i="7"/>
  <c r="BP78" i="7" s="1"/>
  <c r="BK78" i="7" s="1"/>
  <c r="BF78" i="7" s="1"/>
  <c r="BA78" i="7" s="1"/>
  <c r="AV78" i="7" s="1"/>
  <c r="AQ78" i="7" s="1"/>
  <c r="AL78" i="7" s="1"/>
  <c r="AG78" i="7" s="1"/>
  <c r="AB78" i="7" s="1"/>
  <c r="W78" i="7" s="1"/>
  <c r="BU79" i="7"/>
  <c r="BP79" i="7" s="1"/>
  <c r="BK79" i="7" s="1"/>
  <c r="BF79" i="7" s="1"/>
  <c r="BA79" i="7" s="1"/>
  <c r="AV79" i="7" s="1"/>
  <c r="AQ79" i="7" s="1"/>
  <c r="AL79" i="7" s="1"/>
  <c r="AG79" i="7" s="1"/>
  <c r="AB79" i="7" s="1"/>
  <c r="W79" i="7" s="1"/>
  <c r="BU80" i="7"/>
  <c r="BP80" i="7" s="1"/>
  <c r="BK80" i="7" s="1"/>
  <c r="BF80" i="7" s="1"/>
  <c r="BA80" i="7" s="1"/>
  <c r="AV80" i="7" s="1"/>
  <c r="AQ80" i="7" s="1"/>
  <c r="AL80" i="7" s="1"/>
  <c r="AG80" i="7" s="1"/>
  <c r="AB80" i="7" s="1"/>
  <c r="W80" i="7" s="1"/>
  <c r="BU81" i="7"/>
  <c r="BP81" i="7" s="1"/>
  <c r="BK81" i="7" s="1"/>
  <c r="BF81" i="7" s="1"/>
  <c r="BA81" i="7" s="1"/>
  <c r="AV81" i="7" s="1"/>
  <c r="AQ81" i="7" s="1"/>
  <c r="AL81" i="7" s="1"/>
  <c r="AG81" i="7" s="1"/>
  <c r="AB81" i="7" s="1"/>
  <c r="W81" i="7" s="1"/>
  <c r="BU82" i="7"/>
  <c r="BP82" i="7" s="1"/>
  <c r="BK82" i="7" s="1"/>
  <c r="BF82" i="7" s="1"/>
  <c r="BA82" i="7" s="1"/>
  <c r="AV82" i="7" s="1"/>
  <c r="AQ82" i="7" s="1"/>
  <c r="AL82" i="7" s="1"/>
  <c r="AG82" i="7" s="1"/>
  <c r="AB82" i="7" s="1"/>
  <c r="W82" i="7" s="1"/>
  <c r="BU83" i="7"/>
  <c r="BP83" i="7" s="1"/>
  <c r="BK83" i="7" s="1"/>
  <c r="BF83" i="7" s="1"/>
  <c r="BA83" i="7" s="1"/>
  <c r="AV83" i="7" s="1"/>
  <c r="AQ83" i="7" s="1"/>
  <c r="AL83" i="7" s="1"/>
  <c r="AG83" i="7" s="1"/>
  <c r="AB83" i="7" s="1"/>
  <c r="W83" i="7" s="1"/>
  <c r="BU84" i="7"/>
  <c r="BP84" i="7" s="1"/>
  <c r="BK84" i="7" s="1"/>
  <c r="BF84" i="7" s="1"/>
  <c r="BA84" i="7" s="1"/>
  <c r="AV84" i="7" s="1"/>
  <c r="AQ84" i="7" s="1"/>
  <c r="AL84" i="7" s="1"/>
  <c r="AG84" i="7" s="1"/>
  <c r="AB84" i="7" s="1"/>
  <c r="W84" i="7" s="1"/>
  <c r="BU85" i="7"/>
  <c r="BP85" i="7" s="1"/>
  <c r="BK85" i="7" s="1"/>
  <c r="BF85" i="7" s="1"/>
  <c r="BA85" i="7" s="1"/>
  <c r="AV85" i="7" s="1"/>
  <c r="AQ85" i="7" s="1"/>
  <c r="AL85" i="7" s="1"/>
  <c r="AG85" i="7" s="1"/>
  <c r="AB85" i="7" s="1"/>
  <c r="W85" i="7" s="1"/>
  <c r="BU86" i="7"/>
  <c r="BP86" i="7" s="1"/>
  <c r="BK86" i="7" s="1"/>
  <c r="BF86" i="7" s="1"/>
  <c r="BA86" i="7" s="1"/>
  <c r="AV86" i="7" s="1"/>
  <c r="AQ86" i="7" s="1"/>
  <c r="AL86" i="7" s="1"/>
  <c r="AG86" i="7" s="1"/>
  <c r="AB86" i="7" s="1"/>
  <c r="W86" i="7" s="1"/>
  <c r="BU87" i="7"/>
  <c r="BP87" i="7" s="1"/>
  <c r="BK87" i="7" s="1"/>
  <c r="BF87" i="7" s="1"/>
  <c r="BA87" i="7" s="1"/>
  <c r="AV87" i="7" s="1"/>
  <c r="AQ87" i="7" s="1"/>
  <c r="AL87" i="7" s="1"/>
  <c r="AG87" i="7" s="1"/>
  <c r="AB87" i="7" s="1"/>
  <c r="W87" i="7" s="1"/>
  <c r="BU88" i="7"/>
  <c r="BP88" i="7" s="1"/>
  <c r="BK88" i="7" s="1"/>
  <c r="BF88" i="7" s="1"/>
  <c r="BA88" i="7" s="1"/>
  <c r="AV88" i="7" s="1"/>
  <c r="AQ88" i="7" s="1"/>
  <c r="AL88" i="7" s="1"/>
  <c r="AG88" i="7" s="1"/>
  <c r="AB88" i="7" s="1"/>
  <c r="W88" i="7" s="1"/>
  <c r="BU89" i="7"/>
  <c r="BP89" i="7" s="1"/>
  <c r="BK89" i="7" s="1"/>
  <c r="BF89" i="7" s="1"/>
  <c r="BA89" i="7" s="1"/>
  <c r="AV89" i="7" s="1"/>
  <c r="AQ89" i="7" s="1"/>
  <c r="AL89" i="7" s="1"/>
  <c r="AG89" i="7" s="1"/>
  <c r="AB89" i="7" s="1"/>
  <c r="W89" i="7" s="1"/>
  <c r="BU90" i="7"/>
  <c r="BP90" i="7" s="1"/>
  <c r="BK90" i="7" s="1"/>
  <c r="BF90" i="7" s="1"/>
  <c r="BA90" i="7" s="1"/>
  <c r="AV90" i="7" s="1"/>
  <c r="AQ90" i="7" s="1"/>
  <c r="AL90" i="7" s="1"/>
  <c r="AG90" i="7" s="1"/>
  <c r="AB90" i="7" s="1"/>
  <c r="W90" i="7" s="1"/>
  <c r="BU91" i="7"/>
  <c r="BP91" i="7" s="1"/>
  <c r="BK91" i="7" s="1"/>
  <c r="BF91" i="7" s="1"/>
  <c r="BA91" i="7" s="1"/>
  <c r="AV91" i="7" s="1"/>
  <c r="AQ91" i="7" s="1"/>
  <c r="AL91" i="7" s="1"/>
  <c r="AG91" i="7" s="1"/>
  <c r="AB91" i="7" s="1"/>
  <c r="W91" i="7" s="1"/>
  <c r="BU92" i="7"/>
  <c r="BP92" i="7" s="1"/>
  <c r="BK92" i="7" s="1"/>
  <c r="BF92" i="7" s="1"/>
  <c r="BA92" i="7" s="1"/>
  <c r="AV92" i="7" s="1"/>
  <c r="AQ92" i="7" s="1"/>
  <c r="AL92" i="7" s="1"/>
  <c r="AG92" i="7" s="1"/>
  <c r="AB92" i="7" s="1"/>
  <c r="W92" i="7" s="1"/>
  <c r="BU93" i="7"/>
  <c r="BP93" i="7" s="1"/>
  <c r="BK93" i="7" s="1"/>
  <c r="BF93" i="7" s="1"/>
  <c r="BA93" i="7" s="1"/>
  <c r="AV93" i="7" s="1"/>
  <c r="AQ93" i="7" s="1"/>
  <c r="AL93" i="7" s="1"/>
  <c r="AG93" i="7" s="1"/>
  <c r="AB93" i="7" s="1"/>
  <c r="W93" i="7" s="1"/>
  <c r="BU94" i="7"/>
  <c r="BP94" i="7" s="1"/>
  <c r="BK94" i="7" s="1"/>
  <c r="BF94" i="7" s="1"/>
  <c r="BA94" i="7" s="1"/>
  <c r="AV94" i="7" s="1"/>
  <c r="AQ94" i="7" s="1"/>
  <c r="AL94" i="7" s="1"/>
  <c r="AG94" i="7" s="1"/>
  <c r="AB94" i="7" s="1"/>
  <c r="W94" i="7" s="1"/>
  <c r="BU95" i="7"/>
  <c r="BP95" i="7" s="1"/>
  <c r="BK95" i="7" s="1"/>
  <c r="BF95" i="7" s="1"/>
  <c r="BA95" i="7" s="1"/>
  <c r="AV95" i="7" s="1"/>
  <c r="AQ95" i="7" s="1"/>
  <c r="AL95" i="7" s="1"/>
  <c r="AG95" i="7" s="1"/>
  <c r="AB95" i="7" s="1"/>
  <c r="W95" i="7" s="1"/>
  <c r="BU96" i="7"/>
  <c r="BP96" i="7" s="1"/>
  <c r="BK96" i="7" s="1"/>
  <c r="BF96" i="7" s="1"/>
  <c r="BA96" i="7" s="1"/>
  <c r="AV96" i="7" s="1"/>
  <c r="AQ96" i="7" s="1"/>
  <c r="AL96" i="7" s="1"/>
  <c r="AG96" i="7" s="1"/>
  <c r="AB96" i="7" s="1"/>
  <c r="W96" i="7" s="1"/>
  <c r="BU97" i="7"/>
  <c r="BP97" i="7" s="1"/>
  <c r="BK97" i="7" s="1"/>
  <c r="BF97" i="7" s="1"/>
  <c r="BA97" i="7" s="1"/>
  <c r="AV97" i="7" s="1"/>
  <c r="AQ97" i="7" s="1"/>
  <c r="AL97" i="7" s="1"/>
  <c r="AG97" i="7" s="1"/>
  <c r="AB97" i="7" s="1"/>
  <c r="W97" i="7" s="1"/>
  <c r="BU98" i="7"/>
  <c r="BP98" i="7" s="1"/>
  <c r="BK98" i="7" s="1"/>
  <c r="BF98" i="7" s="1"/>
  <c r="BA98" i="7" s="1"/>
  <c r="AV98" i="7" s="1"/>
  <c r="AQ98" i="7" s="1"/>
  <c r="AL98" i="7" s="1"/>
  <c r="AG98" i="7" s="1"/>
  <c r="AB98" i="7" s="1"/>
  <c r="W98" i="7" s="1"/>
  <c r="BU99" i="7"/>
  <c r="BP99" i="7" s="1"/>
  <c r="BK99" i="7" s="1"/>
  <c r="BF99" i="7" s="1"/>
  <c r="BA99" i="7" s="1"/>
  <c r="AV99" i="7" s="1"/>
  <c r="AQ99" i="7" s="1"/>
  <c r="AL99" i="7" s="1"/>
  <c r="AG99" i="7" s="1"/>
  <c r="AB99" i="7" s="1"/>
  <c r="W99" i="7" s="1"/>
  <c r="BU100" i="7"/>
  <c r="BP100" i="7" s="1"/>
  <c r="BK100" i="7" s="1"/>
  <c r="BF100" i="7" s="1"/>
  <c r="BA100" i="7" s="1"/>
  <c r="AV100" i="7" s="1"/>
  <c r="AQ100" i="7" s="1"/>
  <c r="AL100" i="7" s="1"/>
  <c r="AG100" i="7" s="1"/>
  <c r="AB100" i="7" s="1"/>
  <c r="W100" i="7" s="1"/>
  <c r="BU101" i="7"/>
  <c r="BP101" i="7" s="1"/>
  <c r="BK101" i="7" s="1"/>
  <c r="BF101" i="7" s="1"/>
  <c r="BA101" i="7" s="1"/>
  <c r="AV101" i="7" s="1"/>
  <c r="AQ101" i="7" s="1"/>
  <c r="AL101" i="7" s="1"/>
  <c r="AG101" i="7" s="1"/>
  <c r="AB101" i="7" s="1"/>
  <c r="W101" i="7" s="1"/>
  <c r="BU102" i="7"/>
  <c r="BP102" i="7" s="1"/>
  <c r="BK102" i="7" s="1"/>
  <c r="BF102" i="7" s="1"/>
  <c r="BA102" i="7" s="1"/>
  <c r="AV102" i="7" s="1"/>
  <c r="AQ102" i="7" s="1"/>
  <c r="AL102" i="7" s="1"/>
  <c r="AG102" i="7" s="1"/>
  <c r="AB102" i="7" s="1"/>
  <c r="W102" i="7" s="1"/>
  <c r="BU103" i="7"/>
  <c r="BP103" i="7" s="1"/>
  <c r="BK103" i="7" s="1"/>
  <c r="BF103" i="7" s="1"/>
  <c r="BA103" i="7" s="1"/>
  <c r="AV103" i="7" s="1"/>
  <c r="AQ103" i="7" s="1"/>
  <c r="AL103" i="7" s="1"/>
  <c r="AG103" i="7" s="1"/>
  <c r="AB103" i="7" s="1"/>
  <c r="W103" i="7" s="1"/>
  <c r="BU104" i="7"/>
  <c r="BP104" i="7" s="1"/>
  <c r="BK104" i="7" s="1"/>
  <c r="BF104" i="7" s="1"/>
  <c r="BA104" i="7" s="1"/>
  <c r="AV104" i="7" s="1"/>
  <c r="AQ104" i="7" s="1"/>
  <c r="AL104" i="7" s="1"/>
  <c r="AG104" i="7" s="1"/>
  <c r="AB104" i="7" s="1"/>
  <c r="W104" i="7" s="1"/>
  <c r="BU105" i="7"/>
  <c r="BP105" i="7" s="1"/>
  <c r="BK105" i="7" s="1"/>
  <c r="BF105" i="7" s="1"/>
  <c r="BA105" i="7" s="1"/>
  <c r="AV105" i="7" s="1"/>
  <c r="AQ105" i="7" s="1"/>
  <c r="AL105" i="7" s="1"/>
  <c r="AG105" i="7" s="1"/>
  <c r="AB105" i="7" s="1"/>
  <c r="W105" i="7" s="1"/>
  <c r="BU106" i="7"/>
  <c r="BP106" i="7" s="1"/>
  <c r="BK106" i="7" s="1"/>
  <c r="BF106" i="7" s="1"/>
  <c r="BA106" i="7" s="1"/>
  <c r="AV106" i="7" s="1"/>
  <c r="AQ106" i="7" s="1"/>
  <c r="AL106" i="7" s="1"/>
  <c r="AG106" i="7" s="1"/>
  <c r="AB106" i="7" s="1"/>
  <c r="W106" i="7" s="1"/>
  <c r="BU107" i="7"/>
  <c r="BP107" i="7" s="1"/>
  <c r="BK107" i="7" s="1"/>
  <c r="BF107" i="7" s="1"/>
  <c r="BA107" i="7" s="1"/>
  <c r="AV107" i="7" s="1"/>
  <c r="AQ107" i="7" s="1"/>
  <c r="AL107" i="7" s="1"/>
  <c r="AG107" i="7" s="1"/>
  <c r="AB107" i="7" s="1"/>
  <c r="W107" i="7" s="1"/>
  <c r="BU108" i="7"/>
  <c r="BP108" i="7" s="1"/>
  <c r="BK108" i="7" s="1"/>
  <c r="BF108" i="7" s="1"/>
  <c r="BA108" i="7" s="1"/>
  <c r="AV108" i="7" s="1"/>
  <c r="AQ108" i="7" s="1"/>
  <c r="AL108" i="7" s="1"/>
  <c r="AG108" i="7" s="1"/>
  <c r="AB108" i="7" s="1"/>
  <c r="W108" i="7" s="1"/>
  <c r="BU109" i="7"/>
  <c r="BP109" i="7" s="1"/>
  <c r="BK109" i="7" s="1"/>
  <c r="BF109" i="7" s="1"/>
  <c r="BA109" i="7" s="1"/>
  <c r="AV109" i="7" s="1"/>
  <c r="AQ109" i="7" s="1"/>
  <c r="AL109" i="7" s="1"/>
  <c r="AG109" i="7" s="1"/>
  <c r="AB109" i="7" s="1"/>
  <c r="W109" i="7" s="1"/>
  <c r="BU110" i="7"/>
  <c r="BP110" i="7" s="1"/>
  <c r="BK110" i="7" s="1"/>
  <c r="BF110" i="7" s="1"/>
  <c r="BA110" i="7" s="1"/>
  <c r="AV110" i="7" s="1"/>
  <c r="AQ110" i="7" s="1"/>
  <c r="AL110" i="7" s="1"/>
  <c r="AG110" i="7" s="1"/>
  <c r="AB110" i="7" s="1"/>
  <c r="W110" i="7" s="1"/>
  <c r="BU111" i="7"/>
  <c r="BP111" i="7" s="1"/>
  <c r="BK111" i="7" s="1"/>
  <c r="BF111" i="7" s="1"/>
  <c r="BA111" i="7" s="1"/>
  <c r="AV111" i="7" s="1"/>
  <c r="AQ111" i="7" s="1"/>
  <c r="AL111" i="7" s="1"/>
  <c r="AG111" i="7" s="1"/>
  <c r="AB111" i="7" s="1"/>
  <c r="W111" i="7" s="1"/>
  <c r="BU112" i="7"/>
  <c r="BP112" i="7" s="1"/>
  <c r="BK112" i="7" s="1"/>
  <c r="BF112" i="7" s="1"/>
  <c r="BA112" i="7" s="1"/>
  <c r="AV112" i="7" s="1"/>
  <c r="AQ112" i="7" s="1"/>
  <c r="AL112" i="7" s="1"/>
  <c r="AG112" i="7" s="1"/>
  <c r="AB112" i="7" s="1"/>
  <c r="W112" i="7" s="1"/>
  <c r="BU113" i="7"/>
  <c r="BP113" i="7" s="1"/>
  <c r="BK113" i="7" s="1"/>
  <c r="BF113" i="7" s="1"/>
  <c r="BA113" i="7" s="1"/>
  <c r="AV113" i="7" s="1"/>
  <c r="AQ113" i="7" s="1"/>
  <c r="AL113" i="7" s="1"/>
  <c r="AG113" i="7" s="1"/>
  <c r="AB113" i="7" s="1"/>
  <c r="W113" i="7" s="1"/>
  <c r="BU114" i="7"/>
  <c r="BP114" i="7" s="1"/>
  <c r="BK114" i="7" s="1"/>
  <c r="BF114" i="7" s="1"/>
  <c r="BA114" i="7" s="1"/>
  <c r="AV114" i="7" s="1"/>
  <c r="AQ114" i="7" s="1"/>
  <c r="AL114" i="7" s="1"/>
  <c r="AG114" i="7" s="1"/>
  <c r="AB114" i="7" s="1"/>
  <c r="W114" i="7" s="1"/>
  <c r="BU115" i="7"/>
  <c r="BP115" i="7" s="1"/>
  <c r="BK115" i="7" s="1"/>
  <c r="BF115" i="7" s="1"/>
  <c r="BA115" i="7" s="1"/>
  <c r="AV115" i="7" s="1"/>
  <c r="AQ115" i="7" s="1"/>
  <c r="AL115" i="7" s="1"/>
  <c r="AG115" i="7" s="1"/>
  <c r="AB115" i="7" s="1"/>
  <c r="W115" i="7" s="1"/>
  <c r="BU116" i="7"/>
  <c r="BP116" i="7" s="1"/>
  <c r="BK116" i="7" s="1"/>
  <c r="BF116" i="7" s="1"/>
  <c r="BA116" i="7" s="1"/>
  <c r="AV116" i="7" s="1"/>
  <c r="AQ116" i="7" s="1"/>
  <c r="AL116" i="7" s="1"/>
  <c r="AG116" i="7" s="1"/>
  <c r="AB116" i="7" s="1"/>
  <c r="W116" i="7" s="1"/>
  <c r="BU117" i="7"/>
  <c r="BP117" i="7" s="1"/>
  <c r="BK117" i="7" s="1"/>
  <c r="BF117" i="7" s="1"/>
  <c r="BA117" i="7" s="1"/>
  <c r="AV117" i="7" s="1"/>
  <c r="AQ117" i="7" s="1"/>
  <c r="AL117" i="7" s="1"/>
  <c r="AG117" i="7" s="1"/>
  <c r="AB117" i="7" s="1"/>
  <c r="W117" i="7" s="1"/>
  <c r="BU118" i="7"/>
  <c r="BP118" i="7" s="1"/>
  <c r="BK118" i="7" s="1"/>
  <c r="BF118" i="7" s="1"/>
  <c r="BA118" i="7" s="1"/>
  <c r="AV118" i="7" s="1"/>
  <c r="AQ118" i="7" s="1"/>
  <c r="AL118" i="7" s="1"/>
  <c r="AG118" i="7" s="1"/>
  <c r="AB118" i="7" s="1"/>
  <c r="W118" i="7" s="1"/>
  <c r="BU119" i="7"/>
  <c r="BP119" i="7" s="1"/>
  <c r="BK119" i="7" s="1"/>
  <c r="BF119" i="7" s="1"/>
  <c r="BA119" i="7" s="1"/>
  <c r="AV119" i="7" s="1"/>
  <c r="AQ119" i="7" s="1"/>
  <c r="AL119" i="7" s="1"/>
  <c r="AG119" i="7" s="1"/>
  <c r="AB119" i="7" s="1"/>
  <c r="W119" i="7" s="1"/>
  <c r="BU120" i="7"/>
  <c r="BP120" i="7" s="1"/>
  <c r="BK120" i="7" s="1"/>
  <c r="BF120" i="7" s="1"/>
  <c r="BA120" i="7" s="1"/>
  <c r="AV120" i="7" s="1"/>
  <c r="AQ120" i="7" s="1"/>
  <c r="AL120" i="7" s="1"/>
  <c r="AG120" i="7" s="1"/>
  <c r="AB120" i="7" s="1"/>
  <c r="W120" i="7" s="1"/>
  <c r="BU121" i="7"/>
  <c r="BP121" i="7" s="1"/>
  <c r="BK121" i="7" s="1"/>
  <c r="BF121" i="7" s="1"/>
  <c r="BA121" i="7" s="1"/>
  <c r="AV121" i="7" s="1"/>
  <c r="AQ121" i="7" s="1"/>
  <c r="AL121" i="7" s="1"/>
  <c r="AG121" i="7" s="1"/>
  <c r="AB121" i="7" s="1"/>
  <c r="W121" i="7" s="1"/>
  <c r="BU122" i="7"/>
  <c r="BP122" i="7" s="1"/>
  <c r="BK122" i="7" s="1"/>
  <c r="BF122" i="7" s="1"/>
  <c r="BA122" i="7" s="1"/>
  <c r="AV122" i="7" s="1"/>
  <c r="AQ122" i="7" s="1"/>
  <c r="AL122" i="7" s="1"/>
  <c r="AG122" i="7" s="1"/>
  <c r="AB122" i="7" s="1"/>
  <c r="W122" i="7" s="1"/>
  <c r="BU123" i="7"/>
  <c r="BP123" i="7" s="1"/>
  <c r="BK123" i="7" s="1"/>
  <c r="BF123" i="7" s="1"/>
  <c r="BA123" i="7" s="1"/>
  <c r="AV123" i="7" s="1"/>
  <c r="AQ123" i="7" s="1"/>
  <c r="AL123" i="7" s="1"/>
  <c r="AG123" i="7" s="1"/>
  <c r="AB123" i="7" s="1"/>
  <c r="W123" i="7" s="1"/>
  <c r="BU124" i="7"/>
  <c r="BP124" i="7" s="1"/>
  <c r="BK124" i="7" s="1"/>
  <c r="BF124" i="7" s="1"/>
  <c r="BA124" i="7" s="1"/>
  <c r="AV124" i="7" s="1"/>
  <c r="AQ124" i="7" s="1"/>
  <c r="AL124" i="7" s="1"/>
  <c r="AG124" i="7" s="1"/>
  <c r="AB124" i="7" s="1"/>
  <c r="W124" i="7" s="1"/>
  <c r="BU125" i="7"/>
  <c r="BP125" i="7" s="1"/>
  <c r="BK125" i="7" s="1"/>
  <c r="BF125" i="7" s="1"/>
  <c r="BA125" i="7" s="1"/>
  <c r="AV125" i="7" s="1"/>
  <c r="AQ125" i="7" s="1"/>
  <c r="AL125" i="7" s="1"/>
  <c r="AG125" i="7" s="1"/>
  <c r="AB125" i="7" s="1"/>
  <c r="W125" i="7" s="1"/>
  <c r="BU126" i="7"/>
  <c r="BP126" i="7" s="1"/>
  <c r="BK126" i="7" s="1"/>
  <c r="BF126" i="7" s="1"/>
  <c r="BA126" i="7" s="1"/>
  <c r="AV126" i="7" s="1"/>
  <c r="AQ126" i="7" s="1"/>
  <c r="AL126" i="7" s="1"/>
  <c r="AG126" i="7" s="1"/>
  <c r="AB126" i="7" s="1"/>
  <c r="W126" i="7" s="1"/>
  <c r="BU127" i="7"/>
  <c r="BP127" i="7" s="1"/>
  <c r="BK127" i="7" s="1"/>
  <c r="BF127" i="7" s="1"/>
  <c r="BA127" i="7" s="1"/>
  <c r="AV127" i="7" s="1"/>
  <c r="AQ127" i="7" s="1"/>
  <c r="AL127" i="7" s="1"/>
  <c r="AG127" i="7" s="1"/>
  <c r="AB127" i="7" s="1"/>
  <c r="W127" i="7" s="1"/>
  <c r="BU128" i="7"/>
  <c r="BP128" i="7" s="1"/>
  <c r="BK128" i="7" s="1"/>
  <c r="BF128" i="7" s="1"/>
  <c r="BA128" i="7" s="1"/>
  <c r="AV128" i="7" s="1"/>
  <c r="AQ128" i="7" s="1"/>
  <c r="AL128" i="7" s="1"/>
  <c r="AG128" i="7" s="1"/>
  <c r="AB128" i="7" s="1"/>
  <c r="W128" i="7" s="1"/>
  <c r="BU129" i="7"/>
  <c r="BP129" i="7" s="1"/>
  <c r="BK129" i="7" s="1"/>
  <c r="BF129" i="7" s="1"/>
  <c r="BA129" i="7" s="1"/>
  <c r="AV129" i="7" s="1"/>
  <c r="AQ129" i="7" s="1"/>
  <c r="AL129" i="7" s="1"/>
  <c r="AG129" i="7" s="1"/>
  <c r="AB129" i="7" s="1"/>
  <c r="W129" i="7" s="1"/>
  <c r="BU130" i="7"/>
  <c r="BP130" i="7" s="1"/>
  <c r="BK130" i="7" s="1"/>
  <c r="BF130" i="7" s="1"/>
  <c r="BA130" i="7" s="1"/>
  <c r="AV130" i="7" s="1"/>
  <c r="AQ130" i="7" s="1"/>
  <c r="AL130" i="7" s="1"/>
  <c r="AG130" i="7" s="1"/>
  <c r="AB130" i="7" s="1"/>
  <c r="W130" i="7" s="1"/>
  <c r="BU131" i="7"/>
  <c r="BP131" i="7" s="1"/>
  <c r="BK131" i="7" s="1"/>
  <c r="BF131" i="7" s="1"/>
  <c r="BA131" i="7" s="1"/>
  <c r="AV131" i="7" s="1"/>
  <c r="AQ131" i="7" s="1"/>
  <c r="AL131" i="7" s="1"/>
  <c r="AG131" i="7" s="1"/>
  <c r="AB131" i="7" s="1"/>
  <c r="W131" i="7" s="1"/>
  <c r="BU132" i="7"/>
  <c r="BP132" i="7" s="1"/>
  <c r="BK132" i="7" s="1"/>
  <c r="BF132" i="7" s="1"/>
  <c r="BA132" i="7" s="1"/>
  <c r="AV132" i="7" s="1"/>
  <c r="AQ132" i="7" s="1"/>
  <c r="AL132" i="7" s="1"/>
  <c r="AG132" i="7" s="1"/>
  <c r="AB132" i="7" s="1"/>
  <c r="W132" i="7" s="1"/>
  <c r="BU133" i="7"/>
  <c r="BP133" i="7" s="1"/>
  <c r="BK133" i="7" s="1"/>
  <c r="BF133" i="7" s="1"/>
  <c r="BA133" i="7" s="1"/>
  <c r="AV133" i="7" s="1"/>
  <c r="AQ133" i="7" s="1"/>
  <c r="AL133" i="7" s="1"/>
  <c r="AG133" i="7" s="1"/>
  <c r="AB133" i="7" s="1"/>
  <c r="W133" i="7" s="1"/>
  <c r="BU134" i="7"/>
  <c r="BP134" i="7" s="1"/>
  <c r="BK134" i="7" s="1"/>
  <c r="BF134" i="7" s="1"/>
  <c r="BA134" i="7" s="1"/>
  <c r="AV134" i="7" s="1"/>
  <c r="AQ134" i="7" s="1"/>
  <c r="AL134" i="7" s="1"/>
  <c r="AG134" i="7" s="1"/>
  <c r="AB134" i="7" s="1"/>
  <c r="W134" i="7" s="1"/>
  <c r="BU135" i="7"/>
  <c r="BP135" i="7" s="1"/>
  <c r="BK135" i="7" s="1"/>
  <c r="BF135" i="7" s="1"/>
  <c r="BA135" i="7" s="1"/>
  <c r="AV135" i="7" s="1"/>
  <c r="AQ135" i="7" s="1"/>
  <c r="AL135" i="7" s="1"/>
  <c r="AG135" i="7" s="1"/>
  <c r="AB135" i="7" s="1"/>
  <c r="W135" i="7" s="1"/>
  <c r="BU136" i="7"/>
  <c r="BP136" i="7" s="1"/>
  <c r="BK136" i="7" s="1"/>
  <c r="BF136" i="7" s="1"/>
  <c r="BA136" i="7" s="1"/>
  <c r="AV136" i="7" s="1"/>
  <c r="AQ136" i="7" s="1"/>
  <c r="AL136" i="7" s="1"/>
  <c r="AG136" i="7" s="1"/>
  <c r="AB136" i="7" s="1"/>
  <c r="W136" i="7" s="1"/>
  <c r="BU137" i="7"/>
  <c r="BP137" i="7" s="1"/>
  <c r="BK137" i="7" s="1"/>
  <c r="BF137" i="7" s="1"/>
  <c r="BA137" i="7" s="1"/>
  <c r="AV137" i="7" s="1"/>
  <c r="AQ137" i="7" s="1"/>
  <c r="AL137" i="7" s="1"/>
  <c r="AG137" i="7" s="1"/>
  <c r="AB137" i="7" s="1"/>
  <c r="W137" i="7" s="1"/>
  <c r="BU138" i="7"/>
  <c r="BP138" i="7" s="1"/>
  <c r="BK138" i="7" s="1"/>
  <c r="BF138" i="7" s="1"/>
  <c r="BA138" i="7" s="1"/>
  <c r="AV138" i="7" s="1"/>
  <c r="AQ138" i="7" s="1"/>
  <c r="AL138" i="7" s="1"/>
  <c r="AG138" i="7" s="1"/>
  <c r="AB138" i="7" s="1"/>
  <c r="W138" i="7" s="1"/>
  <c r="BU139" i="7"/>
  <c r="BP139" i="7" s="1"/>
  <c r="BK139" i="7" s="1"/>
  <c r="BF139" i="7" s="1"/>
  <c r="BA139" i="7" s="1"/>
  <c r="AV139" i="7" s="1"/>
  <c r="AQ139" i="7" s="1"/>
  <c r="AL139" i="7" s="1"/>
  <c r="AG139" i="7" s="1"/>
  <c r="AB139" i="7" s="1"/>
  <c r="W139" i="7" s="1"/>
  <c r="BU140" i="7"/>
  <c r="BP140" i="7" s="1"/>
  <c r="BK140" i="7" s="1"/>
  <c r="BF140" i="7" s="1"/>
  <c r="BA140" i="7" s="1"/>
  <c r="AV140" i="7" s="1"/>
  <c r="AQ140" i="7" s="1"/>
  <c r="AL140" i="7" s="1"/>
  <c r="AG140" i="7" s="1"/>
  <c r="AB140" i="7" s="1"/>
  <c r="W140" i="7" s="1"/>
  <c r="BU141" i="7"/>
  <c r="BP141" i="7" s="1"/>
  <c r="BK141" i="7" s="1"/>
  <c r="BF141" i="7" s="1"/>
  <c r="BA141" i="7" s="1"/>
  <c r="AV141" i="7" s="1"/>
  <c r="AQ141" i="7" s="1"/>
  <c r="AL141" i="7" s="1"/>
  <c r="AG141" i="7" s="1"/>
  <c r="AB141" i="7" s="1"/>
  <c r="W141" i="7" s="1"/>
  <c r="BU142" i="7"/>
  <c r="BP142" i="7" s="1"/>
  <c r="BK142" i="7" s="1"/>
  <c r="BF142" i="7" s="1"/>
  <c r="BA142" i="7" s="1"/>
  <c r="AV142" i="7" s="1"/>
  <c r="AQ142" i="7" s="1"/>
  <c r="AL142" i="7" s="1"/>
  <c r="AG142" i="7" s="1"/>
  <c r="AB142" i="7" s="1"/>
  <c r="W142" i="7" s="1"/>
  <c r="BU143" i="7"/>
  <c r="BP143" i="7" s="1"/>
  <c r="BK143" i="7" s="1"/>
  <c r="BF143" i="7" s="1"/>
  <c r="BA143" i="7" s="1"/>
  <c r="AV143" i="7" s="1"/>
  <c r="AQ143" i="7" s="1"/>
  <c r="AL143" i="7" s="1"/>
  <c r="AG143" i="7" s="1"/>
  <c r="AB143" i="7" s="1"/>
  <c r="W143" i="7" s="1"/>
  <c r="BU144" i="7"/>
  <c r="BP144" i="7" s="1"/>
  <c r="BK144" i="7" s="1"/>
  <c r="BF144" i="7" s="1"/>
  <c r="BA144" i="7" s="1"/>
  <c r="AV144" i="7" s="1"/>
  <c r="AQ144" i="7" s="1"/>
  <c r="AL144" i="7" s="1"/>
  <c r="AG144" i="7" s="1"/>
  <c r="AB144" i="7" s="1"/>
  <c r="W144" i="7" s="1"/>
  <c r="BU145" i="7"/>
  <c r="BP145" i="7" s="1"/>
  <c r="BK145" i="7" s="1"/>
  <c r="BF145" i="7" s="1"/>
  <c r="BA145" i="7" s="1"/>
  <c r="AV145" i="7" s="1"/>
  <c r="AQ145" i="7" s="1"/>
  <c r="AL145" i="7" s="1"/>
  <c r="AG145" i="7" s="1"/>
  <c r="AB145" i="7" s="1"/>
  <c r="W145" i="7" s="1"/>
  <c r="BU146" i="7"/>
  <c r="BP146" i="7" s="1"/>
  <c r="BK146" i="7" s="1"/>
  <c r="BF146" i="7" s="1"/>
  <c r="BA146" i="7" s="1"/>
  <c r="AV146" i="7" s="1"/>
  <c r="AQ146" i="7" s="1"/>
  <c r="AL146" i="7" s="1"/>
  <c r="AG146" i="7" s="1"/>
  <c r="AB146" i="7" s="1"/>
  <c r="W146" i="7" s="1"/>
  <c r="BU147" i="7"/>
  <c r="BP147" i="7" s="1"/>
  <c r="BK147" i="7" s="1"/>
  <c r="BF147" i="7" s="1"/>
  <c r="BA147" i="7" s="1"/>
  <c r="AV147" i="7" s="1"/>
  <c r="AQ147" i="7" s="1"/>
  <c r="AL147" i="7" s="1"/>
  <c r="AG147" i="7" s="1"/>
  <c r="AB147" i="7" s="1"/>
  <c r="W147" i="7" s="1"/>
  <c r="BU148" i="7"/>
  <c r="BP148" i="7" s="1"/>
  <c r="BK148" i="7" s="1"/>
  <c r="BF148" i="7" s="1"/>
  <c r="BA148" i="7" s="1"/>
  <c r="AV148" i="7" s="1"/>
  <c r="AQ148" i="7" s="1"/>
  <c r="AL148" i="7" s="1"/>
  <c r="AG148" i="7" s="1"/>
  <c r="AB148" i="7" s="1"/>
  <c r="W148" i="7" s="1"/>
  <c r="BU149" i="7"/>
  <c r="BP149" i="7" s="1"/>
  <c r="BK149" i="7" s="1"/>
  <c r="BF149" i="7" s="1"/>
  <c r="BA149" i="7" s="1"/>
  <c r="AV149" i="7" s="1"/>
  <c r="AQ149" i="7" s="1"/>
  <c r="AL149" i="7" s="1"/>
  <c r="AG149" i="7" s="1"/>
  <c r="AB149" i="7" s="1"/>
  <c r="W149" i="7" s="1"/>
  <c r="BU150" i="7"/>
  <c r="BP150" i="7" s="1"/>
  <c r="BK150" i="7" s="1"/>
  <c r="BF150" i="7" s="1"/>
  <c r="BA150" i="7" s="1"/>
  <c r="AV150" i="7" s="1"/>
  <c r="AQ150" i="7" s="1"/>
  <c r="AL150" i="7" s="1"/>
  <c r="AG150" i="7" s="1"/>
  <c r="AB150" i="7" s="1"/>
  <c r="W150" i="7" s="1"/>
  <c r="BU151" i="7"/>
  <c r="BP151" i="7" s="1"/>
  <c r="BK151" i="7" s="1"/>
  <c r="BF151" i="7" s="1"/>
  <c r="BA151" i="7" s="1"/>
  <c r="AV151" i="7" s="1"/>
  <c r="AQ151" i="7" s="1"/>
  <c r="AL151" i="7" s="1"/>
  <c r="AG151" i="7" s="1"/>
  <c r="AB151" i="7" s="1"/>
  <c r="W151" i="7" s="1"/>
  <c r="BU152" i="7"/>
  <c r="BP152" i="7" s="1"/>
  <c r="BK152" i="7" s="1"/>
  <c r="BF152" i="7" s="1"/>
  <c r="BA152" i="7" s="1"/>
  <c r="AV152" i="7" s="1"/>
  <c r="AQ152" i="7" s="1"/>
  <c r="AL152" i="7" s="1"/>
  <c r="AG152" i="7" s="1"/>
  <c r="AB152" i="7" s="1"/>
  <c r="W152" i="7" s="1"/>
  <c r="BU153" i="7"/>
  <c r="BP153" i="7" s="1"/>
  <c r="BK153" i="7" s="1"/>
  <c r="BF153" i="7" s="1"/>
  <c r="BA153" i="7" s="1"/>
  <c r="AV153" i="7" s="1"/>
  <c r="AQ153" i="7" s="1"/>
  <c r="AL153" i="7" s="1"/>
  <c r="AG153" i="7" s="1"/>
  <c r="AB153" i="7" s="1"/>
  <c r="W153" i="7" s="1"/>
  <c r="BU154" i="7"/>
  <c r="BP154" i="7" s="1"/>
  <c r="BK154" i="7" s="1"/>
  <c r="BF154" i="7" s="1"/>
  <c r="BA154" i="7" s="1"/>
  <c r="AV154" i="7" s="1"/>
  <c r="AQ154" i="7" s="1"/>
  <c r="AL154" i="7" s="1"/>
  <c r="AG154" i="7" s="1"/>
  <c r="AB154" i="7" s="1"/>
  <c r="W154" i="7" s="1"/>
  <c r="BU155" i="7"/>
  <c r="BP155" i="7" s="1"/>
  <c r="BK155" i="7" s="1"/>
  <c r="BF155" i="7" s="1"/>
  <c r="BA155" i="7" s="1"/>
  <c r="AV155" i="7" s="1"/>
  <c r="AQ155" i="7" s="1"/>
  <c r="AL155" i="7" s="1"/>
  <c r="AG155" i="7" s="1"/>
  <c r="AB155" i="7" s="1"/>
  <c r="W155" i="7" s="1"/>
  <c r="BU156" i="7"/>
  <c r="BP156" i="7" s="1"/>
  <c r="BK156" i="7" s="1"/>
  <c r="BF156" i="7" s="1"/>
  <c r="BA156" i="7" s="1"/>
  <c r="AV156" i="7" s="1"/>
  <c r="AQ156" i="7" s="1"/>
  <c r="AL156" i="7" s="1"/>
  <c r="AG156" i="7" s="1"/>
  <c r="AB156" i="7" s="1"/>
  <c r="W156" i="7" s="1"/>
  <c r="BU157" i="7"/>
  <c r="BP157" i="7" s="1"/>
  <c r="BK157" i="7" s="1"/>
  <c r="BF157" i="7" s="1"/>
  <c r="BA157" i="7" s="1"/>
  <c r="AV157" i="7" s="1"/>
  <c r="AQ157" i="7" s="1"/>
  <c r="AL157" i="7" s="1"/>
  <c r="AG157" i="7" s="1"/>
  <c r="AB157" i="7" s="1"/>
  <c r="W157" i="7" s="1"/>
  <c r="BU158" i="7"/>
  <c r="BP158" i="7" s="1"/>
  <c r="BK158" i="7" s="1"/>
  <c r="BF158" i="7" s="1"/>
  <c r="BA158" i="7" s="1"/>
  <c r="AV158" i="7" s="1"/>
  <c r="AQ158" i="7" s="1"/>
  <c r="AL158" i="7" s="1"/>
  <c r="AG158" i="7" s="1"/>
  <c r="AB158" i="7" s="1"/>
  <c r="W158" i="7" s="1"/>
  <c r="BU159" i="7"/>
  <c r="BP159" i="7" s="1"/>
  <c r="BK159" i="7" s="1"/>
  <c r="BF159" i="7" s="1"/>
  <c r="BA159" i="7" s="1"/>
  <c r="AV159" i="7" s="1"/>
  <c r="AQ159" i="7" s="1"/>
  <c r="AL159" i="7" s="1"/>
  <c r="AG159" i="7" s="1"/>
  <c r="AB159" i="7" s="1"/>
  <c r="W159" i="7" s="1"/>
  <c r="BU160" i="7"/>
  <c r="BP160" i="7" s="1"/>
  <c r="BK160" i="7" s="1"/>
  <c r="BF160" i="7" s="1"/>
  <c r="BA160" i="7" s="1"/>
  <c r="AV160" i="7" s="1"/>
  <c r="AQ160" i="7" s="1"/>
  <c r="AL160" i="7" s="1"/>
  <c r="AG160" i="7" s="1"/>
  <c r="AB160" i="7" s="1"/>
  <c r="W160" i="7" s="1"/>
  <c r="BU161" i="7"/>
  <c r="BP161" i="7" s="1"/>
  <c r="BK161" i="7" s="1"/>
  <c r="BF161" i="7" s="1"/>
  <c r="BA161" i="7" s="1"/>
  <c r="AV161" i="7" s="1"/>
  <c r="AQ161" i="7" s="1"/>
  <c r="AL161" i="7" s="1"/>
  <c r="AG161" i="7" s="1"/>
  <c r="AB161" i="7" s="1"/>
  <c r="W161" i="7" s="1"/>
  <c r="BU162" i="7"/>
  <c r="BP162" i="7" s="1"/>
  <c r="BK162" i="7" s="1"/>
  <c r="BF162" i="7" s="1"/>
  <c r="BA162" i="7" s="1"/>
  <c r="AV162" i="7" s="1"/>
  <c r="AQ162" i="7" s="1"/>
  <c r="AL162" i="7" s="1"/>
  <c r="AG162" i="7" s="1"/>
  <c r="AB162" i="7" s="1"/>
  <c r="W162" i="7" s="1"/>
  <c r="BU163" i="7"/>
  <c r="BP163" i="7" s="1"/>
  <c r="BK163" i="7" s="1"/>
  <c r="BF163" i="7" s="1"/>
  <c r="BA163" i="7" s="1"/>
  <c r="AV163" i="7" s="1"/>
  <c r="AQ163" i="7" s="1"/>
  <c r="AL163" i="7" s="1"/>
  <c r="AG163" i="7" s="1"/>
  <c r="AB163" i="7" s="1"/>
  <c r="W163" i="7" s="1"/>
  <c r="BU164" i="7"/>
  <c r="BP164" i="7" s="1"/>
  <c r="BK164" i="7" s="1"/>
  <c r="BF164" i="7" s="1"/>
  <c r="BA164" i="7" s="1"/>
  <c r="AV164" i="7" s="1"/>
  <c r="AQ164" i="7" s="1"/>
  <c r="AL164" i="7" s="1"/>
  <c r="AG164" i="7" s="1"/>
  <c r="AB164" i="7" s="1"/>
  <c r="W164" i="7" s="1"/>
  <c r="BU165" i="7"/>
  <c r="BP165" i="7" s="1"/>
  <c r="BK165" i="7" s="1"/>
  <c r="BF165" i="7" s="1"/>
  <c r="BA165" i="7" s="1"/>
  <c r="AV165" i="7" s="1"/>
  <c r="AQ165" i="7" s="1"/>
  <c r="AL165" i="7" s="1"/>
  <c r="AG165" i="7" s="1"/>
  <c r="AB165" i="7" s="1"/>
  <c r="W165" i="7" s="1"/>
  <c r="BU166" i="7"/>
  <c r="BP166" i="7" s="1"/>
  <c r="BK166" i="7" s="1"/>
  <c r="BF166" i="7" s="1"/>
  <c r="BA166" i="7" s="1"/>
  <c r="AV166" i="7" s="1"/>
  <c r="AQ166" i="7" s="1"/>
  <c r="AL166" i="7" s="1"/>
  <c r="AG166" i="7" s="1"/>
  <c r="AB166" i="7" s="1"/>
  <c r="W166" i="7" s="1"/>
  <c r="BU167" i="7"/>
  <c r="BP167" i="7" s="1"/>
  <c r="BK167" i="7" s="1"/>
  <c r="BF167" i="7" s="1"/>
  <c r="BA167" i="7" s="1"/>
  <c r="AV167" i="7" s="1"/>
  <c r="AQ167" i="7" s="1"/>
  <c r="AL167" i="7" s="1"/>
  <c r="AG167" i="7" s="1"/>
  <c r="AB167" i="7" s="1"/>
  <c r="W167" i="7" s="1"/>
  <c r="BU168" i="7"/>
  <c r="BP168" i="7" s="1"/>
  <c r="BK168" i="7" s="1"/>
  <c r="BF168" i="7" s="1"/>
  <c r="BA168" i="7" s="1"/>
  <c r="AV168" i="7" s="1"/>
  <c r="AQ168" i="7" s="1"/>
  <c r="AL168" i="7" s="1"/>
  <c r="AG168" i="7" s="1"/>
  <c r="AB168" i="7" s="1"/>
  <c r="W168" i="7" s="1"/>
  <c r="BU169" i="7"/>
  <c r="BP169" i="7" s="1"/>
  <c r="BK169" i="7" s="1"/>
  <c r="BF169" i="7" s="1"/>
  <c r="BA169" i="7" s="1"/>
  <c r="AV169" i="7" s="1"/>
  <c r="AQ169" i="7" s="1"/>
  <c r="AL169" i="7" s="1"/>
  <c r="AG169" i="7" s="1"/>
  <c r="AB169" i="7" s="1"/>
  <c r="W169" i="7" s="1"/>
  <c r="BU170" i="7"/>
  <c r="BP170" i="7" s="1"/>
  <c r="BK170" i="7" s="1"/>
  <c r="BF170" i="7" s="1"/>
  <c r="BA170" i="7" s="1"/>
  <c r="AV170" i="7" s="1"/>
  <c r="AQ170" i="7" s="1"/>
  <c r="AL170" i="7" s="1"/>
  <c r="AG170" i="7" s="1"/>
  <c r="AB170" i="7" s="1"/>
  <c r="W170" i="7" s="1"/>
  <c r="BU171" i="7"/>
  <c r="BP171" i="7" s="1"/>
  <c r="BK171" i="7" s="1"/>
  <c r="BF171" i="7" s="1"/>
  <c r="BA171" i="7" s="1"/>
  <c r="AV171" i="7" s="1"/>
  <c r="AQ171" i="7" s="1"/>
  <c r="AL171" i="7" s="1"/>
  <c r="AG171" i="7" s="1"/>
  <c r="AB171" i="7" s="1"/>
  <c r="W171" i="7" s="1"/>
  <c r="BU172" i="7"/>
  <c r="BP172" i="7" s="1"/>
  <c r="BK172" i="7" s="1"/>
  <c r="BF172" i="7" s="1"/>
  <c r="BA172" i="7" s="1"/>
  <c r="AV172" i="7" s="1"/>
  <c r="AQ172" i="7" s="1"/>
  <c r="AL172" i="7" s="1"/>
  <c r="AG172" i="7" s="1"/>
  <c r="AB172" i="7" s="1"/>
  <c r="W172" i="7" s="1"/>
  <c r="BU173" i="7"/>
  <c r="BP173" i="7" s="1"/>
  <c r="BK173" i="7" s="1"/>
  <c r="BF173" i="7" s="1"/>
  <c r="BA173" i="7" s="1"/>
  <c r="AV173" i="7" s="1"/>
  <c r="AQ173" i="7" s="1"/>
  <c r="AL173" i="7" s="1"/>
  <c r="AG173" i="7" s="1"/>
  <c r="AB173" i="7" s="1"/>
  <c r="W173" i="7" s="1"/>
  <c r="BU174" i="7"/>
  <c r="BP174" i="7" s="1"/>
  <c r="BK174" i="7" s="1"/>
  <c r="BF174" i="7" s="1"/>
  <c r="BA174" i="7" s="1"/>
  <c r="AV174" i="7" s="1"/>
  <c r="AQ174" i="7" s="1"/>
  <c r="AL174" i="7" s="1"/>
  <c r="AG174" i="7" s="1"/>
  <c r="AB174" i="7" s="1"/>
  <c r="W174" i="7" s="1"/>
  <c r="BU175" i="7"/>
  <c r="BP175" i="7" s="1"/>
  <c r="BK175" i="7" s="1"/>
  <c r="BF175" i="7" s="1"/>
  <c r="BA175" i="7" s="1"/>
  <c r="AV175" i="7" s="1"/>
  <c r="AQ175" i="7" s="1"/>
  <c r="AL175" i="7" s="1"/>
  <c r="AG175" i="7" s="1"/>
  <c r="AB175" i="7" s="1"/>
  <c r="W175" i="7" s="1"/>
  <c r="BU176" i="7"/>
  <c r="BP176" i="7" s="1"/>
  <c r="BK176" i="7" s="1"/>
  <c r="BF176" i="7" s="1"/>
  <c r="BA176" i="7" s="1"/>
  <c r="AV176" i="7" s="1"/>
  <c r="AQ176" i="7" s="1"/>
  <c r="AL176" i="7" s="1"/>
  <c r="AG176" i="7" s="1"/>
  <c r="AB176" i="7" s="1"/>
  <c r="W176" i="7" s="1"/>
  <c r="BU177" i="7"/>
  <c r="BP177" i="7" s="1"/>
  <c r="BK177" i="7" s="1"/>
  <c r="BF177" i="7" s="1"/>
  <c r="BA177" i="7" s="1"/>
  <c r="AV177" i="7" s="1"/>
  <c r="AQ177" i="7" s="1"/>
  <c r="AL177" i="7" s="1"/>
  <c r="AG177" i="7" s="1"/>
  <c r="AB177" i="7" s="1"/>
  <c r="W177" i="7" s="1"/>
  <c r="BU178" i="7"/>
  <c r="BP178" i="7" s="1"/>
  <c r="BK178" i="7" s="1"/>
  <c r="BF178" i="7" s="1"/>
  <c r="BA178" i="7" s="1"/>
  <c r="AV178" i="7" s="1"/>
  <c r="AQ178" i="7" s="1"/>
  <c r="AL178" i="7" s="1"/>
  <c r="AG178" i="7" s="1"/>
  <c r="AB178" i="7" s="1"/>
  <c r="W178" i="7" s="1"/>
  <c r="BU179" i="7"/>
  <c r="BP179" i="7" s="1"/>
  <c r="BK179" i="7" s="1"/>
  <c r="BF179" i="7" s="1"/>
  <c r="BA179" i="7" s="1"/>
  <c r="AV179" i="7" s="1"/>
  <c r="AQ179" i="7" s="1"/>
  <c r="AL179" i="7" s="1"/>
  <c r="AG179" i="7" s="1"/>
  <c r="AB179" i="7" s="1"/>
  <c r="W179" i="7" s="1"/>
  <c r="BU180" i="7"/>
  <c r="BP180" i="7" s="1"/>
  <c r="BK180" i="7" s="1"/>
  <c r="BF180" i="7" s="1"/>
  <c r="BA180" i="7" s="1"/>
  <c r="AV180" i="7" s="1"/>
  <c r="AQ180" i="7" s="1"/>
  <c r="AL180" i="7" s="1"/>
  <c r="AG180" i="7" s="1"/>
  <c r="AB180" i="7" s="1"/>
  <c r="W180" i="7" s="1"/>
  <c r="BU181" i="7"/>
  <c r="BP181" i="7" s="1"/>
  <c r="BK181" i="7" s="1"/>
  <c r="BF181" i="7" s="1"/>
  <c r="BA181" i="7" s="1"/>
  <c r="AV181" i="7" s="1"/>
  <c r="AQ181" i="7" s="1"/>
  <c r="AL181" i="7" s="1"/>
  <c r="AG181" i="7" s="1"/>
  <c r="AB181" i="7" s="1"/>
  <c r="W181" i="7" s="1"/>
  <c r="BU182" i="7"/>
  <c r="BP182" i="7" s="1"/>
  <c r="BK182" i="7" s="1"/>
  <c r="BF182" i="7" s="1"/>
  <c r="BA182" i="7" s="1"/>
  <c r="AV182" i="7" s="1"/>
  <c r="AQ182" i="7" s="1"/>
  <c r="AL182" i="7" s="1"/>
  <c r="AG182" i="7" s="1"/>
  <c r="AB182" i="7" s="1"/>
  <c r="W182" i="7" s="1"/>
  <c r="BU183" i="7"/>
  <c r="BP183" i="7" s="1"/>
  <c r="BK183" i="7" s="1"/>
  <c r="BF183" i="7" s="1"/>
  <c r="BA183" i="7" s="1"/>
  <c r="AV183" i="7" s="1"/>
  <c r="AQ183" i="7" s="1"/>
  <c r="AL183" i="7" s="1"/>
  <c r="AG183" i="7" s="1"/>
  <c r="AB183" i="7" s="1"/>
  <c r="W183" i="7" s="1"/>
  <c r="BU184" i="7"/>
  <c r="BP184" i="7" s="1"/>
  <c r="BK184" i="7" s="1"/>
  <c r="BF184" i="7" s="1"/>
  <c r="BA184" i="7" s="1"/>
  <c r="AV184" i="7" s="1"/>
  <c r="AQ184" i="7" s="1"/>
  <c r="AL184" i="7" s="1"/>
  <c r="AG184" i="7" s="1"/>
  <c r="AB184" i="7" s="1"/>
  <c r="W184" i="7" s="1"/>
  <c r="BU185" i="7"/>
  <c r="BP185" i="7" s="1"/>
  <c r="BK185" i="7" s="1"/>
  <c r="BF185" i="7" s="1"/>
  <c r="BA185" i="7" s="1"/>
  <c r="AV185" i="7" s="1"/>
  <c r="AQ185" i="7" s="1"/>
  <c r="AL185" i="7" s="1"/>
  <c r="AG185" i="7" s="1"/>
  <c r="AB185" i="7" s="1"/>
  <c r="W185" i="7" s="1"/>
  <c r="BU186" i="7"/>
  <c r="BP186" i="7" s="1"/>
  <c r="BK186" i="7" s="1"/>
  <c r="BF186" i="7" s="1"/>
  <c r="BA186" i="7" s="1"/>
  <c r="AV186" i="7" s="1"/>
  <c r="AQ186" i="7" s="1"/>
  <c r="AL186" i="7" s="1"/>
  <c r="AG186" i="7" s="1"/>
  <c r="AB186" i="7" s="1"/>
  <c r="W186" i="7" s="1"/>
  <c r="BU187" i="7"/>
  <c r="BP187" i="7" s="1"/>
  <c r="BK187" i="7" s="1"/>
  <c r="BF187" i="7" s="1"/>
  <c r="BA187" i="7" s="1"/>
  <c r="AV187" i="7" s="1"/>
  <c r="AQ187" i="7" s="1"/>
  <c r="AL187" i="7" s="1"/>
  <c r="AG187" i="7" s="1"/>
  <c r="AB187" i="7" s="1"/>
  <c r="W187" i="7" s="1"/>
  <c r="BU188" i="7"/>
  <c r="BP188" i="7" s="1"/>
  <c r="BK188" i="7" s="1"/>
  <c r="BF188" i="7" s="1"/>
  <c r="BA188" i="7" s="1"/>
  <c r="AV188" i="7" s="1"/>
  <c r="AQ188" i="7" s="1"/>
  <c r="AL188" i="7" s="1"/>
  <c r="AG188" i="7" s="1"/>
  <c r="AB188" i="7" s="1"/>
  <c r="W188" i="7" s="1"/>
  <c r="BU189" i="7"/>
  <c r="BP189" i="7" s="1"/>
  <c r="BK189" i="7" s="1"/>
  <c r="BF189" i="7" s="1"/>
  <c r="BA189" i="7" s="1"/>
  <c r="AV189" i="7" s="1"/>
  <c r="AQ189" i="7" s="1"/>
  <c r="AL189" i="7" s="1"/>
  <c r="AG189" i="7" s="1"/>
  <c r="AB189" i="7" s="1"/>
  <c r="W189" i="7" s="1"/>
  <c r="BU190" i="7"/>
  <c r="BP190" i="7" s="1"/>
  <c r="BK190" i="7" s="1"/>
  <c r="BF190" i="7" s="1"/>
  <c r="BA190" i="7" s="1"/>
  <c r="AV190" i="7" s="1"/>
  <c r="AQ190" i="7" s="1"/>
  <c r="AL190" i="7" s="1"/>
  <c r="AG190" i="7" s="1"/>
  <c r="AB190" i="7" s="1"/>
  <c r="W190" i="7" s="1"/>
  <c r="BU191" i="7"/>
  <c r="BP191" i="7" s="1"/>
  <c r="BK191" i="7" s="1"/>
  <c r="BF191" i="7" s="1"/>
  <c r="BA191" i="7" s="1"/>
  <c r="AV191" i="7" s="1"/>
  <c r="AQ191" i="7" s="1"/>
  <c r="AL191" i="7" s="1"/>
  <c r="AG191" i="7" s="1"/>
  <c r="AB191" i="7" s="1"/>
  <c r="W191" i="7" s="1"/>
  <c r="BU192" i="7"/>
  <c r="BP192" i="7" s="1"/>
  <c r="BK192" i="7" s="1"/>
  <c r="BF192" i="7" s="1"/>
  <c r="BA192" i="7" s="1"/>
  <c r="AV192" i="7" s="1"/>
  <c r="AQ192" i="7" s="1"/>
  <c r="AL192" i="7" s="1"/>
  <c r="AG192" i="7" s="1"/>
  <c r="AB192" i="7" s="1"/>
  <c r="W192" i="7" s="1"/>
  <c r="BU193" i="7"/>
  <c r="BP193" i="7" s="1"/>
  <c r="BK193" i="7" s="1"/>
  <c r="BF193" i="7" s="1"/>
  <c r="BA193" i="7" s="1"/>
  <c r="AV193" i="7" s="1"/>
  <c r="AQ193" i="7" s="1"/>
  <c r="AL193" i="7" s="1"/>
  <c r="AG193" i="7" s="1"/>
  <c r="AB193" i="7" s="1"/>
  <c r="W193" i="7" s="1"/>
  <c r="BU194" i="7"/>
  <c r="BP194" i="7" s="1"/>
  <c r="BK194" i="7" s="1"/>
  <c r="BF194" i="7" s="1"/>
  <c r="BA194" i="7" s="1"/>
  <c r="AV194" i="7" s="1"/>
  <c r="AQ194" i="7" s="1"/>
  <c r="AL194" i="7" s="1"/>
  <c r="AG194" i="7" s="1"/>
  <c r="AB194" i="7" s="1"/>
  <c r="W194" i="7" s="1"/>
  <c r="BU195" i="7"/>
  <c r="BP195" i="7" s="1"/>
  <c r="BK195" i="7" s="1"/>
  <c r="BF195" i="7" s="1"/>
  <c r="BA195" i="7" s="1"/>
  <c r="AV195" i="7" s="1"/>
  <c r="AQ195" i="7" s="1"/>
  <c r="AL195" i="7" s="1"/>
  <c r="AG195" i="7" s="1"/>
  <c r="AB195" i="7" s="1"/>
  <c r="W195" i="7" s="1"/>
  <c r="BU196" i="7"/>
  <c r="BP196" i="7" s="1"/>
  <c r="BK196" i="7" s="1"/>
  <c r="BF196" i="7" s="1"/>
  <c r="BA196" i="7" s="1"/>
  <c r="AV196" i="7" s="1"/>
  <c r="AQ196" i="7" s="1"/>
  <c r="AL196" i="7" s="1"/>
  <c r="AG196" i="7" s="1"/>
  <c r="AB196" i="7" s="1"/>
  <c r="W196" i="7" s="1"/>
  <c r="BU197" i="7"/>
  <c r="BP197" i="7" s="1"/>
  <c r="BK197" i="7" s="1"/>
  <c r="BF197" i="7" s="1"/>
  <c r="BA197" i="7" s="1"/>
  <c r="AV197" i="7" s="1"/>
  <c r="AQ197" i="7" s="1"/>
  <c r="AL197" i="7" s="1"/>
  <c r="AG197" i="7" s="1"/>
  <c r="AB197" i="7" s="1"/>
  <c r="W197" i="7" s="1"/>
  <c r="BU198" i="7"/>
  <c r="BP198" i="7" s="1"/>
  <c r="BK198" i="7" s="1"/>
  <c r="BF198" i="7" s="1"/>
  <c r="BA198" i="7" s="1"/>
  <c r="AV198" i="7" s="1"/>
  <c r="AQ198" i="7" s="1"/>
  <c r="AL198" i="7" s="1"/>
  <c r="AG198" i="7" s="1"/>
  <c r="AB198" i="7" s="1"/>
  <c r="W198" i="7" s="1"/>
  <c r="BU199" i="7"/>
  <c r="BP199" i="7" s="1"/>
  <c r="BK199" i="7" s="1"/>
  <c r="BF199" i="7" s="1"/>
  <c r="BA199" i="7" s="1"/>
  <c r="AV199" i="7" s="1"/>
  <c r="AQ199" i="7" s="1"/>
  <c r="AL199" i="7" s="1"/>
  <c r="AG199" i="7" s="1"/>
  <c r="AB199" i="7" s="1"/>
  <c r="W199" i="7" s="1"/>
  <c r="BU200" i="7"/>
  <c r="BP200" i="7" s="1"/>
  <c r="BK200" i="7" s="1"/>
  <c r="BF200" i="7" s="1"/>
  <c r="BA200" i="7" s="1"/>
  <c r="AV200" i="7" s="1"/>
  <c r="AQ200" i="7" s="1"/>
  <c r="AL200" i="7" s="1"/>
  <c r="AG200" i="7" s="1"/>
  <c r="AB200" i="7" s="1"/>
  <c r="W200" i="7" s="1"/>
  <c r="BU201" i="7"/>
  <c r="BP201" i="7" s="1"/>
  <c r="BK201" i="7" s="1"/>
  <c r="BF201" i="7" s="1"/>
  <c r="BA201" i="7" s="1"/>
  <c r="AV201" i="7" s="1"/>
  <c r="AQ201" i="7" s="1"/>
  <c r="AL201" i="7" s="1"/>
  <c r="AG201" i="7" s="1"/>
  <c r="AB201" i="7" s="1"/>
  <c r="W201" i="7" s="1"/>
  <c r="BU202" i="7"/>
  <c r="BP202" i="7" s="1"/>
  <c r="BK202" i="7" s="1"/>
  <c r="BF202" i="7" s="1"/>
  <c r="BA202" i="7" s="1"/>
  <c r="AV202" i="7" s="1"/>
  <c r="AQ202" i="7" s="1"/>
  <c r="AL202" i="7" s="1"/>
  <c r="AG202" i="7" s="1"/>
  <c r="AB202" i="7" s="1"/>
  <c r="W202" i="7" s="1"/>
  <c r="BU203" i="7"/>
  <c r="BP203" i="7" s="1"/>
  <c r="BK203" i="7" s="1"/>
  <c r="BF203" i="7" s="1"/>
  <c r="BA203" i="7" s="1"/>
  <c r="AV203" i="7" s="1"/>
  <c r="AQ203" i="7" s="1"/>
  <c r="AL203" i="7" s="1"/>
  <c r="AG203" i="7" s="1"/>
  <c r="AB203" i="7" s="1"/>
  <c r="W203" i="7" s="1"/>
  <c r="BU204" i="7"/>
  <c r="BP204" i="7" s="1"/>
  <c r="BK204" i="7" s="1"/>
  <c r="BF204" i="7" s="1"/>
  <c r="BA204" i="7" s="1"/>
  <c r="AV204" i="7" s="1"/>
  <c r="AQ204" i="7" s="1"/>
  <c r="AL204" i="7" s="1"/>
  <c r="AG204" i="7" s="1"/>
  <c r="AB204" i="7" s="1"/>
  <c r="W204" i="7" s="1"/>
  <c r="BU205" i="7"/>
  <c r="BP205" i="7" s="1"/>
  <c r="BK205" i="7" s="1"/>
  <c r="BF205" i="7" s="1"/>
  <c r="BA205" i="7" s="1"/>
  <c r="AV205" i="7" s="1"/>
  <c r="AQ205" i="7" s="1"/>
  <c r="AL205" i="7" s="1"/>
  <c r="AG205" i="7" s="1"/>
  <c r="AB205" i="7" s="1"/>
  <c r="W205" i="7" s="1"/>
  <c r="BU206" i="7"/>
  <c r="BP206" i="7" s="1"/>
  <c r="BK206" i="7" s="1"/>
  <c r="BF206" i="7" s="1"/>
  <c r="BA206" i="7" s="1"/>
  <c r="AV206" i="7" s="1"/>
  <c r="AQ206" i="7" s="1"/>
  <c r="AL206" i="7" s="1"/>
  <c r="AG206" i="7" s="1"/>
  <c r="AB206" i="7" s="1"/>
  <c r="W206" i="7" s="1"/>
  <c r="BU207" i="7"/>
  <c r="BP207" i="7" s="1"/>
  <c r="BK207" i="7" s="1"/>
  <c r="BF207" i="7" s="1"/>
  <c r="BA207" i="7" s="1"/>
  <c r="AV207" i="7" s="1"/>
  <c r="AQ207" i="7" s="1"/>
  <c r="AL207" i="7" s="1"/>
  <c r="AG207" i="7" s="1"/>
  <c r="AB207" i="7" s="1"/>
  <c r="W207" i="7" s="1"/>
  <c r="BU208" i="7"/>
  <c r="BP208" i="7" s="1"/>
  <c r="BK208" i="7" s="1"/>
  <c r="BF208" i="7" s="1"/>
  <c r="BA208" i="7" s="1"/>
  <c r="AV208" i="7" s="1"/>
  <c r="AQ208" i="7" s="1"/>
  <c r="AL208" i="7" s="1"/>
  <c r="AG208" i="7" s="1"/>
  <c r="AB208" i="7" s="1"/>
  <c r="W208" i="7" s="1"/>
  <c r="BU209" i="7"/>
  <c r="BP209" i="7" s="1"/>
  <c r="BK209" i="7" s="1"/>
  <c r="BF209" i="7" s="1"/>
  <c r="BA209" i="7" s="1"/>
  <c r="AV209" i="7" s="1"/>
  <c r="AQ209" i="7" s="1"/>
  <c r="AL209" i="7" s="1"/>
  <c r="AG209" i="7" s="1"/>
  <c r="AB209" i="7" s="1"/>
  <c r="W209" i="7" s="1"/>
  <c r="BU210" i="7"/>
  <c r="BP210" i="7" s="1"/>
  <c r="BK210" i="7" s="1"/>
  <c r="BF210" i="7" s="1"/>
  <c r="BA210" i="7" s="1"/>
  <c r="AV210" i="7" s="1"/>
  <c r="AQ210" i="7" s="1"/>
  <c r="AL210" i="7" s="1"/>
  <c r="AG210" i="7" s="1"/>
  <c r="AB210" i="7" s="1"/>
  <c r="W210" i="7" s="1"/>
  <c r="BU211" i="7"/>
  <c r="BP211" i="7" s="1"/>
  <c r="BK211" i="7" s="1"/>
  <c r="BF211" i="7" s="1"/>
  <c r="BA211" i="7" s="1"/>
  <c r="AV211" i="7" s="1"/>
  <c r="AQ211" i="7" s="1"/>
  <c r="AL211" i="7" s="1"/>
  <c r="AG211" i="7" s="1"/>
  <c r="AB211" i="7" s="1"/>
  <c r="W211" i="7" s="1"/>
  <c r="BU212" i="7"/>
  <c r="BP212" i="7" s="1"/>
  <c r="BK212" i="7" s="1"/>
  <c r="BF212" i="7" s="1"/>
  <c r="BA212" i="7" s="1"/>
  <c r="AV212" i="7" s="1"/>
  <c r="AQ212" i="7" s="1"/>
  <c r="AL212" i="7" s="1"/>
  <c r="AG212" i="7" s="1"/>
  <c r="AB212" i="7" s="1"/>
  <c r="W212" i="7" s="1"/>
  <c r="BU213" i="7"/>
  <c r="BP213" i="7" s="1"/>
  <c r="BK213" i="7" s="1"/>
  <c r="BF213" i="7" s="1"/>
  <c r="BA213" i="7" s="1"/>
  <c r="AV213" i="7" s="1"/>
  <c r="AQ213" i="7" s="1"/>
  <c r="AL213" i="7" s="1"/>
  <c r="AG213" i="7" s="1"/>
  <c r="AB213" i="7" s="1"/>
  <c r="W213" i="7" s="1"/>
  <c r="BU214" i="7"/>
  <c r="BP214" i="7" s="1"/>
  <c r="BK214" i="7" s="1"/>
  <c r="BF214" i="7" s="1"/>
  <c r="BA214" i="7" s="1"/>
  <c r="AV214" i="7" s="1"/>
  <c r="AQ214" i="7" s="1"/>
  <c r="AL214" i="7" s="1"/>
  <c r="AG214" i="7" s="1"/>
  <c r="AB214" i="7" s="1"/>
  <c r="W214" i="7" s="1"/>
  <c r="BU215" i="7"/>
  <c r="BP215" i="7" s="1"/>
  <c r="BK215" i="7" s="1"/>
  <c r="BF215" i="7" s="1"/>
  <c r="BA215" i="7" s="1"/>
  <c r="AV215" i="7" s="1"/>
  <c r="AQ215" i="7" s="1"/>
  <c r="AL215" i="7" s="1"/>
  <c r="AG215" i="7" s="1"/>
  <c r="AB215" i="7" s="1"/>
  <c r="W215" i="7" s="1"/>
  <c r="BU216" i="7"/>
  <c r="BP216" i="7" s="1"/>
  <c r="BK216" i="7" s="1"/>
  <c r="BF216" i="7" s="1"/>
  <c r="BA216" i="7" s="1"/>
  <c r="AV216" i="7" s="1"/>
  <c r="AQ216" i="7" s="1"/>
  <c r="AL216" i="7" s="1"/>
  <c r="AG216" i="7" s="1"/>
  <c r="AB216" i="7" s="1"/>
  <c r="W216" i="7" s="1"/>
  <c r="BU217" i="7"/>
  <c r="BP217" i="7" s="1"/>
  <c r="BK217" i="7" s="1"/>
  <c r="BF217" i="7" s="1"/>
  <c r="BA217" i="7" s="1"/>
  <c r="AV217" i="7" s="1"/>
  <c r="AQ217" i="7" s="1"/>
  <c r="AL217" i="7" s="1"/>
  <c r="AG217" i="7" s="1"/>
  <c r="AB217" i="7" s="1"/>
  <c r="W217" i="7" s="1"/>
  <c r="BU218" i="7"/>
  <c r="BP218" i="7" s="1"/>
  <c r="BK218" i="7" s="1"/>
  <c r="BF218" i="7" s="1"/>
  <c r="BA218" i="7" s="1"/>
  <c r="AV218" i="7" s="1"/>
  <c r="AQ218" i="7" s="1"/>
  <c r="AL218" i="7" s="1"/>
  <c r="AG218" i="7" s="1"/>
  <c r="AB218" i="7" s="1"/>
  <c r="W218" i="7" s="1"/>
  <c r="BU219" i="7"/>
  <c r="BP219" i="7" s="1"/>
  <c r="BK219" i="7" s="1"/>
  <c r="BF219" i="7" s="1"/>
  <c r="BA219" i="7" s="1"/>
  <c r="AV219" i="7" s="1"/>
  <c r="AQ219" i="7" s="1"/>
  <c r="AL219" i="7" s="1"/>
  <c r="AG219" i="7" s="1"/>
  <c r="AB219" i="7" s="1"/>
  <c r="W219" i="7" s="1"/>
  <c r="BU220" i="7"/>
  <c r="BP220" i="7" s="1"/>
  <c r="BK220" i="7" s="1"/>
  <c r="BF220" i="7" s="1"/>
  <c r="BA220" i="7" s="1"/>
  <c r="AV220" i="7" s="1"/>
  <c r="AQ220" i="7" s="1"/>
  <c r="AL220" i="7" s="1"/>
  <c r="AG220" i="7" s="1"/>
  <c r="AB220" i="7" s="1"/>
  <c r="W220" i="7" s="1"/>
  <c r="BU221" i="7"/>
  <c r="BP221" i="7" s="1"/>
  <c r="BK221" i="7" s="1"/>
  <c r="BF221" i="7" s="1"/>
  <c r="BA221" i="7" s="1"/>
  <c r="AV221" i="7" s="1"/>
  <c r="AQ221" i="7" s="1"/>
  <c r="AL221" i="7" s="1"/>
  <c r="AG221" i="7" s="1"/>
  <c r="AB221" i="7" s="1"/>
  <c r="W221" i="7" s="1"/>
  <c r="BU222" i="7"/>
  <c r="BP222" i="7" s="1"/>
  <c r="BK222" i="7" s="1"/>
  <c r="BF222" i="7" s="1"/>
  <c r="BA222" i="7" s="1"/>
  <c r="AV222" i="7" s="1"/>
  <c r="AQ222" i="7" s="1"/>
  <c r="AL222" i="7" s="1"/>
  <c r="AG222" i="7" s="1"/>
  <c r="AB222" i="7" s="1"/>
  <c r="W222" i="7" s="1"/>
  <c r="BU223" i="7"/>
  <c r="BP223" i="7" s="1"/>
  <c r="BK223" i="7" s="1"/>
  <c r="BF223" i="7" s="1"/>
  <c r="BA223" i="7" s="1"/>
  <c r="AV223" i="7" s="1"/>
  <c r="AQ223" i="7" s="1"/>
  <c r="AL223" i="7" s="1"/>
  <c r="AG223" i="7" s="1"/>
  <c r="AB223" i="7" s="1"/>
  <c r="W223" i="7" s="1"/>
  <c r="BU224" i="7"/>
  <c r="BP224" i="7" s="1"/>
  <c r="BK224" i="7" s="1"/>
  <c r="BF224" i="7" s="1"/>
  <c r="BA224" i="7" s="1"/>
  <c r="AV224" i="7" s="1"/>
  <c r="AQ224" i="7" s="1"/>
  <c r="AL224" i="7" s="1"/>
  <c r="AG224" i="7" s="1"/>
  <c r="AB224" i="7" s="1"/>
  <c r="W224" i="7" s="1"/>
  <c r="BU225" i="7"/>
  <c r="BP225" i="7" s="1"/>
  <c r="BK225" i="7" s="1"/>
  <c r="BF225" i="7" s="1"/>
  <c r="BA225" i="7" s="1"/>
  <c r="AV225" i="7" s="1"/>
  <c r="AQ225" i="7" s="1"/>
  <c r="AL225" i="7" s="1"/>
  <c r="AG225" i="7" s="1"/>
  <c r="AB225" i="7" s="1"/>
  <c r="W225" i="7" s="1"/>
  <c r="BU226" i="7"/>
  <c r="BP226" i="7" s="1"/>
  <c r="BK226" i="7" s="1"/>
  <c r="BF226" i="7" s="1"/>
  <c r="BA226" i="7" s="1"/>
  <c r="AV226" i="7" s="1"/>
  <c r="AQ226" i="7" s="1"/>
  <c r="AL226" i="7" s="1"/>
  <c r="AG226" i="7" s="1"/>
  <c r="AB226" i="7" s="1"/>
  <c r="W226" i="7" s="1"/>
  <c r="BU227" i="7"/>
  <c r="BP227" i="7" s="1"/>
  <c r="BK227" i="7" s="1"/>
  <c r="BF227" i="7" s="1"/>
  <c r="BA227" i="7" s="1"/>
  <c r="AV227" i="7" s="1"/>
  <c r="AQ227" i="7" s="1"/>
  <c r="AL227" i="7" s="1"/>
  <c r="AG227" i="7" s="1"/>
  <c r="AB227" i="7" s="1"/>
  <c r="W227" i="7" s="1"/>
  <c r="BU228" i="7"/>
  <c r="BP228" i="7" s="1"/>
  <c r="BK228" i="7" s="1"/>
  <c r="BF228" i="7" s="1"/>
  <c r="BA228" i="7" s="1"/>
  <c r="AV228" i="7" s="1"/>
  <c r="AQ228" i="7" s="1"/>
  <c r="AL228" i="7" s="1"/>
  <c r="AG228" i="7" s="1"/>
  <c r="AB228" i="7" s="1"/>
  <c r="W228" i="7" s="1"/>
  <c r="BU229" i="7"/>
  <c r="BP229" i="7" s="1"/>
  <c r="BK229" i="7" s="1"/>
  <c r="BF229" i="7" s="1"/>
  <c r="BA229" i="7" s="1"/>
  <c r="AV229" i="7" s="1"/>
  <c r="AQ229" i="7" s="1"/>
  <c r="AL229" i="7" s="1"/>
  <c r="AG229" i="7" s="1"/>
  <c r="AB229" i="7" s="1"/>
  <c r="W229" i="7" s="1"/>
  <c r="BU230" i="7"/>
  <c r="BP230" i="7" s="1"/>
  <c r="BK230" i="7" s="1"/>
  <c r="BF230" i="7" s="1"/>
  <c r="BA230" i="7" s="1"/>
  <c r="AV230" i="7" s="1"/>
  <c r="AQ230" i="7" s="1"/>
  <c r="AL230" i="7" s="1"/>
  <c r="AG230" i="7" s="1"/>
  <c r="AB230" i="7" s="1"/>
  <c r="W230" i="7" s="1"/>
  <c r="BU231" i="7"/>
  <c r="BP231" i="7" s="1"/>
  <c r="BK231" i="7" s="1"/>
  <c r="BF231" i="7" s="1"/>
  <c r="BA231" i="7" s="1"/>
  <c r="AV231" i="7" s="1"/>
  <c r="AQ231" i="7" s="1"/>
  <c r="AL231" i="7" s="1"/>
  <c r="AG231" i="7" s="1"/>
  <c r="AB231" i="7" s="1"/>
  <c r="W231" i="7" s="1"/>
  <c r="BU232" i="7"/>
  <c r="BP232" i="7" s="1"/>
  <c r="BK232" i="7" s="1"/>
  <c r="BF232" i="7" s="1"/>
  <c r="BA232" i="7" s="1"/>
  <c r="AV232" i="7" s="1"/>
  <c r="AQ232" i="7" s="1"/>
  <c r="AL232" i="7" s="1"/>
  <c r="AG232" i="7" s="1"/>
  <c r="AB232" i="7" s="1"/>
  <c r="W232" i="7" s="1"/>
  <c r="BU233" i="7"/>
  <c r="BP233" i="7" s="1"/>
  <c r="BK233" i="7" s="1"/>
  <c r="BF233" i="7" s="1"/>
  <c r="BA233" i="7" s="1"/>
  <c r="AV233" i="7" s="1"/>
  <c r="AQ233" i="7" s="1"/>
  <c r="AL233" i="7" s="1"/>
  <c r="AG233" i="7" s="1"/>
  <c r="AB233" i="7" s="1"/>
  <c r="W233" i="7" s="1"/>
  <c r="BU234" i="7"/>
  <c r="BP234" i="7" s="1"/>
  <c r="BK234" i="7" s="1"/>
  <c r="BF234" i="7" s="1"/>
  <c r="BA234" i="7" s="1"/>
  <c r="AV234" i="7" s="1"/>
  <c r="AQ234" i="7" s="1"/>
  <c r="AL234" i="7" s="1"/>
  <c r="AG234" i="7" s="1"/>
  <c r="AB234" i="7" s="1"/>
  <c r="W234" i="7" s="1"/>
  <c r="BU235" i="7"/>
  <c r="BP235" i="7" s="1"/>
  <c r="BK235" i="7" s="1"/>
  <c r="BF235" i="7" s="1"/>
  <c r="BA235" i="7" s="1"/>
  <c r="AV235" i="7" s="1"/>
  <c r="AQ235" i="7" s="1"/>
  <c r="AL235" i="7" s="1"/>
  <c r="AG235" i="7" s="1"/>
  <c r="AB235" i="7" s="1"/>
  <c r="W235" i="7" s="1"/>
  <c r="BU236" i="7"/>
  <c r="BP236" i="7" s="1"/>
  <c r="BK236" i="7" s="1"/>
  <c r="BF236" i="7" s="1"/>
  <c r="BA236" i="7" s="1"/>
  <c r="AV236" i="7" s="1"/>
  <c r="AQ236" i="7" s="1"/>
  <c r="AL236" i="7" s="1"/>
  <c r="AG236" i="7" s="1"/>
  <c r="AB236" i="7" s="1"/>
  <c r="W236" i="7" s="1"/>
  <c r="BU237" i="7"/>
  <c r="BP237" i="7" s="1"/>
  <c r="BK237" i="7" s="1"/>
  <c r="BF237" i="7" s="1"/>
  <c r="BA237" i="7" s="1"/>
  <c r="AV237" i="7" s="1"/>
  <c r="AQ237" i="7" s="1"/>
  <c r="AL237" i="7" s="1"/>
  <c r="AG237" i="7" s="1"/>
  <c r="AB237" i="7" s="1"/>
  <c r="W237" i="7" s="1"/>
  <c r="BU238" i="7"/>
  <c r="BP238" i="7" s="1"/>
  <c r="BK238" i="7" s="1"/>
  <c r="BF238" i="7" s="1"/>
  <c r="BA238" i="7" s="1"/>
  <c r="AV238" i="7" s="1"/>
  <c r="AQ238" i="7" s="1"/>
  <c r="AL238" i="7" s="1"/>
  <c r="AG238" i="7" s="1"/>
  <c r="AB238" i="7" s="1"/>
  <c r="W238" i="7" s="1"/>
  <c r="BU239" i="7"/>
  <c r="BP239" i="7" s="1"/>
  <c r="BK239" i="7" s="1"/>
  <c r="BF239" i="7" s="1"/>
  <c r="BA239" i="7" s="1"/>
  <c r="AV239" i="7" s="1"/>
  <c r="AQ239" i="7" s="1"/>
  <c r="AL239" i="7" s="1"/>
  <c r="AG239" i="7" s="1"/>
  <c r="AB239" i="7" s="1"/>
  <c r="W239" i="7" s="1"/>
  <c r="BU240" i="7"/>
  <c r="BP240" i="7" s="1"/>
  <c r="BK240" i="7" s="1"/>
  <c r="BF240" i="7" s="1"/>
  <c r="BA240" i="7" s="1"/>
  <c r="AV240" i="7" s="1"/>
  <c r="AQ240" i="7" s="1"/>
  <c r="AL240" i="7" s="1"/>
  <c r="AG240" i="7" s="1"/>
  <c r="AB240" i="7" s="1"/>
  <c r="W240" i="7" s="1"/>
  <c r="BU241" i="7"/>
  <c r="BP241" i="7" s="1"/>
  <c r="BK241" i="7" s="1"/>
  <c r="BF241" i="7" s="1"/>
  <c r="BA241" i="7" s="1"/>
  <c r="AV241" i="7" s="1"/>
  <c r="AQ241" i="7" s="1"/>
  <c r="AL241" i="7" s="1"/>
  <c r="AG241" i="7" s="1"/>
  <c r="AB241" i="7" s="1"/>
  <c r="W241" i="7" s="1"/>
  <c r="BU242" i="7"/>
  <c r="BP242" i="7" s="1"/>
  <c r="BK242" i="7" s="1"/>
  <c r="BF242" i="7" s="1"/>
  <c r="BA242" i="7" s="1"/>
  <c r="AV242" i="7" s="1"/>
  <c r="AQ242" i="7" s="1"/>
  <c r="AL242" i="7" s="1"/>
  <c r="AG242" i="7" s="1"/>
  <c r="AB242" i="7" s="1"/>
  <c r="W242" i="7" s="1"/>
  <c r="BU243" i="7"/>
  <c r="BP243" i="7" s="1"/>
  <c r="BK243" i="7" s="1"/>
  <c r="BF243" i="7" s="1"/>
  <c r="BA243" i="7" s="1"/>
  <c r="AV243" i="7" s="1"/>
  <c r="AQ243" i="7" s="1"/>
  <c r="AL243" i="7" s="1"/>
  <c r="AG243" i="7" s="1"/>
  <c r="AB243" i="7" s="1"/>
  <c r="W243" i="7" s="1"/>
  <c r="BU244" i="7"/>
  <c r="BP244" i="7" s="1"/>
  <c r="BK244" i="7" s="1"/>
  <c r="BF244" i="7" s="1"/>
  <c r="BA244" i="7" s="1"/>
  <c r="AV244" i="7" s="1"/>
  <c r="AQ244" i="7" s="1"/>
  <c r="AL244" i="7" s="1"/>
  <c r="AG244" i="7" s="1"/>
  <c r="AB244" i="7" s="1"/>
  <c r="W244" i="7" s="1"/>
  <c r="BU245" i="7"/>
  <c r="BP245" i="7" s="1"/>
  <c r="BK245" i="7" s="1"/>
  <c r="BF245" i="7" s="1"/>
  <c r="BA245" i="7" s="1"/>
  <c r="AV245" i="7" s="1"/>
  <c r="AQ245" i="7" s="1"/>
  <c r="AL245" i="7" s="1"/>
  <c r="AG245" i="7" s="1"/>
  <c r="AB245" i="7" s="1"/>
  <c r="W245" i="7" s="1"/>
  <c r="BU246" i="7"/>
  <c r="BP246" i="7" s="1"/>
  <c r="BK246" i="7" s="1"/>
  <c r="BF246" i="7" s="1"/>
  <c r="BA246" i="7" s="1"/>
  <c r="AV246" i="7" s="1"/>
  <c r="AQ246" i="7" s="1"/>
  <c r="AL246" i="7" s="1"/>
  <c r="AG246" i="7" s="1"/>
  <c r="AB246" i="7" s="1"/>
  <c r="W246" i="7" s="1"/>
  <c r="BU247" i="7"/>
  <c r="BP247" i="7" s="1"/>
  <c r="BK247" i="7" s="1"/>
  <c r="BF247" i="7" s="1"/>
  <c r="BA247" i="7" s="1"/>
  <c r="AV247" i="7" s="1"/>
  <c r="AQ247" i="7" s="1"/>
  <c r="AL247" i="7" s="1"/>
  <c r="AG247" i="7" s="1"/>
  <c r="AB247" i="7" s="1"/>
  <c r="W247" i="7" s="1"/>
  <c r="BU248" i="7"/>
  <c r="BP248" i="7" s="1"/>
  <c r="BK248" i="7" s="1"/>
  <c r="BF248" i="7" s="1"/>
  <c r="BA248" i="7" s="1"/>
  <c r="AV248" i="7" s="1"/>
  <c r="AQ248" i="7" s="1"/>
  <c r="AL248" i="7" s="1"/>
  <c r="AG248" i="7" s="1"/>
  <c r="AB248" i="7" s="1"/>
  <c r="W248" i="7" s="1"/>
  <c r="BU249" i="7"/>
  <c r="BP249" i="7" s="1"/>
  <c r="BK249" i="7" s="1"/>
  <c r="BF249" i="7" s="1"/>
  <c r="BA249" i="7" s="1"/>
  <c r="AV249" i="7" s="1"/>
  <c r="AQ249" i="7" s="1"/>
  <c r="AL249" i="7" s="1"/>
  <c r="AG249" i="7" s="1"/>
  <c r="AB249" i="7" s="1"/>
  <c r="W249" i="7" s="1"/>
  <c r="BU250" i="7"/>
  <c r="BP250" i="7" s="1"/>
  <c r="BK250" i="7" s="1"/>
  <c r="BF250" i="7" s="1"/>
  <c r="BA250" i="7" s="1"/>
  <c r="AV250" i="7" s="1"/>
  <c r="AQ250" i="7" s="1"/>
  <c r="AL250" i="7" s="1"/>
  <c r="AG250" i="7" s="1"/>
  <c r="AB250" i="7" s="1"/>
  <c r="W250" i="7" s="1"/>
  <c r="BU251" i="7"/>
  <c r="BP251" i="7" s="1"/>
  <c r="BK251" i="7" s="1"/>
  <c r="BF251" i="7" s="1"/>
  <c r="BA251" i="7" s="1"/>
  <c r="AV251" i="7" s="1"/>
  <c r="AQ251" i="7" s="1"/>
  <c r="AL251" i="7" s="1"/>
  <c r="AG251" i="7" s="1"/>
  <c r="AB251" i="7" s="1"/>
  <c r="W251" i="7" s="1"/>
  <c r="BU252" i="7"/>
  <c r="BP252" i="7" s="1"/>
  <c r="BK252" i="7" s="1"/>
  <c r="BF252" i="7" s="1"/>
  <c r="BA252" i="7" s="1"/>
  <c r="AV252" i="7" s="1"/>
  <c r="AQ252" i="7" s="1"/>
  <c r="AL252" i="7" s="1"/>
  <c r="AG252" i="7" s="1"/>
  <c r="AB252" i="7" s="1"/>
  <c r="W252" i="7" s="1"/>
  <c r="BU253" i="7"/>
  <c r="BP253" i="7" s="1"/>
  <c r="BK253" i="7" s="1"/>
  <c r="BF253" i="7" s="1"/>
  <c r="BA253" i="7" s="1"/>
  <c r="AV253" i="7" s="1"/>
  <c r="AQ253" i="7" s="1"/>
  <c r="AL253" i="7" s="1"/>
  <c r="AG253" i="7" s="1"/>
  <c r="AB253" i="7" s="1"/>
  <c r="W253" i="7" s="1"/>
  <c r="BU254" i="7"/>
  <c r="BP254" i="7" s="1"/>
  <c r="BK254" i="7" s="1"/>
  <c r="BF254" i="7" s="1"/>
  <c r="BA254" i="7" s="1"/>
  <c r="AV254" i="7" s="1"/>
  <c r="AQ254" i="7" s="1"/>
  <c r="AL254" i="7" s="1"/>
  <c r="AG254" i="7" s="1"/>
  <c r="AB254" i="7" s="1"/>
  <c r="W254" i="7" s="1"/>
  <c r="BU255" i="7"/>
  <c r="BP255" i="7" s="1"/>
  <c r="BK255" i="7" s="1"/>
  <c r="BF255" i="7" s="1"/>
  <c r="BA255" i="7" s="1"/>
  <c r="AV255" i="7" s="1"/>
  <c r="AQ255" i="7" s="1"/>
  <c r="AL255" i="7" s="1"/>
  <c r="AG255" i="7" s="1"/>
  <c r="AB255" i="7" s="1"/>
  <c r="W255" i="7" s="1"/>
  <c r="BU256" i="7"/>
  <c r="BP256" i="7" s="1"/>
  <c r="BK256" i="7" s="1"/>
  <c r="BF256" i="7" s="1"/>
  <c r="BA256" i="7" s="1"/>
  <c r="AV256" i="7" s="1"/>
  <c r="AQ256" i="7" s="1"/>
  <c r="AL256" i="7" s="1"/>
  <c r="AG256" i="7" s="1"/>
  <c r="AB256" i="7" s="1"/>
  <c r="W256" i="7" s="1"/>
  <c r="BU257" i="7"/>
  <c r="BP257" i="7" s="1"/>
  <c r="BK257" i="7" s="1"/>
  <c r="BF257" i="7" s="1"/>
  <c r="BA257" i="7" s="1"/>
  <c r="AV257" i="7" s="1"/>
  <c r="AQ257" i="7" s="1"/>
  <c r="AL257" i="7" s="1"/>
  <c r="AG257" i="7" s="1"/>
  <c r="AB257" i="7" s="1"/>
  <c r="W257" i="7" s="1"/>
  <c r="BU258" i="7"/>
  <c r="BP258" i="7" s="1"/>
  <c r="BK258" i="7" s="1"/>
  <c r="BF258" i="7" s="1"/>
  <c r="BA258" i="7" s="1"/>
  <c r="AV258" i="7" s="1"/>
  <c r="AQ258" i="7" s="1"/>
  <c r="AL258" i="7" s="1"/>
  <c r="AG258" i="7" s="1"/>
  <c r="AB258" i="7" s="1"/>
  <c r="W258" i="7" s="1"/>
  <c r="BU259" i="7"/>
  <c r="BP259" i="7" s="1"/>
  <c r="BK259" i="7" s="1"/>
  <c r="BF259" i="7" s="1"/>
  <c r="BA259" i="7" s="1"/>
  <c r="AV259" i="7" s="1"/>
  <c r="AQ259" i="7" s="1"/>
  <c r="AL259" i="7" s="1"/>
  <c r="AG259" i="7" s="1"/>
  <c r="AB259" i="7" s="1"/>
  <c r="W259" i="7" s="1"/>
  <c r="BU260" i="7"/>
  <c r="BP260" i="7" s="1"/>
  <c r="BK260" i="7" s="1"/>
  <c r="BF260" i="7" s="1"/>
  <c r="BA260" i="7" s="1"/>
  <c r="AV260" i="7" s="1"/>
  <c r="AQ260" i="7" s="1"/>
  <c r="AL260" i="7" s="1"/>
  <c r="AG260" i="7" s="1"/>
  <c r="AB260" i="7" s="1"/>
  <c r="W260" i="7" s="1"/>
  <c r="BU261" i="7"/>
  <c r="BP261" i="7" s="1"/>
  <c r="BK261" i="7" s="1"/>
  <c r="BF261" i="7" s="1"/>
  <c r="BA261" i="7" s="1"/>
  <c r="AV261" i="7" s="1"/>
  <c r="AQ261" i="7" s="1"/>
  <c r="AL261" i="7" s="1"/>
  <c r="AG261" i="7" s="1"/>
  <c r="AB261" i="7" s="1"/>
  <c r="W261" i="7" s="1"/>
  <c r="BU262" i="7"/>
  <c r="BP262" i="7" s="1"/>
  <c r="BK262" i="7" s="1"/>
  <c r="BF262" i="7" s="1"/>
  <c r="BA262" i="7" s="1"/>
  <c r="AV262" i="7" s="1"/>
  <c r="AQ262" i="7" s="1"/>
  <c r="AL262" i="7" s="1"/>
  <c r="AG262" i="7" s="1"/>
  <c r="AB262" i="7" s="1"/>
  <c r="W262" i="7" s="1"/>
  <c r="BU263" i="7"/>
  <c r="BP263" i="7" s="1"/>
  <c r="BK263" i="7" s="1"/>
  <c r="BF263" i="7" s="1"/>
  <c r="BA263" i="7" s="1"/>
  <c r="AV263" i="7" s="1"/>
  <c r="AQ263" i="7" s="1"/>
  <c r="AL263" i="7" s="1"/>
  <c r="AG263" i="7" s="1"/>
  <c r="AB263" i="7" s="1"/>
  <c r="W263" i="7" s="1"/>
  <c r="BU264" i="7"/>
  <c r="BP264" i="7" s="1"/>
  <c r="BK264" i="7" s="1"/>
  <c r="BF264" i="7" s="1"/>
  <c r="BA264" i="7" s="1"/>
  <c r="AV264" i="7" s="1"/>
  <c r="AQ264" i="7" s="1"/>
  <c r="AL264" i="7" s="1"/>
  <c r="AG264" i="7" s="1"/>
  <c r="AB264" i="7" s="1"/>
  <c r="W264" i="7" s="1"/>
  <c r="BU265" i="7"/>
  <c r="BP265" i="7" s="1"/>
  <c r="BK265" i="7" s="1"/>
  <c r="BF265" i="7" s="1"/>
  <c r="BA265" i="7" s="1"/>
  <c r="AV265" i="7" s="1"/>
  <c r="AQ265" i="7" s="1"/>
  <c r="AL265" i="7" s="1"/>
  <c r="AG265" i="7" s="1"/>
  <c r="AB265" i="7" s="1"/>
  <c r="W265" i="7" s="1"/>
  <c r="BU266" i="7"/>
  <c r="BP266" i="7" s="1"/>
  <c r="BK266" i="7" s="1"/>
  <c r="BF266" i="7" s="1"/>
  <c r="BA266" i="7" s="1"/>
  <c r="AV266" i="7" s="1"/>
  <c r="AQ266" i="7" s="1"/>
  <c r="AL266" i="7" s="1"/>
  <c r="AG266" i="7" s="1"/>
  <c r="AB266" i="7" s="1"/>
  <c r="W266" i="7" s="1"/>
  <c r="BU267" i="7"/>
  <c r="BP267" i="7" s="1"/>
  <c r="BK267" i="7" s="1"/>
  <c r="BF267" i="7" s="1"/>
  <c r="BA267" i="7" s="1"/>
  <c r="AV267" i="7" s="1"/>
  <c r="AQ267" i="7" s="1"/>
  <c r="AL267" i="7" s="1"/>
  <c r="AG267" i="7" s="1"/>
  <c r="AB267" i="7" s="1"/>
  <c r="W267" i="7" s="1"/>
  <c r="BU268" i="7"/>
  <c r="BP268" i="7" s="1"/>
  <c r="BK268" i="7" s="1"/>
  <c r="BF268" i="7" s="1"/>
  <c r="BA268" i="7" s="1"/>
  <c r="AV268" i="7" s="1"/>
  <c r="AQ268" i="7" s="1"/>
  <c r="AL268" i="7" s="1"/>
  <c r="AG268" i="7" s="1"/>
  <c r="AB268" i="7" s="1"/>
  <c r="W268" i="7" s="1"/>
  <c r="BU269" i="7"/>
  <c r="BP269" i="7" s="1"/>
  <c r="BK269" i="7" s="1"/>
  <c r="BF269" i="7" s="1"/>
  <c r="BA269" i="7" s="1"/>
  <c r="AV269" i="7" s="1"/>
  <c r="AQ269" i="7" s="1"/>
  <c r="AL269" i="7" s="1"/>
  <c r="AG269" i="7" s="1"/>
  <c r="AB269" i="7" s="1"/>
  <c r="W269" i="7" s="1"/>
  <c r="BU270" i="7"/>
  <c r="BP270" i="7" s="1"/>
  <c r="BK270" i="7" s="1"/>
  <c r="BF270" i="7" s="1"/>
  <c r="BA270" i="7" s="1"/>
  <c r="AV270" i="7" s="1"/>
  <c r="AQ270" i="7" s="1"/>
  <c r="AL270" i="7" s="1"/>
  <c r="AG270" i="7" s="1"/>
  <c r="AB270" i="7" s="1"/>
  <c r="W270" i="7" s="1"/>
  <c r="BU271" i="7"/>
  <c r="BP271" i="7" s="1"/>
  <c r="BK271" i="7" s="1"/>
  <c r="BF271" i="7" s="1"/>
  <c r="BA271" i="7" s="1"/>
  <c r="AV271" i="7" s="1"/>
  <c r="AQ271" i="7" s="1"/>
  <c r="AL271" i="7" s="1"/>
  <c r="AG271" i="7" s="1"/>
  <c r="AB271" i="7" s="1"/>
  <c r="W271" i="7" s="1"/>
  <c r="BU272" i="7"/>
  <c r="BP272" i="7" s="1"/>
  <c r="BK272" i="7" s="1"/>
  <c r="BF272" i="7" s="1"/>
  <c r="BA272" i="7" s="1"/>
  <c r="AV272" i="7" s="1"/>
  <c r="AQ272" i="7" s="1"/>
  <c r="AL272" i="7" s="1"/>
  <c r="AG272" i="7" s="1"/>
  <c r="AB272" i="7" s="1"/>
  <c r="W272" i="7" s="1"/>
  <c r="BU273" i="7"/>
  <c r="BP273" i="7" s="1"/>
  <c r="BK273" i="7" s="1"/>
  <c r="BF273" i="7" s="1"/>
  <c r="BA273" i="7" s="1"/>
  <c r="AV273" i="7" s="1"/>
  <c r="AQ273" i="7" s="1"/>
  <c r="AL273" i="7" s="1"/>
  <c r="AG273" i="7" s="1"/>
  <c r="AB273" i="7" s="1"/>
  <c r="W273" i="7" s="1"/>
  <c r="BU274" i="7"/>
  <c r="BP274" i="7" s="1"/>
  <c r="BK274" i="7" s="1"/>
  <c r="BF274" i="7" s="1"/>
  <c r="BA274" i="7" s="1"/>
  <c r="AV274" i="7" s="1"/>
  <c r="AQ274" i="7" s="1"/>
  <c r="AL274" i="7" s="1"/>
  <c r="AG274" i="7" s="1"/>
  <c r="AB274" i="7" s="1"/>
  <c r="W274" i="7" s="1"/>
  <c r="BU275" i="7"/>
  <c r="BP275" i="7" s="1"/>
  <c r="BK275" i="7" s="1"/>
  <c r="BF275" i="7" s="1"/>
  <c r="BA275" i="7" s="1"/>
  <c r="AV275" i="7" s="1"/>
  <c r="AQ275" i="7" s="1"/>
  <c r="AL275" i="7" s="1"/>
  <c r="AG275" i="7" s="1"/>
  <c r="AB275" i="7" s="1"/>
  <c r="W275" i="7" s="1"/>
  <c r="BU276" i="7"/>
  <c r="BP276" i="7" s="1"/>
  <c r="BK276" i="7" s="1"/>
  <c r="BF276" i="7" s="1"/>
  <c r="BA276" i="7" s="1"/>
  <c r="AV276" i="7" s="1"/>
  <c r="AQ276" i="7" s="1"/>
  <c r="AL276" i="7" s="1"/>
  <c r="AG276" i="7" s="1"/>
  <c r="AB276" i="7" s="1"/>
  <c r="W276" i="7" s="1"/>
  <c r="BU277" i="7"/>
  <c r="BP277" i="7" s="1"/>
  <c r="BK277" i="7" s="1"/>
  <c r="BF277" i="7" s="1"/>
  <c r="BA277" i="7" s="1"/>
  <c r="AV277" i="7" s="1"/>
  <c r="AQ277" i="7" s="1"/>
  <c r="AL277" i="7" s="1"/>
  <c r="AG277" i="7" s="1"/>
  <c r="AB277" i="7" s="1"/>
  <c r="W277" i="7" s="1"/>
  <c r="BU278" i="7"/>
  <c r="BP278" i="7" s="1"/>
  <c r="BK278" i="7" s="1"/>
  <c r="BF278" i="7" s="1"/>
  <c r="BA278" i="7" s="1"/>
  <c r="AV278" i="7" s="1"/>
  <c r="AQ278" i="7" s="1"/>
  <c r="AL278" i="7" s="1"/>
  <c r="AG278" i="7" s="1"/>
  <c r="AB278" i="7" s="1"/>
  <c r="W278" i="7" s="1"/>
  <c r="BU279" i="7"/>
  <c r="BP279" i="7" s="1"/>
  <c r="BK279" i="7" s="1"/>
  <c r="BF279" i="7" s="1"/>
  <c r="BA279" i="7" s="1"/>
  <c r="AV279" i="7" s="1"/>
  <c r="AQ279" i="7" s="1"/>
  <c r="AL279" i="7" s="1"/>
  <c r="AG279" i="7" s="1"/>
  <c r="AB279" i="7" s="1"/>
  <c r="W279" i="7" s="1"/>
  <c r="BU280" i="7"/>
  <c r="BP280" i="7" s="1"/>
  <c r="BK280" i="7" s="1"/>
  <c r="BF280" i="7" s="1"/>
  <c r="BA280" i="7" s="1"/>
  <c r="AV280" i="7" s="1"/>
  <c r="AQ280" i="7" s="1"/>
  <c r="AL280" i="7" s="1"/>
  <c r="AG280" i="7" s="1"/>
  <c r="AB280" i="7" s="1"/>
  <c r="W280" i="7" s="1"/>
  <c r="BU281" i="7"/>
  <c r="BP281" i="7" s="1"/>
  <c r="BK281" i="7" s="1"/>
  <c r="BF281" i="7" s="1"/>
  <c r="BA281" i="7" s="1"/>
  <c r="AV281" i="7" s="1"/>
  <c r="AQ281" i="7" s="1"/>
  <c r="AL281" i="7" s="1"/>
  <c r="AG281" i="7" s="1"/>
  <c r="AB281" i="7" s="1"/>
  <c r="W281" i="7" s="1"/>
  <c r="BU282" i="7"/>
  <c r="BP282" i="7" s="1"/>
  <c r="BK282" i="7" s="1"/>
  <c r="BF282" i="7" s="1"/>
  <c r="BA282" i="7" s="1"/>
  <c r="AV282" i="7" s="1"/>
  <c r="AQ282" i="7" s="1"/>
  <c r="AL282" i="7" s="1"/>
  <c r="AG282" i="7" s="1"/>
  <c r="AB282" i="7" s="1"/>
  <c r="W282" i="7" s="1"/>
  <c r="BU283" i="7"/>
  <c r="BP283" i="7" s="1"/>
  <c r="BK283" i="7" s="1"/>
  <c r="BF283" i="7" s="1"/>
  <c r="BA283" i="7" s="1"/>
  <c r="AV283" i="7" s="1"/>
  <c r="AQ283" i="7" s="1"/>
  <c r="AL283" i="7" s="1"/>
  <c r="AG283" i="7" s="1"/>
  <c r="AB283" i="7" s="1"/>
  <c r="W283" i="7" s="1"/>
  <c r="BU284" i="7"/>
  <c r="BP284" i="7" s="1"/>
  <c r="BK284" i="7" s="1"/>
  <c r="BF284" i="7" s="1"/>
  <c r="BA284" i="7" s="1"/>
  <c r="AV284" i="7" s="1"/>
  <c r="AQ284" i="7" s="1"/>
  <c r="AL284" i="7" s="1"/>
  <c r="AG284" i="7" s="1"/>
  <c r="AB284" i="7" s="1"/>
  <c r="W284" i="7" s="1"/>
  <c r="BU285" i="7"/>
  <c r="BP285" i="7" s="1"/>
  <c r="BK285" i="7" s="1"/>
  <c r="BF285" i="7" s="1"/>
  <c r="BA285" i="7" s="1"/>
  <c r="AV285" i="7" s="1"/>
  <c r="AQ285" i="7" s="1"/>
  <c r="AL285" i="7" s="1"/>
  <c r="AG285" i="7" s="1"/>
  <c r="AB285" i="7" s="1"/>
  <c r="W285" i="7" s="1"/>
  <c r="BU286" i="7"/>
  <c r="BP286" i="7" s="1"/>
  <c r="BK286" i="7" s="1"/>
  <c r="BF286" i="7" s="1"/>
  <c r="BA286" i="7" s="1"/>
  <c r="AV286" i="7" s="1"/>
  <c r="AQ286" i="7" s="1"/>
  <c r="AL286" i="7" s="1"/>
  <c r="AG286" i="7" s="1"/>
  <c r="AB286" i="7" s="1"/>
  <c r="W286" i="7" s="1"/>
  <c r="BU287" i="7"/>
  <c r="BP287" i="7" s="1"/>
  <c r="BK287" i="7" s="1"/>
  <c r="BF287" i="7" s="1"/>
  <c r="BA287" i="7" s="1"/>
  <c r="AV287" i="7" s="1"/>
  <c r="AQ287" i="7" s="1"/>
  <c r="AL287" i="7" s="1"/>
  <c r="AG287" i="7" s="1"/>
  <c r="AB287" i="7" s="1"/>
  <c r="W287" i="7" s="1"/>
  <c r="BU288" i="7"/>
  <c r="BP288" i="7" s="1"/>
  <c r="BK288" i="7" s="1"/>
  <c r="BF288" i="7" s="1"/>
  <c r="BA288" i="7" s="1"/>
  <c r="AV288" i="7" s="1"/>
  <c r="AQ288" i="7" s="1"/>
  <c r="AL288" i="7" s="1"/>
  <c r="AG288" i="7" s="1"/>
  <c r="AB288" i="7" s="1"/>
  <c r="W288" i="7" s="1"/>
  <c r="BU289" i="7"/>
  <c r="BP289" i="7" s="1"/>
  <c r="BK289" i="7" s="1"/>
  <c r="BF289" i="7" s="1"/>
  <c r="BA289" i="7" s="1"/>
  <c r="AV289" i="7" s="1"/>
  <c r="AQ289" i="7" s="1"/>
  <c r="AL289" i="7" s="1"/>
  <c r="AG289" i="7" s="1"/>
  <c r="AB289" i="7" s="1"/>
  <c r="W289" i="7" s="1"/>
  <c r="BU290" i="7"/>
  <c r="BP290" i="7" s="1"/>
  <c r="BK290" i="7" s="1"/>
  <c r="BF290" i="7" s="1"/>
  <c r="BA290" i="7" s="1"/>
  <c r="AV290" i="7" s="1"/>
  <c r="AQ290" i="7" s="1"/>
  <c r="AL290" i="7" s="1"/>
  <c r="AG290" i="7" s="1"/>
  <c r="AB290" i="7" s="1"/>
  <c r="W290" i="7" s="1"/>
  <c r="BU291" i="7"/>
  <c r="BP291" i="7" s="1"/>
  <c r="BK291" i="7" s="1"/>
  <c r="BF291" i="7" s="1"/>
  <c r="BA291" i="7" s="1"/>
  <c r="AV291" i="7" s="1"/>
  <c r="AQ291" i="7" s="1"/>
  <c r="AL291" i="7" s="1"/>
  <c r="AG291" i="7" s="1"/>
  <c r="AB291" i="7" s="1"/>
  <c r="W291" i="7" s="1"/>
  <c r="BU292" i="7"/>
  <c r="BP292" i="7" s="1"/>
  <c r="BK292" i="7" s="1"/>
  <c r="BF292" i="7" s="1"/>
  <c r="BA292" i="7" s="1"/>
  <c r="AV292" i="7" s="1"/>
  <c r="AQ292" i="7" s="1"/>
  <c r="AL292" i="7" s="1"/>
  <c r="AG292" i="7" s="1"/>
  <c r="AB292" i="7" s="1"/>
  <c r="W292" i="7" s="1"/>
  <c r="BU293" i="7"/>
  <c r="BP293" i="7" s="1"/>
  <c r="BK293" i="7" s="1"/>
  <c r="BF293" i="7" s="1"/>
  <c r="BA293" i="7" s="1"/>
  <c r="AV293" i="7" s="1"/>
  <c r="AQ293" i="7" s="1"/>
  <c r="AL293" i="7" s="1"/>
  <c r="AG293" i="7" s="1"/>
  <c r="AB293" i="7" s="1"/>
  <c r="W293" i="7" s="1"/>
  <c r="S33" i="7"/>
  <c r="S32" i="7"/>
  <c r="S31" i="7"/>
  <c r="S30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X13" i="7"/>
  <c r="AC13" i="7"/>
  <c r="AH13" i="7"/>
  <c r="X14" i="7"/>
  <c r="AC14" i="7" s="1"/>
  <c r="AH14" i="7" s="1"/>
  <c r="AM14" i="7" s="1"/>
  <c r="AR14" i="7" s="1"/>
  <c r="AW14" i="7" s="1"/>
  <c r="BB14" i="7" s="1"/>
  <c r="BG14" i="7" s="1"/>
  <c r="BL14" i="7" s="1"/>
  <c r="BQ14" i="7" s="1"/>
  <c r="BV14" i="7" s="1"/>
  <c r="CA14" i="7" s="1"/>
  <c r="X15" i="7"/>
  <c r="AC15" i="7" s="1"/>
  <c r="AH15" i="7" s="1"/>
  <c r="AM15" i="7" s="1"/>
  <c r="AR15" i="7" s="1"/>
  <c r="AW15" i="7" s="1"/>
  <c r="BB15" i="7" s="1"/>
  <c r="BG15" i="7" s="1"/>
  <c r="BL15" i="7" s="1"/>
  <c r="BQ15" i="7" s="1"/>
  <c r="BV15" i="7" s="1"/>
  <c r="CA15" i="7" s="1"/>
  <c r="X16" i="7"/>
  <c r="AC16" i="7" s="1"/>
  <c r="AH16" i="7" s="1"/>
  <c r="AM16" i="7" s="1"/>
  <c r="AR16" i="7" s="1"/>
  <c r="AW16" i="7" s="1"/>
  <c r="BB16" i="7" s="1"/>
  <c r="BG16" i="7" s="1"/>
  <c r="BL16" i="7" s="1"/>
  <c r="BQ16" i="7" s="1"/>
  <c r="BV16" i="7" s="1"/>
  <c r="CA16" i="7" s="1"/>
  <c r="W9" i="7"/>
  <c r="AB9" i="7"/>
  <c r="AF9" i="7" s="1"/>
  <c r="AG9" i="7"/>
  <c r="AH9" i="7" s="1"/>
  <c r="AL9" i="7"/>
  <c r="AP9" i="7" s="1"/>
  <c r="AQ9" i="7"/>
  <c r="AU9" i="7" s="1"/>
  <c r="AV9" i="7"/>
  <c r="BA9" i="7"/>
  <c r="BF9" i="7"/>
  <c r="BI9" i="7" s="1"/>
  <c r="BK9" i="7"/>
  <c r="BN9" i="7" s="1"/>
  <c r="BP9" i="7"/>
  <c r="BS9" i="7" s="1"/>
  <c r="BU9" i="7"/>
  <c r="BX9" i="7" s="1"/>
  <c r="BZ9" i="7"/>
  <c r="CB9" i="7" s="1"/>
  <c r="AZ2" i="26" a="1"/>
  <c r="BC104" i="26" s="1"/>
  <c r="AY2" i="26" a="1"/>
  <c r="BB127" i="26" s="1"/>
  <c r="AB13" i="26"/>
  <c r="AB12" i="26"/>
  <c r="AB11" i="26"/>
  <c r="X26" i="26"/>
  <c r="X25" i="26"/>
  <c r="X24" i="26"/>
  <c r="X23" i="26"/>
  <c r="X22" i="26"/>
  <c r="X21" i="26"/>
  <c r="X20" i="26"/>
  <c r="X19" i="26"/>
  <c r="X18" i="26"/>
  <c r="X17" i="26"/>
  <c r="X16" i="26"/>
  <c r="X15" i="26"/>
  <c r="X14" i="26"/>
  <c r="X13" i="26"/>
  <c r="X12" i="26"/>
  <c r="X11" i="26"/>
  <c r="T16" i="26"/>
  <c r="T15" i="26"/>
  <c r="T14" i="26"/>
  <c r="T13" i="26"/>
  <c r="T12" i="26"/>
  <c r="T11" i="26"/>
  <c r="P16" i="26"/>
  <c r="P15" i="26"/>
  <c r="P14" i="26"/>
  <c r="P13" i="26"/>
  <c r="P12" i="26"/>
  <c r="P11" i="26"/>
  <c r="L21" i="26"/>
  <c r="L20" i="26"/>
  <c r="L19" i="26"/>
  <c r="L18" i="26"/>
  <c r="L17" i="26"/>
  <c r="L16" i="26"/>
  <c r="L15" i="26"/>
  <c r="L14" i="26"/>
  <c r="L13" i="26"/>
  <c r="L12" i="26"/>
  <c r="L11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13" i="26"/>
  <c r="H12" i="26"/>
  <c r="H11" i="26"/>
  <c r="D13" i="26"/>
  <c r="D12" i="26"/>
  <c r="D11" i="26"/>
  <c r="X290" i="7" l="1"/>
  <c r="AC290" i="7" s="1"/>
  <c r="AH290" i="7" s="1"/>
  <c r="AM290" i="7" s="1"/>
  <c r="AR290" i="7" s="1"/>
  <c r="AW290" i="7" s="1"/>
  <c r="BB290" i="7" s="1"/>
  <c r="BG290" i="7" s="1"/>
  <c r="BL290" i="7" s="1"/>
  <c r="BQ290" i="7" s="1"/>
  <c r="BV290" i="7" s="1"/>
  <c r="CA290" i="7" s="1"/>
  <c r="X282" i="7"/>
  <c r="AC282" i="7" s="1"/>
  <c r="AH282" i="7" s="1"/>
  <c r="AM282" i="7" s="1"/>
  <c r="AR282" i="7" s="1"/>
  <c r="AW282" i="7" s="1"/>
  <c r="BB282" i="7" s="1"/>
  <c r="BG282" i="7" s="1"/>
  <c r="BL282" i="7" s="1"/>
  <c r="BQ282" i="7" s="1"/>
  <c r="BV282" i="7" s="1"/>
  <c r="CA282" i="7" s="1"/>
  <c r="X274" i="7"/>
  <c r="AC274" i="7" s="1"/>
  <c r="AH274" i="7" s="1"/>
  <c r="AM274" i="7" s="1"/>
  <c r="AR274" i="7" s="1"/>
  <c r="AW274" i="7" s="1"/>
  <c r="BB274" i="7" s="1"/>
  <c r="BG274" i="7" s="1"/>
  <c r="BL274" i="7" s="1"/>
  <c r="BQ274" i="7" s="1"/>
  <c r="BV274" i="7" s="1"/>
  <c r="CA274" i="7" s="1"/>
  <c r="X266" i="7"/>
  <c r="AC266" i="7" s="1"/>
  <c r="AH266" i="7" s="1"/>
  <c r="AM266" i="7" s="1"/>
  <c r="AR266" i="7" s="1"/>
  <c r="AW266" i="7" s="1"/>
  <c r="BB266" i="7" s="1"/>
  <c r="BG266" i="7" s="1"/>
  <c r="BL266" i="7" s="1"/>
  <c r="BQ266" i="7" s="1"/>
  <c r="BV266" i="7" s="1"/>
  <c r="CA266" i="7" s="1"/>
  <c r="X258" i="7"/>
  <c r="AC258" i="7" s="1"/>
  <c r="AH258" i="7" s="1"/>
  <c r="AM258" i="7" s="1"/>
  <c r="AR258" i="7" s="1"/>
  <c r="AW258" i="7" s="1"/>
  <c r="BB258" i="7" s="1"/>
  <c r="BG258" i="7" s="1"/>
  <c r="BL258" i="7" s="1"/>
  <c r="BQ258" i="7" s="1"/>
  <c r="BV258" i="7" s="1"/>
  <c r="CA258" i="7" s="1"/>
  <c r="X250" i="7"/>
  <c r="AC250" i="7" s="1"/>
  <c r="AH250" i="7" s="1"/>
  <c r="AM250" i="7" s="1"/>
  <c r="AR250" i="7" s="1"/>
  <c r="AW250" i="7" s="1"/>
  <c r="BB250" i="7" s="1"/>
  <c r="BG250" i="7" s="1"/>
  <c r="BL250" i="7" s="1"/>
  <c r="BQ250" i="7" s="1"/>
  <c r="BV250" i="7" s="1"/>
  <c r="CA250" i="7" s="1"/>
  <c r="X242" i="7"/>
  <c r="AC242" i="7" s="1"/>
  <c r="AH242" i="7" s="1"/>
  <c r="AM242" i="7" s="1"/>
  <c r="AR242" i="7" s="1"/>
  <c r="AW242" i="7" s="1"/>
  <c r="BB242" i="7" s="1"/>
  <c r="BG242" i="7" s="1"/>
  <c r="BL242" i="7" s="1"/>
  <c r="BQ242" i="7" s="1"/>
  <c r="BV242" i="7" s="1"/>
  <c r="CA242" i="7" s="1"/>
  <c r="X234" i="7"/>
  <c r="AC234" i="7" s="1"/>
  <c r="AH234" i="7" s="1"/>
  <c r="AM234" i="7" s="1"/>
  <c r="AR234" i="7" s="1"/>
  <c r="AW234" i="7" s="1"/>
  <c r="BB234" i="7" s="1"/>
  <c r="BG234" i="7" s="1"/>
  <c r="BL234" i="7" s="1"/>
  <c r="BQ234" i="7" s="1"/>
  <c r="BV234" i="7" s="1"/>
  <c r="CA234" i="7" s="1"/>
  <c r="X226" i="7"/>
  <c r="AC226" i="7" s="1"/>
  <c r="AH226" i="7" s="1"/>
  <c r="AM226" i="7" s="1"/>
  <c r="AR226" i="7" s="1"/>
  <c r="AW226" i="7" s="1"/>
  <c r="BB226" i="7" s="1"/>
  <c r="BG226" i="7" s="1"/>
  <c r="BL226" i="7" s="1"/>
  <c r="BQ226" i="7" s="1"/>
  <c r="BV226" i="7" s="1"/>
  <c r="CA226" i="7" s="1"/>
  <c r="X218" i="7"/>
  <c r="AC218" i="7" s="1"/>
  <c r="AH218" i="7" s="1"/>
  <c r="AM218" i="7" s="1"/>
  <c r="AR218" i="7" s="1"/>
  <c r="AW218" i="7" s="1"/>
  <c r="BB218" i="7" s="1"/>
  <c r="BG218" i="7" s="1"/>
  <c r="BL218" i="7" s="1"/>
  <c r="BQ218" i="7" s="1"/>
  <c r="BV218" i="7" s="1"/>
  <c r="CA218" i="7" s="1"/>
  <c r="X210" i="7"/>
  <c r="AC210" i="7" s="1"/>
  <c r="AH210" i="7" s="1"/>
  <c r="AM210" i="7" s="1"/>
  <c r="AR210" i="7" s="1"/>
  <c r="AW210" i="7" s="1"/>
  <c r="BB210" i="7" s="1"/>
  <c r="BG210" i="7" s="1"/>
  <c r="BL210" i="7" s="1"/>
  <c r="BQ210" i="7" s="1"/>
  <c r="BV210" i="7" s="1"/>
  <c r="CA210" i="7" s="1"/>
  <c r="X202" i="7"/>
  <c r="AC202" i="7" s="1"/>
  <c r="AH202" i="7" s="1"/>
  <c r="AM202" i="7" s="1"/>
  <c r="AR202" i="7" s="1"/>
  <c r="AW202" i="7" s="1"/>
  <c r="BB202" i="7" s="1"/>
  <c r="BG202" i="7" s="1"/>
  <c r="BL202" i="7" s="1"/>
  <c r="BQ202" i="7" s="1"/>
  <c r="BV202" i="7" s="1"/>
  <c r="CA202" i="7" s="1"/>
  <c r="X194" i="7"/>
  <c r="AC194" i="7" s="1"/>
  <c r="AH194" i="7" s="1"/>
  <c r="AM194" i="7" s="1"/>
  <c r="AR194" i="7" s="1"/>
  <c r="AW194" i="7" s="1"/>
  <c r="BB194" i="7" s="1"/>
  <c r="BG194" i="7" s="1"/>
  <c r="BL194" i="7" s="1"/>
  <c r="BQ194" i="7" s="1"/>
  <c r="BV194" i="7" s="1"/>
  <c r="CA194" i="7" s="1"/>
  <c r="X186" i="7"/>
  <c r="AC186" i="7" s="1"/>
  <c r="AH186" i="7" s="1"/>
  <c r="AM186" i="7" s="1"/>
  <c r="AR186" i="7" s="1"/>
  <c r="AW186" i="7" s="1"/>
  <c r="BB186" i="7" s="1"/>
  <c r="BG186" i="7" s="1"/>
  <c r="BL186" i="7" s="1"/>
  <c r="BQ186" i="7" s="1"/>
  <c r="BV186" i="7" s="1"/>
  <c r="CA186" i="7" s="1"/>
  <c r="X178" i="7"/>
  <c r="AC178" i="7" s="1"/>
  <c r="AH178" i="7" s="1"/>
  <c r="AM178" i="7" s="1"/>
  <c r="AR178" i="7" s="1"/>
  <c r="AW178" i="7" s="1"/>
  <c r="BB178" i="7" s="1"/>
  <c r="BG178" i="7" s="1"/>
  <c r="BL178" i="7" s="1"/>
  <c r="BQ178" i="7" s="1"/>
  <c r="BV178" i="7" s="1"/>
  <c r="CA178" i="7" s="1"/>
  <c r="X170" i="7"/>
  <c r="AC170" i="7" s="1"/>
  <c r="AH170" i="7" s="1"/>
  <c r="AM170" i="7" s="1"/>
  <c r="AR170" i="7" s="1"/>
  <c r="AW170" i="7" s="1"/>
  <c r="BB170" i="7" s="1"/>
  <c r="BG170" i="7" s="1"/>
  <c r="BL170" i="7" s="1"/>
  <c r="BQ170" i="7" s="1"/>
  <c r="BV170" i="7" s="1"/>
  <c r="CA170" i="7" s="1"/>
  <c r="X162" i="7"/>
  <c r="AC162" i="7" s="1"/>
  <c r="AH162" i="7" s="1"/>
  <c r="AM162" i="7" s="1"/>
  <c r="AR162" i="7" s="1"/>
  <c r="AW162" i="7" s="1"/>
  <c r="BB162" i="7" s="1"/>
  <c r="BG162" i="7" s="1"/>
  <c r="BL162" i="7" s="1"/>
  <c r="BQ162" i="7" s="1"/>
  <c r="BV162" i="7" s="1"/>
  <c r="CA162" i="7" s="1"/>
  <c r="X154" i="7"/>
  <c r="AC154" i="7" s="1"/>
  <c r="AH154" i="7" s="1"/>
  <c r="AM154" i="7" s="1"/>
  <c r="AR154" i="7" s="1"/>
  <c r="AW154" i="7" s="1"/>
  <c r="BB154" i="7" s="1"/>
  <c r="BG154" i="7" s="1"/>
  <c r="BL154" i="7" s="1"/>
  <c r="BQ154" i="7" s="1"/>
  <c r="BV154" i="7" s="1"/>
  <c r="CA154" i="7" s="1"/>
  <c r="X146" i="7"/>
  <c r="AC146" i="7" s="1"/>
  <c r="AH146" i="7" s="1"/>
  <c r="AM146" i="7" s="1"/>
  <c r="AR146" i="7" s="1"/>
  <c r="AW146" i="7" s="1"/>
  <c r="BB146" i="7" s="1"/>
  <c r="BG146" i="7" s="1"/>
  <c r="BL146" i="7" s="1"/>
  <c r="BQ146" i="7" s="1"/>
  <c r="BV146" i="7" s="1"/>
  <c r="CA146" i="7" s="1"/>
  <c r="X138" i="7"/>
  <c r="AC138" i="7" s="1"/>
  <c r="AH138" i="7" s="1"/>
  <c r="AM138" i="7" s="1"/>
  <c r="AR138" i="7" s="1"/>
  <c r="AW138" i="7" s="1"/>
  <c r="BB138" i="7" s="1"/>
  <c r="BG138" i="7" s="1"/>
  <c r="BL138" i="7" s="1"/>
  <c r="BQ138" i="7" s="1"/>
  <c r="BV138" i="7" s="1"/>
  <c r="CA138" i="7" s="1"/>
  <c r="X130" i="7"/>
  <c r="AC130" i="7" s="1"/>
  <c r="AH130" i="7" s="1"/>
  <c r="AM130" i="7" s="1"/>
  <c r="AR130" i="7" s="1"/>
  <c r="AW130" i="7" s="1"/>
  <c r="BB130" i="7" s="1"/>
  <c r="BG130" i="7" s="1"/>
  <c r="BL130" i="7" s="1"/>
  <c r="BQ130" i="7" s="1"/>
  <c r="BV130" i="7" s="1"/>
  <c r="CA130" i="7" s="1"/>
  <c r="X122" i="7"/>
  <c r="AC122" i="7" s="1"/>
  <c r="AH122" i="7" s="1"/>
  <c r="AM122" i="7" s="1"/>
  <c r="AR122" i="7" s="1"/>
  <c r="AW122" i="7" s="1"/>
  <c r="BB122" i="7" s="1"/>
  <c r="BG122" i="7" s="1"/>
  <c r="BL122" i="7" s="1"/>
  <c r="BQ122" i="7" s="1"/>
  <c r="BV122" i="7" s="1"/>
  <c r="CA122" i="7" s="1"/>
  <c r="X114" i="7"/>
  <c r="AC114" i="7" s="1"/>
  <c r="AH114" i="7" s="1"/>
  <c r="AM114" i="7" s="1"/>
  <c r="AR114" i="7" s="1"/>
  <c r="AW114" i="7" s="1"/>
  <c r="BB114" i="7" s="1"/>
  <c r="BG114" i="7" s="1"/>
  <c r="BL114" i="7" s="1"/>
  <c r="BQ114" i="7" s="1"/>
  <c r="BV114" i="7" s="1"/>
  <c r="CA114" i="7" s="1"/>
  <c r="X106" i="7"/>
  <c r="AC106" i="7" s="1"/>
  <c r="AH106" i="7" s="1"/>
  <c r="AM106" i="7" s="1"/>
  <c r="AR106" i="7" s="1"/>
  <c r="AW106" i="7" s="1"/>
  <c r="BB106" i="7" s="1"/>
  <c r="BG106" i="7" s="1"/>
  <c r="BL106" i="7" s="1"/>
  <c r="BQ106" i="7" s="1"/>
  <c r="BV106" i="7" s="1"/>
  <c r="CA106" i="7" s="1"/>
  <c r="X98" i="7"/>
  <c r="AC98" i="7" s="1"/>
  <c r="AH98" i="7" s="1"/>
  <c r="AM98" i="7" s="1"/>
  <c r="AR98" i="7" s="1"/>
  <c r="AW98" i="7" s="1"/>
  <c r="BB98" i="7" s="1"/>
  <c r="BG98" i="7" s="1"/>
  <c r="BL98" i="7" s="1"/>
  <c r="BQ98" i="7" s="1"/>
  <c r="BV98" i="7" s="1"/>
  <c r="CA98" i="7" s="1"/>
  <c r="X90" i="7"/>
  <c r="AC90" i="7" s="1"/>
  <c r="AH90" i="7" s="1"/>
  <c r="AM90" i="7" s="1"/>
  <c r="AR90" i="7" s="1"/>
  <c r="AW90" i="7" s="1"/>
  <c r="BB90" i="7" s="1"/>
  <c r="BG90" i="7" s="1"/>
  <c r="BL90" i="7" s="1"/>
  <c r="BQ90" i="7" s="1"/>
  <c r="BV90" i="7" s="1"/>
  <c r="CA90" i="7" s="1"/>
  <c r="X82" i="7"/>
  <c r="AC82" i="7" s="1"/>
  <c r="AH82" i="7" s="1"/>
  <c r="AM82" i="7" s="1"/>
  <c r="AR82" i="7" s="1"/>
  <c r="AW82" i="7" s="1"/>
  <c r="BB82" i="7" s="1"/>
  <c r="BG82" i="7" s="1"/>
  <c r="BL82" i="7" s="1"/>
  <c r="BQ82" i="7" s="1"/>
  <c r="BV82" i="7" s="1"/>
  <c r="CA82" i="7" s="1"/>
  <c r="X74" i="7"/>
  <c r="AC74" i="7" s="1"/>
  <c r="AH74" i="7" s="1"/>
  <c r="AM74" i="7" s="1"/>
  <c r="AR74" i="7" s="1"/>
  <c r="AW74" i="7" s="1"/>
  <c r="BB74" i="7" s="1"/>
  <c r="BG74" i="7" s="1"/>
  <c r="BL74" i="7" s="1"/>
  <c r="BQ74" i="7" s="1"/>
  <c r="BV74" i="7" s="1"/>
  <c r="CA74" i="7" s="1"/>
  <c r="X66" i="7"/>
  <c r="AC66" i="7" s="1"/>
  <c r="AH66" i="7" s="1"/>
  <c r="AM66" i="7" s="1"/>
  <c r="AR66" i="7" s="1"/>
  <c r="AW66" i="7" s="1"/>
  <c r="BB66" i="7" s="1"/>
  <c r="BG66" i="7" s="1"/>
  <c r="BL66" i="7" s="1"/>
  <c r="BQ66" i="7" s="1"/>
  <c r="BV66" i="7" s="1"/>
  <c r="CA66" i="7" s="1"/>
  <c r="X58" i="7"/>
  <c r="AC58" i="7" s="1"/>
  <c r="AH58" i="7" s="1"/>
  <c r="AM58" i="7" s="1"/>
  <c r="AR58" i="7" s="1"/>
  <c r="AW58" i="7" s="1"/>
  <c r="BB58" i="7" s="1"/>
  <c r="BG58" i="7" s="1"/>
  <c r="BL58" i="7" s="1"/>
  <c r="BQ58" i="7" s="1"/>
  <c r="BV58" i="7" s="1"/>
  <c r="CA58" i="7" s="1"/>
  <c r="X50" i="7"/>
  <c r="AC50" i="7" s="1"/>
  <c r="AH50" i="7" s="1"/>
  <c r="AM50" i="7" s="1"/>
  <c r="AR50" i="7" s="1"/>
  <c r="AW50" i="7" s="1"/>
  <c r="BB50" i="7" s="1"/>
  <c r="BG50" i="7" s="1"/>
  <c r="BL50" i="7" s="1"/>
  <c r="BQ50" i="7" s="1"/>
  <c r="BV50" i="7" s="1"/>
  <c r="CA50" i="7" s="1"/>
  <c r="X42" i="7"/>
  <c r="AC42" i="7" s="1"/>
  <c r="AH42" i="7" s="1"/>
  <c r="AM42" i="7" s="1"/>
  <c r="AR42" i="7" s="1"/>
  <c r="AW42" i="7" s="1"/>
  <c r="BB42" i="7" s="1"/>
  <c r="BG42" i="7" s="1"/>
  <c r="BL42" i="7" s="1"/>
  <c r="BQ42" i="7" s="1"/>
  <c r="BV42" i="7" s="1"/>
  <c r="CA42" i="7" s="1"/>
  <c r="X34" i="7"/>
  <c r="AC34" i="7" s="1"/>
  <c r="AH34" i="7" s="1"/>
  <c r="AM34" i="7" s="1"/>
  <c r="AR34" i="7" s="1"/>
  <c r="AW34" i="7" s="1"/>
  <c r="BB34" i="7" s="1"/>
  <c r="BG34" i="7" s="1"/>
  <c r="BL34" i="7" s="1"/>
  <c r="BQ34" i="7" s="1"/>
  <c r="BV34" i="7" s="1"/>
  <c r="CA34" i="7" s="1"/>
  <c r="X25" i="7"/>
  <c r="AC25" i="7" s="1"/>
  <c r="AH25" i="7" s="1"/>
  <c r="AM25" i="7" s="1"/>
  <c r="AR25" i="7" s="1"/>
  <c r="AW25" i="7" s="1"/>
  <c r="BB25" i="7" s="1"/>
  <c r="BG25" i="7" s="1"/>
  <c r="BL25" i="7" s="1"/>
  <c r="BQ25" i="7" s="1"/>
  <c r="BV25" i="7" s="1"/>
  <c r="CA25" i="7" s="1"/>
  <c r="X17" i="7"/>
  <c r="AC17" i="7" s="1"/>
  <c r="AH17" i="7" s="1"/>
  <c r="AM17" i="7" s="1"/>
  <c r="AR17" i="7" s="1"/>
  <c r="AW17" i="7" s="1"/>
  <c r="BB17" i="7" s="1"/>
  <c r="BG17" i="7" s="1"/>
  <c r="BL17" i="7" s="1"/>
  <c r="BQ17" i="7" s="1"/>
  <c r="BV17" i="7" s="1"/>
  <c r="CA17" i="7" s="1"/>
  <c r="X289" i="7"/>
  <c r="AC289" i="7" s="1"/>
  <c r="AH289" i="7" s="1"/>
  <c r="AM289" i="7" s="1"/>
  <c r="AR289" i="7" s="1"/>
  <c r="AW289" i="7" s="1"/>
  <c r="BB289" i="7" s="1"/>
  <c r="BG289" i="7" s="1"/>
  <c r="BL289" i="7" s="1"/>
  <c r="BQ289" i="7" s="1"/>
  <c r="BV289" i="7" s="1"/>
  <c r="CA289" i="7" s="1"/>
  <c r="X281" i="7"/>
  <c r="AC281" i="7" s="1"/>
  <c r="AH281" i="7" s="1"/>
  <c r="AM281" i="7" s="1"/>
  <c r="AR281" i="7" s="1"/>
  <c r="AW281" i="7" s="1"/>
  <c r="BB281" i="7" s="1"/>
  <c r="BG281" i="7" s="1"/>
  <c r="BL281" i="7" s="1"/>
  <c r="BQ281" i="7" s="1"/>
  <c r="BV281" i="7" s="1"/>
  <c r="CA281" i="7" s="1"/>
  <c r="X273" i="7"/>
  <c r="AC273" i="7" s="1"/>
  <c r="AH273" i="7" s="1"/>
  <c r="AM273" i="7" s="1"/>
  <c r="AR273" i="7" s="1"/>
  <c r="AW273" i="7" s="1"/>
  <c r="BB273" i="7" s="1"/>
  <c r="BG273" i="7" s="1"/>
  <c r="BL273" i="7" s="1"/>
  <c r="BQ273" i="7" s="1"/>
  <c r="BV273" i="7" s="1"/>
  <c r="CA273" i="7" s="1"/>
  <c r="X265" i="7"/>
  <c r="AC265" i="7" s="1"/>
  <c r="AH265" i="7" s="1"/>
  <c r="AM265" i="7" s="1"/>
  <c r="AR265" i="7" s="1"/>
  <c r="AW265" i="7" s="1"/>
  <c r="BB265" i="7" s="1"/>
  <c r="BG265" i="7" s="1"/>
  <c r="BL265" i="7" s="1"/>
  <c r="BQ265" i="7" s="1"/>
  <c r="BV265" i="7" s="1"/>
  <c r="CA265" i="7" s="1"/>
  <c r="X257" i="7"/>
  <c r="AC257" i="7" s="1"/>
  <c r="AH257" i="7" s="1"/>
  <c r="AM257" i="7" s="1"/>
  <c r="AR257" i="7" s="1"/>
  <c r="AW257" i="7" s="1"/>
  <c r="BB257" i="7" s="1"/>
  <c r="BG257" i="7" s="1"/>
  <c r="BL257" i="7" s="1"/>
  <c r="BQ257" i="7" s="1"/>
  <c r="BV257" i="7" s="1"/>
  <c r="CA257" i="7" s="1"/>
  <c r="X249" i="7"/>
  <c r="AC249" i="7" s="1"/>
  <c r="AH249" i="7" s="1"/>
  <c r="AM249" i="7" s="1"/>
  <c r="AR249" i="7" s="1"/>
  <c r="AW249" i="7" s="1"/>
  <c r="BB249" i="7" s="1"/>
  <c r="BG249" i="7" s="1"/>
  <c r="BL249" i="7" s="1"/>
  <c r="BQ249" i="7" s="1"/>
  <c r="BV249" i="7" s="1"/>
  <c r="CA249" i="7" s="1"/>
  <c r="X241" i="7"/>
  <c r="AC241" i="7" s="1"/>
  <c r="AH241" i="7" s="1"/>
  <c r="AM241" i="7" s="1"/>
  <c r="AR241" i="7" s="1"/>
  <c r="AW241" i="7" s="1"/>
  <c r="BB241" i="7" s="1"/>
  <c r="BG241" i="7" s="1"/>
  <c r="BL241" i="7" s="1"/>
  <c r="BQ241" i="7" s="1"/>
  <c r="BV241" i="7" s="1"/>
  <c r="CA241" i="7" s="1"/>
  <c r="X233" i="7"/>
  <c r="AC233" i="7" s="1"/>
  <c r="AH233" i="7" s="1"/>
  <c r="AM233" i="7" s="1"/>
  <c r="AR233" i="7" s="1"/>
  <c r="AW233" i="7" s="1"/>
  <c r="BB233" i="7" s="1"/>
  <c r="BG233" i="7" s="1"/>
  <c r="BL233" i="7" s="1"/>
  <c r="BQ233" i="7" s="1"/>
  <c r="BV233" i="7" s="1"/>
  <c r="CA233" i="7" s="1"/>
  <c r="X225" i="7"/>
  <c r="AC225" i="7" s="1"/>
  <c r="AH225" i="7" s="1"/>
  <c r="AM225" i="7" s="1"/>
  <c r="AR225" i="7" s="1"/>
  <c r="AW225" i="7" s="1"/>
  <c r="BB225" i="7" s="1"/>
  <c r="BG225" i="7" s="1"/>
  <c r="BL225" i="7" s="1"/>
  <c r="BQ225" i="7" s="1"/>
  <c r="BV225" i="7" s="1"/>
  <c r="CA225" i="7" s="1"/>
  <c r="X217" i="7"/>
  <c r="AC217" i="7" s="1"/>
  <c r="AH217" i="7" s="1"/>
  <c r="AM217" i="7" s="1"/>
  <c r="AR217" i="7" s="1"/>
  <c r="AW217" i="7" s="1"/>
  <c r="BB217" i="7" s="1"/>
  <c r="BG217" i="7" s="1"/>
  <c r="BL217" i="7" s="1"/>
  <c r="BQ217" i="7" s="1"/>
  <c r="BV217" i="7" s="1"/>
  <c r="CA217" i="7" s="1"/>
  <c r="X209" i="7"/>
  <c r="AC209" i="7" s="1"/>
  <c r="AH209" i="7" s="1"/>
  <c r="AM209" i="7" s="1"/>
  <c r="AR209" i="7" s="1"/>
  <c r="AW209" i="7" s="1"/>
  <c r="BB209" i="7" s="1"/>
  <c r="BG209" i="7" s="1"/>
  <c r="BL209" i="7" s="1"/>
  <c r="BQ209" i="7" s="1"/>
  <c r="BV209" i="7" s="1"/>
  <c r="CA209" i="7" s="1"/>
  <c r="X201" i="7"/>
  <c r="AC201" i="7" s="1"/>
  <c r="AH201" i="7" s="1"/>
  <c r="AM201" i="7" s="1"/>
  <c r="AR201" i="7" s="1"/>
  <c r="AW201" i="7" s="1"/>
  <c r="BB201" i="7" s="1"/>
  <c r="BG201" i="7" s="1"/>
  <c r="BL201" i="7" s="1"/>
  <c r="BQ201" i="7" s="1"/>
  <c r="BV201" i="7" s="1"/>
  <c r="CA201" i="7" s="1"/>
  <c r="X193" i="7"/>
  <c r="AC193" i="7" s="1"/>
  <c r="AH193" i="7" s="1"/>
  <c r="AM193" i="7" s="1"/>
  <c r="AR193" i="7" s="1"/>
  <c r="AW193" i="7" s="1"/>
  <c r="BB193" i="7" s="1"/>
  <c r="BG193" i="7" s="1"/>
  <c r="BL193" i="7" s="1"/>
  <c r="BQ193" i="7" s="1"/>
  <c r="BV193" i="7" s="1"/>
  <c r="CA193" i="7" s="1"/>
  <c r="X185" i="7"/>
  <c r="AC185" i="7" s="1"/>
  <c r="AH185" i="7" s="1"/>
  <c r="AM185" i="7" s="1"/>
  <c r="AR185" i="7" s="1"/>
  <c r="AW185" i="7" s="1"/>
  <c r="BB185" i="7" s="1"/>
  <c r="BG185" i="7" s="1"/>
  <c r="BL185" i="7" s="1"/>
  <c r="BQ185" i="7" s="1"/>
  <c r="BV185" i="7" s="1"/>
  <c r="CA185" i="7" s="1"/>
  <c r="X177" i="7"/>
  <c r="AC177" i="7" s="1"/>
  <c r="AH177" i="7" s="1"/>
  <c r="AM177" i="7" s="1"/>
  <c r="AR177" i="7" s="1"/>
  <c r="AW177" i="7" s="1"/>
  <c r="BB177" i="7" s="1"/>
  <c r="BG177" i="7" s="1"/>
  <c r="BL177" i="7" s="1"/>
  <c r="BQ177" i="7" s="1"/>
  <c r="BV177" i="7" s="1"/>
  <c r="CA177" i="7" s="1"/>
  <c r="X169" i="7"/>
  <c r="AC169" i="7" s="1"/>
  <c r="AH169" i="7" s="1"/>
  <c r="AM169" i="7" s="1"/>
  <c r="AR169" i="7" s="1"/>
  <c r="AW169" i="7" s="1"/>
  <c r="BB169" i="7" s="1"/>
  <c r="BG169" i="7" s="1"/>
  <c r="BL169" i="7" s="1"/>
  <c r="BQ169" i="7" s="1"/>
  <c r="BV169" i="7" s="1"/>
  <c r="CA169" i="7" s="1"/>
  <c r="X161" i="7"/>
  <c r="AC161" i="7" s="1"/>
  <c r="AH161" i="7" s="1"/>
  <c r="AM161" i="7" s="1"/>
  <c r="AR161" i="7" s="1"/>
  <c r="AW161" i="7" s="1"/>
  <c r="BB161" i="7" s="1"/>
  <c r="BG161" i="7" s="1"/>
  <c r="BL161" i="7" s="1"/>
  <c r="BQ161" i="7" s="1"/>
  <c r="BV161" i="7" s="1"/>
  <c r="CA161" i="7" s="1"/>
  <c r="X153" i="7"/>
  <c r="AC153" i="7" s="1"/>
  <c r="AH153" i="7" s="1"/>
  <c r="AM153" i="7" s="1"/>
  <c r="AR153" i="7" s="1"/>
  <c r="AW153" i="7" s="1"/>
  <c r="BB153" i="7" s="1"/>
  <c r="BG153" i="7" s="1"/>
  <c r="BL153" i="7" s="1"/>
  <c r="BQ153" i="7" s="1"/>
  <c r="BV153" i="7" s="1"/>
  <c r="CA153" i="7" s="1"/>
  <c r="X145" i="7"/>
  <c r="AC145" i="7" s="1"/>
  <c r="AH145" i="7" s="1"/>
  <c r="AM145" i="7" s="1"/>
  <c r="AR145" i="7" s="1"/>
  <c r="AW145" i="7" s="1"/>
  <c r="BB145" i="7" s="1"/>
  <c r="BG145" i="7" s="1"/>
  <c r="BL145" i="7" s="1"/>
  <c r="BQ145" i="7" s="1"/>
  <c r="BV145" i="7" s="1"/>
  <c r="CA145" i="7" s="1"/>
  <c r="X137" i="7"/>
  <c r="AC137" i="7" s="1"/>
  <c r="AH137" i="7" s="1"/>
  <c r="AM137" i="7" s="1"/>
  <c r="AR137" i="7" s="1"/>
  <c r="AW137" i="7" s="1"/>
  <c r="BB137" i="7" s="1"/>
  <c r="BG137" i="7" s="1"/>
  <c r="BL137" i="7" s="1"/>
  <c r="BQ137" i="7" s="1"/>
  <c r="BV137" i="7" s="1"/>
  <c r="CA137" i="7" s="1"/>
  <c r="X129" i="7"/>
  <c r="AC129" i="7" s="1"/>
  <c r="AH129" i="7" s="1"/>
  <c r="AM129" i="7" s="1"/>
  <c r="AR129" i="7" s="1"/>
  <c r="AW129" i="7" s="1"/>
  <c r="BB129" i="7" s="1"/>
  <c r="BG129" i="7" s="1"/>
  <c r="BL129" i="7" s="1"/>
  <c r="BQ129" i="7" s="1"/>
  <c r="BV129" i="7" s="1"/>
  <c r="CA129" i="7" s="1"/>
  <c r="X121" i="7"/>
  <c r="AC121" i="7" s="1"/>
  <c r="AH121" i="7" s="1"/>
  <c r="AM121" i="7" s="1"/>
  <c r="AR121" i="7" s="1"/>
  <c r="AW121" i="7" s="1"/>
  <c r="BB121" i="7" s="1"/>
  <c r="BG121" i="7" s="1"/>
  <c r="BL121" i="7" s="1"/>
  <c r="BQ121" i="7" s="1"/>
  <c r="BV121" i="7" s="1"/>
  <c r="CA121" i="7" s="1"/>
  <c r="X113" i="7"/>
  <c r="AC113" i="7" s="1"/>
  <c r="AH113" i="7" s="1"/>
  <c r="AM113" i="7" s="1"/>
  <c r="AR113" i="7" s="1"/>
  <c r="AW113" i="7" s="1"/>
  <c r="BB113" i="7" s="1"/>
  <c r="BG113" i="7" s="1"/>
  <c r="BL113" i="7" s="1"/>
  <c r="BQ113" i="7" s="1"/>
  <c r="BV113" i="7" s="1"/>
  <c r="CA113" i="7" s="1"/>
  <c r="X105" i="7"/>
  <c r="AC105" i="7" s="1"/>
  <c r="AH105" i="7" s="1"/>
  <c r="AM105" i="7" s="1"/>
  <c r="AR105" i="7" s="1"/>
  <c r="AW105" i="7" s="1"/>
  <c r="BB105" i="7" s="1"/>
  <c r="BG105" i="7" s="1"/>
  <c r="BL105" i="7" s="1"/>
  <c r="BQ105" i="7" s="1"/>
  <c r="BV105" i="7" s="1"/>
  <c r="CA105" i="7" s="1"/>
  <c r="X97" i="7"/>
  <c r="AC97" i="7" s="1"/>
  <c r="AH97" i="7" s="1"/>
  <c r="AM97" i="7" s="1"/>
  <c r="AR97" i="7" s="1"/>
  <c r="AW97" i="7" s="1"/>
  <c r="BB97" i="7" s="1"/>
  <c r="BG97" i="7" s="1"/>
  <c r="BL97" i="7" s="1"/>
  <c r="BQ97" i="7" s="1"/>
  <c r="BV97" i="7" s="1"/>
  <c r="CA97" i="7" s="1"/>
  <c r="X89" i="7"/>
  <c r="AC89" i="7" s="1"/>
  <c r="AH89" i="7" s="1"/>
  <c r="AM89" i="7" s="1"/>
  <c r="AR89" i="7" s="1"/>
  <c r="AW89" i="7" s="1"/>
  <c r="BB89" i="7" s="1"/>
  <c r="BG89" i="7" s="1"/>
  <c r="BL89" i="7" s="1"/>
  <c r="BQ89" i="7" s="1"/>
  <c r="BV89" i="7" s="1"/>
  <c r="CA89" i="7" s="1"/>
  <c r="X81" i="7"/>
  <c r="AC81" i="7" s="1"/>
  <c r="AH81" i="7" s="1"/>
  <c r="AM81" i="7" s="1"/>
  <c r="AR81" i="7" s="1"/>
  <c r="AW81" i="7" s="1"/>
  <c r="BB81" i="7" s="1"/>
  <c r="BG81" i="7" s="1"/>
  <c r="BL81" i="7" s="1"/>
  <c r="BQ81" i="7" s="1"/>
  <c r="BV81" i="7" s="1"/>
  <c r="CA81" i="7" s="1"/>
  <c r="X73" i="7"/>
  <c r="AC73" i="7" s="1"/>
  <c r="AH73" i="7" s="1"/>
  <c r="AM73" i="7" s="1"/>
  <c r="AR73" i="7" s="1"/>
  <c r="AW73" i="7" s="1"/>
  <c r="BB73" i="7" s="1"/>
  <c r="BG73" i="7" s="1"/>
  <c r="BL73" i="7" s="1"/>
  <c r="BQ73" i="7" s="1"/>
  <c r="BV73" i="7" s="1"/>
  <c r="CA73" i="7" s="1"/>
  <c r="X65" i="7"/>
  <c r="AC65" i="7" s="1"/>
  <c r="AH65" i="7" s="1"/>
  <c r="AM65" i="7" s="1"/>
  <c r="AR65" i="7" s="1"/>
  <c r="AW65" i="7" s="1"/>
  <c r="BB65" i="7" s="1"/>
  <c r="BG65" i="7" s="1"/>
  <c r="BL65" i="7" s="1"/>
  <c r="BQ65" i="7" s="1"/>
  <c r="BV65" i="7" s="1"/>
  <c r="CA65" i="7" s="1"/>
  <c r="X57" i="7"/>
  <c r="AC57" i="7" s="1"/>
  <c r="AH57" i="7" s="1"/>
  <c r="AM57" i="7" s="1"/>
  <c r="AR57" i="7" s="1"/>
  <c r="AW57" i="7" s="1"/>
  <c r="BB57" i="7" s="1"/>
  <c r="BG57" i="7" s="1"/>
  <c r="BL57" i="7" s="1"/>
  <c r="BQ57" i="7" s="1"/>
  <c r="BV57" i="7" s="1"/>
  <c r="CA57" i="7" s="1"/>
  <c r="X49" i="7"/>
  <c r="AC49" i="7" s="1"/>
  <c r="AH49" i="7" s="1"/>
  <c r="AM49" i="7" s="1"/>
  <c r="AR49" i="7" s="1"/>
  <c r="AW49" i="7" s="1"/>
  <c r="BB49" i="7" s="1"/>
  <c r="BG49" i="7" s="1"/>
  <c r="BL49" i="7" s="1"/>
  <c r="BQ49" i="7" s="1"/>
  <c r="BV49" i="7" s="1"/>
  <c r="CA49" i="7" s="1"/>
  <c r="X41" i="7"/>
  <c r="AC41" i="7" s="1"/>
  <c r="AH41" i="7" s="1"/>
  <c r="AM41" i="7" s="1"/>
  <c r="AR41" i="7" s="1"/>
  <c r="AW41" i="7" s="1"/>
  <c r="BB41" i="7" s="1"/>
  <c r="BG41" i="7" s="1"/>
  <c r="BL41" i="7" s="1"/>
  <c r="BQ41" i="7" s="1"/>
  <c r="BV41" i="7" s="1"/>
  <c r="CA41" i="7" s="1"/>
  <c r="X33" i="7"/>
  <c r="AC33" i="7" s="1"/>
  <c r="AH33" i="7" s="1"/>
  <c r="AM33" i="7" s="1"/>
  <c r="AR33" i="7" s="1"/>
  <c r="AW33" i="7" s="1"/>
  <c r="BB33" i="7" s="1"/>
  <c r="BG33" i="7" s="1"/>
  <c r="BL33" i="7" s="1"/>
  <c r="BQ33" i="7" s="1"/>
  <c r="BV33" i="7" s="1"/>
  <c r="CA33" i="7" s="1"/>
  <c r="X24" i="7"/>
  <c r="AC24" i="7" s="1"/>
  <c r="AH24" i="7" s="1"/>
  <c r="AM24" i="7" s="1"/>
  <c r="AR24" i="7" s="1"/>
  <c r="AW24" i="7" s="1"/>
  <c r="BB24" i="7" s="1"/>
  <c r="BG24" i="7" s="1"/>
  <c r="BL24" i="7" s="1"/>
  <c r="BQ24" i="7" s="1"/>
  <c r="BV24" i="7" s="1"/>
  <c r="CA24" i="7" s="1"/>
  <c r="X291" i="7"/>
  <c r="AC291" i="7" s="1"/>
  <c r="AH291" i="7" s="1"/>
  <c r="AM291" i="7" s="1"/>
  <c r="AR291" i="7" s="1"/>
  <c r="AW291" i="7" s="1"/>
  <c r="BB291" i="7" s="1"/>
  <c r="BG291" i="7" s="1"/>
  <c r="BL291" i="7" s="1"/>
  <c r="BQ291" i="7" s="1"/>
  <c r="BV291" i="7" s="1"/>
  <c r="CA291" i="7" s="1"/>
  <c r="X267" i="7"/>
  <c r="AC267" i="7" s="1"/>
  <c r="AH267" i="7" s="1"/>
  <c r="AM267" i="7" s="1"/>
  <c r="AR267" i="7" s="1"/>
  <c r="AW267" i="7" s="1"/>
  <c r="BB267" i="7" s="1"/>
  <c r="BG267" i="7" s="1"/>
  <c r="BL267" i="7" s="1"/>
  <c r="BQ267" i="7" s="1"/>
  <c r="BV267" i="7" s="1"/>
  <c r="CA267" i="7" s="1"/>
  <c r="X251" i="7"/>
  <c r="AC251" i="7" s="1"/>
  <c r="AH251" i="7" s="1"/>
  <c r="AM251" i="7" s="1"/>
  <c r="AR251" i="7" s="1"/>
  <c r="AW251" i="7" s="1"/>
  <c r="BB251" i="7" s="1"/>
  <c r="BG251" i="7" s="1"/>
  <c r="BL251" i="7" s="1"/>
  <c r="BQ251" i="7" s="1"/>
  <c r="BV251" i="7" s="1"/>
  <c r="CA251" i="7" s="1"/>
  <c r="X243" i="7"/>
  <c r="AC243" i="7" s="1"/>
  <c r="AH243" i="7" s="1"/>
  <c r="AM243" i="7" s="1"/>
  <c r="AR243" i="7" s="1"/>
  <c r="AW243" i="7" s="1"/>
  <c r="BB243" i="7" s="1"/>
  <c r="BG243" i="7" s="1"/>
  <c r="BL243" i="7" s="1"/>
  <c r="BQ243" i="7" s="1"/>
  <c r="BV243" i="7" s="1"/>
  <c r="CA243" i="7" s="1"/>
  <c r="X235" i="7"/>
  <c r="AC235" i="7" s="1"/>
  <c r="AH235" i="7" s="1"/>
  <c r="AM235" i="7" s="1"/>
  <c r="AR235" i="7" s="1"/>
  <c r="AW235" i="7" s="1"/>
  <c r="BB235" i="7" s="1"/>
  <c r="BG235" i="7" s="1"/>
  <c r="BL235" i="7" s="1"/>
  <c r="BQ235" i="7" s="1"/>
  <c r="BV235" i="7" s="1"/>
  <c r="CA235" i="7" s="1"/>
  <c r="X219" i="7"/>
  <c r="AC219" i="7" s="1"/>
  <c r="AH219" i="7" s="1"/>
  <c r="AM219" i="7" s="1"/>
  <c r="AR219" i="7" s="1"/>
  <c r="AW219" i="7" s="1"/>
  <c r="BB219" i="7" s="1"/>
  <c r="BG219" i="7" s="1"/>
  <c r="BL219" i="7" s="1"/>
  <c r="BQ219" i="7" s="1"/>
  <c r="BV219" i="7" s="1"/>
  <c r="CA219" i="7" s="1"/>
  <c r="X211" i="7"/>
  <c r="AC211" i="7" s="1"/>
  <c r="AH211" i="7" s="1"/>
  <c r="AM211" i="7" s="1"/>
  <c r="AR211" i="7" s="1"/>
  <c r="AW211" i="7" s="1"/>
  <c r="BB211" i="7" s="1"/>
  <c r="BG211" i="7" s="1"/>
  <c r="BL211" i="7" s="1"/>
  <c r="BQ211" i="7" s="1"/>
  <c r="BV211" i="7" s="1"/>
  <c r="CA211" i="7" s="1"/>
  <c r="X203" i="7"/>
  <c r="AC203" i="7" s="1"/>
  <c r="AH203" i="7" s="1"/>
  <c r="AM203" i="7" s="1"/>
  <c r="AR203" i="7" s="1"/>
  <c r="AW203" i="7" s="1"/>
  <c r="BB203" i="7" s="1"/>
  <c r="BG203" i="7" s="1"/>
  <c r="BL203" i="7" s="1"/>
  <c r="BQ203" i="7" s="1"/>
  <c r="BV203" i="7" s="1"/>
  <c r="CA203" i="7" s="1"/>
  <c r="X195" i="7"/>
  <c r="AC195" i="7" s="1"/>
  <c r="AH195" i="7" s="1"/>
  <c r="AM195" i="7" s="1"/>
  <c r="AR195" i="7" s="1"/>
  <c r="AW195" i="7" s="1"/>
  <c r="BB195" i="7" s="1"/>
  <c r="BG195" i="7" s="1"/>
  <c r="BL195" i="7" s="1"/>
  <c r="BQ195" i="7" s="1"/>
  <c r="BV195" i="7" s="1"/>
  <c r="CA195" i="7" s="1"/>
  <c r="X187" i="7"/>
  <c r="AC187" i="7" s="1"/>
  <c r="AH187" i="7" s="1"/>
  <c r="AM187" i="7" s="1"/>
  <c r="AR187" i="7" s="1"/>
  <c r="AW187" i="7" s="1"/>
  <c r="BB187" i="7" s="1"/>
  <c r="BG187" i="7" s="1"/>
  <c r="BL187" i="7" s="1"/>
  <c r="BQ187" i="7" s="1"/>
  <c r="BV187" i="7" s="1"/>
  <c r="CA187" i="7" s="1"/>
  <c r="X179" i="7"/>
  <c r="AC179" i="7" s="1"/>
  <c r="AH179" i="7" s="1"/>
  <c r="AM179" i="7" s="1"/>
  <c r="AR179" i="7" s="1"/>
  <c r="AW179" i="7" s="1"/>
  <c r="BB179" i="7" s="1"/>
  <c r="BG179" i="7" s="1"/>
  <c r="BL179" i="7" s="1"/>
  <c r="BQ179" i="7" s="1"/>
  <c r="BV179" i="7" s="1"/>
  <c r="CA179" i="7" s="1"/>
  <c r="X171" i="7"/>
  <c r="AC171" i="7" s="1"/>
  <c r="AH171" i="7" s="1"/>
  <c r="AM171" i="7" s="1"/>
  <c r="AR171" i="7" s="1"/>
  <c r="AW171" i="7" s="1"/>
  <c r="BB171" i="7" s="1"/>
  <c r="BG171" i="7" s="1"/>
  <c r="BL171" i="7" s="1"/>
  <c r="BQ171" i="7" s="1"/>
  <c r="BV171" i="7" s="1"/>
  <c r="CA171" i="7" s="1"/>
  <c r="X163" i="7"/>
  <c r="AC163" i="7" s="1"/>
  <c r="AH163" i="7" s="1"/>
  <c r="AM163" i="7" s="1"/>
  <c r="AR163" i="7" s="1"/>
  <c r="AW163" i="7" s="1"/>
  <c r="BB163" i="7" s="1"/>
  <c r="BG163" i="7" s="1"/>
  <c r="BL163" i="7" s="1"/>
  <c r="BQ163" i="7" s="1"/>
  <c r="BV163" i="7" s="1"/>
  <c r="CA163" i="7" s="1"/>
  <c r="X155" i="7"/>
  <c r="AC155" i="7" s="1"/>
  <c r="AH155" i="7" s="1"/>
  <c r="AM155" i="7" s="1"/>
  <c r="AR155" i="7" s="1"/>
  <c r="AW155" i="7" s="1"/>
  <c r="BB155" i="7" s="1"/>
  <c r="BG155" i="7" s="1"/>
  <c r="BL155" i="7" s="1"/>
  <c r="BQ155" i="7" s="1"/>
  <c r="BV155" i="7" s="1"/>
  <c r="CA155" i="7" s="1"/>
  <c r="X147" i="7"/>
  <c r="AC147" i="7" s="1"/>
  <c r="AH147" i="7" s="1"/>
  <c r="AM147" i="7" s="1"/>
  <c r="AR147" i="7" s="1"/>
  <c r="AW147" i="7" s="1"/>
  <c r="BB147" i="7" s="1"/>
  <c r="BG147" i="7" s="1"/>
  <c r="BL147" i="7" s="1"/>
  <c r="BQ147" i="7" s="1"/>
  <c r="BV147" i="7" s="1"/>
  <c r="CA147" i="7" s="1"/>
  <c r="X139" i="7"/>
  <c r="AC139" i="7" s="1"/>
  <c r="AH139" i="7" s="1"/>
  <c r="AM139" i="7" s="1"/>
  <c r="AR139" i="7" s="1"/>
  <c r="AW139" i="7" s="1"/>
  <c r="BB139" i="7" s="1"/>
  <c r="BG139" i="7" s="1"/>
  <c r="BL139" i="7" s="1"/>
  <c r="BQ139" i="7" s="1"/>
  <c r="BV139" i="7" s="1"/>
  <c r="CA139" i="7" s="1"/>
  <c r="X131" i="7"/>
  <c r="AC131" i="7" s="1"/>
  <c r="AH131" i="7" s="1"/>
  <c r="AM131" i="7" s="1"/>
  <c r="AR131" i="7" s="1"/>
  <c r="AW131" i="7" s="1"/>
  <c r="BB131" i="7" s="1"/>
  <c r="BG131" i="7" s="1"/>
  <c r="BL131" i="7" s="1"/>
  <c r="BQ131" i="7" s="1"/>
  <c r="BV131" i="7" s="1"/>
  <c r="CA131" i="7" s="1"/>
  <c r="X123" i="7"/>
  <c r="AC123" i="7" s="1"/>
  <c r="AH123" i="7" s="1"/>
  <c r="AM123" i="7" s="1"/>
  <c r="AR123" i="7" s="1"/>
  <c r="AW123" i="7" s="1"/>
  <c r="BB123" i="7" s="1"/>
  <c r="BG123" i="7" s="1"/>
  <c r="BL123" i="7" s="1"/>
  <c r="BQ123" i="7" s="1"/>
  <c r="BV123" i="7" s="1"/>
  <c r="CA123" i="7" s="1"/>
  <c r="X115" i="7"/>
  <c r="AC115" i="7" s="1"/>
  <c r="AH115" i="7" s="1"/>
  <c r="AM115" i="7" s="1"/>
  <c r="AR115" i="7" s="1"/>
  <c r="AW115" i="7" s="1"/>
  <c r="BB115" i="7" s="1"/>
  <c r="BG115" i="7" s="1"/>
  <c r="BL115" i="7" s="1"/>
  <c r="BQ115" i="7" s="1"/>
  <c r="BV115" i="7" s="1"/>
  <c r="CA115" i="7" s="1"/>
  <c r="X107" i="7"/>
  <c r="AC107" i="7" s="1"/>
  <c r="AH107" i="7" s="1"/>
  <c r="AM107" i="7" s="1"/>
  <c r="AR107" i="7" s="1"/>
  <c r="AW107" i="7" s="1"/>
  <c r="BB107" i="7" s="1"/>
  <c r="BG107" i="7" s="1"/>
  <c r="BL107" i="7" s="1"/>
  <c r="BQ107" i="7" s="1"/>
  <c r="BV107" i="7" s="1"/>
  <c r="CA107" i="7" s="1"/>
  <c r="X99" i="7"/>
  <c r="AC99" i="7" s="1"/>
  <c r="AH99" i="7" s="1"/>
  <c r="AM99" i="7" s="1"/>
  <c r="AR99" i="7" s="1"/>
  <c r="AW99" i="7" s="1"/>
  <c r="BB99" i="7" s="1"/>
  <c r="BG99" i="7" s="1"/>
  <c r="BL99" i="7" s="1"/>
  <c r="BQ99" i="7" s="1"/>
  <c r="BV99" i="7" s="1"/>
  <c r="CA99" i="7" s="1"/>
  <c r="X91" i="7"/>
  <c r="AC91" i="7" s="1"/>
  <c r="AH91" i="7" s="1"/>
  <c r="AM91" i="7" s="1"/>
  <c r="AR91" i="7" s="1"/>
  <c r="AW91" i="7" s="1"/>
  <c r="BB91" i="7" s="1"/>
  <c r="BG91" i="7" s="1"/>
  <c r="BL91" i="7" s="1"/>
  <c r="BQ91" i="7" s="1"/>
  <c r="BV91" i="7" s="1"/>
  <c r="CA91" i="7" s="1"/>
  <c r="X83" i="7"/>
  <c r="AC83" i="7" s="1"/>
  <c r="AH83" i="7" s="1"/>
  <c r="AM83" i="7" s="1"/>
  <c r="AR83" i="7" s="1"/>
  <c r="AW83" i="7" s="1"/>
  <c r="BB83" i="7" s="1"/>
  <c r="BG83" i="7" s="1"/>
  <c r="BL83" i="7" s="1"/>
  <c r="BQ83" i="7" s="1"/>
  <c r="BV83" i="7" s="1"/>
  <c r="CA83" i="7" s="1"/>
  <c r="X75" i="7"/>
  <c r="AC75" i="7" s="1"/>
  <c r="AH75" i="7" s="1"/>
  <c r="AM75" i="7" s="1"/>
  <c r="AR75" i="7" s="1"/>
  <c r="AW75" i="7" s="1"/>
  <c r="BB75" i="7" s="1"/>
  <c r="BG75" i="7" s="1"/>
  <c r="BL75" i="7" s="1"/>
  <c r="BQ75" i="7" s="1"/>
  <c r="BV75" i="7" s="1"/>
  <c r="CA75" i="7" s="1"/>
  <c r="X67" i="7"/>
  <c r="AC67" i="7" s="1"/>
  <c r="AH67" i="7" s="1"/>
  <c r="AM67" i="7" s="1"/>
  <c r="AR67" i="7" s="1"/>
  <c r="AW67" i="7" s="1"/>
  <c r="BB67" i="7" s="1"/>
  <c r="BG67" i="7" s="1"/>
  <c r="BL67" i="7" s="1"/>
  <c r="BQ67" i="7" s="1"/>
  <c r="BV67" i="7" s="1"/>
  <c r="CA67" i="7" s="1"/>
  <c r="X59" i="7"/>
  <c r="AC59" i="7" s="1"/>
  <c r="AH59" i="7" s="1"/>
  <c r="AM59" i="7" s="1"/>
  <c r="AR59" i="7" s="1"/>
  <c r="AW59" i="7" s="1"/>
  <c r="BB59" i="7" s="1"/>
  <c r="BG59" i="7" s="1"/>
  <c r="BL59" i="7" s="1"/>
  <c r="BQ59" i="7" s="1"/>
  <c r="BV59" i="7" s="1"/>
  <c r="CA59" i="7" s="1"/>
  <c r="X51" i="7"/>
  <c r="AC51" i="7" s="1"/>
  <c r="AH51" i="7" s="1"/>
  <c r="AM51" i="7" s="1"/>
  <c r="AR51" i="7" s="1"/>
  <c r="AW51" i="7" s="1"/>
  <c r="BB51" i="7" s="1"/>
  <c r="BG51" i="7" s="1"/>
  <c r="BL51" i="7" s="1"/>
  <c r="BQ51" i="7" s="1"/>
  <c r="BV51" i="7" s="1"/>
  <c r="CA51" i="7" s="1"/>
  <c r="X43" i="7"/>
  <c r="AC43" i="7" s="1"/>
  <c r="AH43" i="7" s="1"/>
  <c r="AM43" i="7" s="1"/>
  <c r="AR43" i="7" s="1"/>
  <c r="AW43" i="7" s="1"/>
  <c r="BB43" i="7" s="1"/>
  <c r="BG43" i="7" s="1"/>
  <c r="BL43" i="7" s="1"/>
  <c r="BQ43" i="7" s="1"/>
  <c r="BV43" i="7" s="1"/>
  <c r="CA43" i="7" s="1"/>
  <c r="X35" i="7"/>
  <c r="AC35" i="7" s="1"/>
  <c r="AH35" i="7" s="1"/>
  <c r="AM35" i="7" s="1"/>
  <c r="AR35" i="7" s="1"/>
  <c r="AW35" i="7" s="1"/>
  <c r="BB35" i="7" s="1"/>
  <c r="BG35" i="7" s="1"/>
  <c r="BL35" i="7" s="1"/>
  <c r="BQ35" i="7" s="1"/>
  <c r="BV35" i="7" s="1"/>
  <c r="CA35" i="7" s="1"/>
  <c r="X27" i="7"/>
  <c r="AC27" i="7" s="1"/>
  <c r="AH27" i="7" s="1"/>
  <c r="AM27" i="7" s="1"/>
  <c r="AR27" i="7" s="1"/>
  <c r="AW27" i="7" s="1"/>
  <c r="BB27" i="7" s="1"/>
  <c r="BG27" i="7" s="1"/>
  <c r="BL27" i="7" s="1"/>
  <c r="BQ27" i="7" s="1"/>
  <c r="BV27" i="7" s="1"/>
  <c r="CA27" i="7" s="1"/>
  <c r="X18" i="7"/>
  <c r="AC18" i="7" s="1"/>
  <c r="AH18" i="7" s="1"/>
  <c r="AM18" i="7" s="1"/>
  <c r="AR18" i="7" s="1"/>
  <c r="AW18" i="7" s="1"/>
  <c r="BB18" i="7" s="1"/>
  <c r="BG18" i="7" s="1"/>
  <c r="BL18" i="7" s="1"/>
  <c r="BQ18" i="7" s="1"/>
  <c r="BV18" i="7" s="1"/>
  <c r="CA18" i="7" s="1"/>
  <c r="X288" i="7"/>
  <c r="AC288" i="7" s="1"/>
  <c r="AH288" i="7" s="1"/>
  <c r="AM288" i="7" s="1"/>
  <c r="AR288" i="7" s="1"/>
  <c r="AW288" i="7" s="1"/>
  <c r="BB288" i="7" s="1"/>
  <c r="BG288" i="7" s="1"/>
  <c r="BL288" i="7" s="1"/>
  <c r="BQ288" i="7" s="1"/>
  <c r="BV288" i="7" s="1"/>
  <c r="CA288" i="7" s="1"/>
  <c r="X280" i="7"/>
  <c r="AC280" i="7" s="1"/>
  <c r="AH280" i="7" s="1"/>
  <c r="AM280" i="7" s="1"/>
  <c r="AR280" i="7" s="1"/>
  <c r="AW280" i="7" s="1"/>
  <c r="BB280" i="7" s="1"/>
  <c r="BG280" i="7" s="1"/>
  <c r="BL280" i="7" s="1"/>
  <c r="BQ280" i="7" s="1"/>
  <c r="BV280" i="7" s="1"/>
  <c r="CA280" i="7" s="1"/>
  <c r="X272" i="7"/>
  <c r="AC272" i="7" s="1"/>
  <c r="AH272" i="7" s="1"/>
  <c r="AM272" i="7" s="1"/>
  <c r="AR272" i="7" s="1"/>
  <c r="AW272" i="7" s="1"/>
  <c r="BB272" i="7" s="1"/>
  <c r="BG272" i="7" s="1"/>
  <c r="BL272" i="7" s="1"/>
  <c r="BQ272" i="7" s="1"/>
  <c r="BV272" i="7" s="1"/>
  <c r="CA272" i="7" s="1"/>
  <c r="X264" i="7"/>
  <c r="AC264" i="7" s="1"/>
  <c r="AH264" i="7" s="1"/>
  <c r="AM264" i="7" s="1"/>
  <c r="AR264" i="7" s="1"/>
  <c r="AW264" i="7" s="1"/>
  <c r="BB264" i="7" s="1"/>
  <c r="BG264" i="7" s="1"/>
  <c r="BL264" i="7" s="1"/>
  <c r="BQ264" i="7" s="1"/>
  <c r="BV264" i="7" s="1"/>
  <c r="CA264" i="7" s="1"/>
  <c r="X256" i="7"/>
  <c r="AC256" i="7" s="1"/>
  <c r="AH256" i="7" s="1"/>
  <c r="AM256" i="7" s="1"/>
  <c r="AR256" i="7" s="1"/>
  <c r="AW256" i="7" s="1"/>
  <c r="BB256" i="7" s="1"/>
  <c r="BG256" i="7" s="1"/>
  <c r="BL256" i="7" s="1"/>
  <c r="BQ256" i="7" s="1"/>
  <c r="BV256" i="7" s="1"/>
  <c r="CA256" i="7" s="1"/>
  <c r="X248" i="7"/>
  <c r="AC248" i="7" s="1"/>
  <c r="AH248" i="7" s="1"/>
  <c r="AM248" i="7" s="1"/>
  <c r="AR248" i="7" s="1"/>
  <c r="AW248" i="7" s="1"/>
  <c r="BB248" i="7" s="1"/>
  <c r="BG248" i="7" s="1"/>
  <c r="BL248" i="7" s="1"/>
  <c r="BQ248" i="7" s="1"/>
  <c r="BV248" i="7" s="1"/>
  <c r="CA248" i="7" s="1"/>
  <c r="X240" i="7"/>
  <c r="AC240" i="7" s="1"/>
  <c r="AH240" i="7" s="1"/>
  <c r="AM240" i="7" s="1"/>
  <c r="AR240" i="7" s="1"/>
  <c r="AW240" i="7" s="1"/>
  <c r="BB240" i="7" s="1"/>
  <c r="BG240" i="7" s="1"/>
  <c r="BL240" i="7" s="1"/>
  <c r="BQ240" i="7" s="1"/>
  <c r="BV240" i="7" s="1"/>
  <c r="CA240" i="7" s="1"/>
  <c r="X232" i="7"/>
  <c r="AC232" i="7" s="1"/>
  <c r="AH232" i="7" s="1"/>
  <c r="AM232" i="7" s="1"/>
  <c r="AR232" i="7" s="1"/>
  <c r="AW232" i="7" s="1"/>
  <c r="BB232" i="7" s="1"/>
  <c r="BG232" i="7" s="1"/>
  <c r="BL232" i="7" s="1"/>
  <c r="BQ232" i="7" s="1"/>
  <c r="BV232" i="7" s="1"/>
  <c r="CA232" i="7" s="1"/>
  <c r="X224" i="7"/>
  <c r="AC224" i="7" s="1"/>
  <c r="AH224" i="7" s="1"/>
  <c r="AM224" i="7" s="1"/>
  <c r="AR224" i="7" s="1"/>
  <c r="AW224" i="7" s="1"/>
  <c r="BB224" i="7" s="1"/>
  <c r="BG224" i="7" s="1"/>
  <c r="BL224" i="7" s="1"/>
  <c r="BQ224" i="7" s="1"/>
  <c r="BV224" i="7" s="1"/>
  <c r="CA224" i="7" s="1"/>
  <c r="X216" i="7"/>
  <c r="AC216" i="7" s="1"/>
  <c r="AH216" i="7" s="1"/>
  <c r="AM216" i="7" s="1"/>
  <c r="AR216" i="7" s="1"/>
  <c r="AW216" i="7" s="1"/>
  <c r="BB216" i="7" s="1"/>
  <c r="BG216" i="7" s="1"/>
  <c r="BL216" i="7" s="1"/>
  <c r="BQ216" i="7" s="1"/>
  <c r="BV216" i="7" s="1"/>
  <c r="CA216" i="7" s="1"/>
  <c r="X208" i="7"/>
  <c r="AC208" i="7" s="1"/>
  <c r="AH208" i="7" s="1"/>
  <c r="AM208" i="7" s="1"/>
  <c r="AR208" i="7" s="1"/>
  <c r="AW208" i="7" s="1"/>
  <c r="BB208" i="7" s="1"/>
  <c r="BG208" i="7" s="1"/>
  <c r="BL208" i="7" s="1"/>
  <c r="BQ208" i="7" s="1"/>
  <c r="BV208" i="7" s="1"/>
  <c r="CA208" i="7" s="1"/>
  <c r="X200" i="7"/>
  <c r="AC200" i="7" s="1"/>
  <c r="AH200" i="7" s="1"/>
  <c r="AM200" i="7" s="1"/>
  <c r="AR200" i="7" s="1"/>
  <c r="AW200" i="7" s="1"/>
  <c r="BB200" i="7" s="1"/>
  <c r="BG200" i="7" s="1"/>
  <c r="BL200" i="7" s="1"/>
  <c r="BQ200" i="7" s="1"/>
  <c r="BV200" i="7" s="1"/>
  <c r="CA200" i="7" s="1"/>
  <c r="X192" i="7"/>
  <c r="AC192" i="7" s="1"/>
  <c r="AH192" i="7" s="1"/>
  <c r="AM192" i="7" s="1"/>
  <c r="AR192" i="7" s="1"/>
  <c r="AW192" i="7" s="1"/>
  <c r="BB192" i="7" s="1"/>
  <c r="BG192" i="7" s="1"/>
  <c r="BL192" i="7" s="1"/>
  <c r="BQ192" i="7" s="1"/>
  <c r="BV192" i="7" s="1"/>
  <c r="CA192" i="7" s="1"/>
  <c r="X184" i="7"/>
  <c r="AC184" i="7" s="1"/>
  <c r="AH184" i="7" s="1"/>
  <c r="AM184" i="7" s="1"/>
  <c r="AR184" i="7" s="1"/>
  <c r="AW184" i="7" s="1"/>
  <c r="BB184" i="7" s="1"/>
  <c r="BG184" i="7" s="1"/>
  <c r="BL184" i="7" s="1"/>
  <c r="BQ184" i="7" s="1"/>
  <c r="BV184" i="7" s="1"/>
  <c r="CA184" i="7" s="1"/>
  <c r="X176" i="7"/>
  <c r="AC176" i="7" s="1"/>
  <c r="AH176" i="7" s="1"/>
  <c r="AM176" i="7" s="1"/>
  <c r="AR176" i="7" s="1"/>
  <c r="AW176" i="7" s="1"/>
  <c r="BB176" i="7" s="1"/>
  <c r="BG176" i="7" s="1"/>
  <c r="BL176" i="7" s="1"/>
  <c r="BQ176" i="7" s="1"/>
  <c r="BV176" i="7" s="1"/>
  <c r="CA176" i="7" s="1"/>
  <c r="X168" i="7"/>
  <c r="AC168" i="7" s="1"/>
  <c r="AH168" i="7" s="1"/>
  <c r="AM168" i="7" s="1"/>
  <c r="AR168" i="7" s="1"/>
  <c r="AW168" i="7" s="1"/>
  <c r="BB168" i="7" s="1"/>
  <c r="BG168" i="7" s="1"/>
  <c r="BL168" i="7" s="1"/>
  <c r="BQ168" i="7" s="1"/>
  <c r="BV168" i="7" s="1"/>
  <c r="CA168" i="7" s="1"/>
  <c r="X160" i="7"/>
  <c r="AC160" i="7" s="1"/>
  <c r="AH160" i="7" s="1"/>
  <c r="AM160" i="7" s="1"/>
  <c r="AR160" i="7" s="1"/>
  <c r="AW160" i="7" s="1"/>
  <c r="BB160" i="7" s="1"/>
  <c r="BG160" i="7" s="1"/>
  <c r="BL160" i="7" s="1"/>
  <c r="BQ160" i="7" s="1"/>
  <c r="BV160" i="7" s="1"/>
  <c r="CA160" i="7" s="1"/>
  <c r="X152" i="7"/>
  <c r="AC152" i="7" s="1"/>
  <c r="AH152" i="7" s="1"/>
  <c r="AM152" i="7" s="1"/>
  <c r="AR152" i="7" s="1"/>
  <c r="AW152" i="7" s="1"/>
  <c r="BB152" i="7" s="1"/>
  <c r="BG152" i="7" s="1"/>
  <c r="BL152" i="7" s="1"/>
  <c r="BQ152" i="7" s="1"/>
  <c r="BV152" i="7" s="1"/>
  <c r="CA152" i="7" s="1"/>
  <c r="X144" i="7"/>
  <c r="AC144" i="7" s="1"/>
  <c r="AH144" i="7" s="1"/>
  <c r="AM144" i="7" s="1"/>
  <c r="AR144" i="7" s="1"/>
  <c r="AW144" i="7" s="1"/>
  <c r="BB144" i="7" s="1"/>
  <c r="BG144" i="7" s="1"/>
  <c r="BL144" i="7" s="1"/>
  <c r="BQ144" i="7" s="1"/>
  <c r="BV144" i="7" s="1"/>
  <c r="CA144" i="7" s="1"/>
  <c r="X136" i="7"/>
  <c r="AC136" i="7" s="1"/>
  <c r="AH136" i="7" s="1"/>
  <c r="AM136" i="7" s="1"/>
  <c r="AR136" i="7" s="1"/>
  <c r="AW136" i="7" s="1"/>
  <c r="BB136" i="7" s="1"/>
  <c r="BG136" i="7" s="1"/>
  <c r="BL136" i="7" s="1"/>
  <c r="BQ136" i="7" s="1"/>
  <c r="BV136" i="7" s="1"/>
  <c r="CA136" i="7" s="1"/>
  <c r="X128" i="7"/>
  <c r="AC128" i="7" s="1"/>
  <c r="AH128" i="7" s="1"/>
  <c r="AM128" i="7" s="1"/>
  <c r="AR128" i="7" s="1"/>
  <c r="AW128" i="7" s="1"/>
  <c r="BB128" i="7" s="1"/>
  <c r="BG128" i="7" s="1"/>
  <c r="BL128" i="7" s="1"/>
  <c r="BQ128" i="7" s="1"/>
  <c r="BV128" i="7" s="1"/>
  <c r="CA128" i="7" s="1"/>
  <c r="X120" i="7"/>
  <c r="AC120" i="7" s="1"/>
  <c r="AH120" i="7" s="1"/>
  <c r="AM120" i="7" s="1"/>
  <c r="AR120" i="7" s="1"/>
  <c r="AW120" i="7" s="1"/>
  <c r="BB120" i="7" s="1"/>
  <c r="BG120" i="7" s="1"/>
  <c r="BL120" i="7" s="1"/>
  <c r="BQ120" i="7" s="1"/>
  <c r="BV120" i="7" s="1"/>
  <c r="CA120" i="7" s="1"/>
  <c r="X112" i="7"/>
  <c r="AC112" i="7" s="1"/>
  <c r="AH112" i="7" s="1"/>
  <c r="AM112" i="7" s="1"/>
  <c r="AR112" i="7" s="1"/>
  <c r="AW112" i="7" s="1"/>
  <c r="BB112" i="7" s="1"/>
  <c r="BG112" i="7" s="1"/>
  <c r="BL112" i="7" s="1"/>
  <c r="BQ112" i="7" s="1"/>
  <c r="BV112" i="7" s="1"/>
  <c r="CA112" i="7" s="1"/>
  <c r="X104" i="7"/>
  <c r="AC104" i="7" s="1"/>
  <c r="AH104" i="7" s="1"/>
  <c r="AM104" i="7" s="1"/>
  <c r="AR104" i="7" s="1"/>
  <c r="AW104" i="7" s="1"/>
  <c r="BB104" i="7" s="1"/>
  <c r="BG104" i="7" s="1"/>
  <c r="BL104" i="7" s="1"/>
  <c r="BQ104" i="7" s="1"/>
  <c r="BV104" i="7" s="1"/>
  <c r="CA104" i="7" s="1"/>
  <c r="X96" i="7"/>
  <c r="AC96" i="7" s="1"/>
  <c r="AH96" i="7" s="1"/>
  <c r="AM96" i="7" s="1"/>
  <c r="AR96" i="7" s="1"/>
  <c r="AW96" i="7" s="1"/>
  <c r="BB96" i="7" s="1"/>
  <c r="BG96" i="7" s="1"/>
  <c r="BL96" i="7" s="1"/>
  <c r="BQ96" i="7" s="1"/>
  <c r="BV96" i="7" s="1"/>
  <c r="CA96" i="7" s="1"/>
  <c r="X88" i="7"/>
  <c r="AC88" i="7" s="1"/>
  <c r="AH88" i="7" s="1"/>
  <c r="AM88" i="7" s="1"/>
  <c r="AR88" i="7" s="1"/>
  <c r="AW88" i="7" s="1"/>
  <c r="BB88" i="7" s="1"/>
  <c r="BG88" i="7" s="1"/>
  <c r="BL88" i="7" s="1"/>
  <c r="BQ88" i="7" s="1"/>
  <c r="BV88" i="7" s="1"/>
  <c r="CA88" i="7" s="1"/>
  <c r="X80" i="7"/>
  <c r="AC80" i="7" s="1"/>
  <c r="AH80" i="7" s="1"/>
  <c r="AM80" i="7" s="1"/>
  <c r="AR80" i="7" s="1"/>
  <c r="AW80" i="7" s="1"/>
  <c r="BB80" i="7" s="1"/>
  <c r="BG80" i="7" s="1"/>
  <c r="BL80" i="7" s="1"/>
  <c r="BQ80" i="7" s="1"/>
  <c r="BV80" i="7" s="1"/>
  <c r="CA80" i="7" s="1"/>
  <c r="X72" i="7"/>
  <c r="AC72" i="7" s="1"/>
  <c r="AH72" i="7" s="1"/>
  <c r="AM72" i="7" s="1"/>
  <c r="AR72" i="7" s="1"/>
  <c r="AW72" i="7" s="1"/>
  <c r="BB72" i="7" s="1"/>
  <c r="BG72" i="7" s="1"/>
  <c r="BL72" i="7" s="1"/>
  <c r="BQ72" i="7" s="1"/>
  <c r="BV72" i="7" s="1"/>
  <c r="CA72" i="7" s="1"/>
  <c r="X64" i="7"/>
  <c r="AC64" i="7" s="1"/>
  <c r="AH64" i="7" s="1"/>
  <c r="AM64" i="7" s="1"/>
  <c r="AR64" i="7" s="1"/>
  <c r="AW64" i="7" s="1"/>
  <c r="BB64" i="7" s="1"/>
  <c r="BG64" i="7" s="1"/>
  <c r="BL64" i="7" s="1"/>
  <c r="BQ64" i="7" s="1"/>
  <c r="BV64" i="7" s="1"/>
  <c r="CA64" i="7" s="1"/>
  <c r="X56" i="7"/>
  <c r="AC56" i="7" s="1"/>
  <c r="AH56" i="7" s="1"/>
  <c r="AM56" i="7" s="1"/>
  <c r="AR56" i="7" s="1"/>
  <c r="AW56" i="7" s="1"/>
  <c r="BB56" i="7" s="1"/>
  <c r="BG56" i="7" s="1"/>
  <c r="BL56" i="7" s="1"/>
  <c r="BQ56" i="7" s="1"/>
  <c r="BV56" i="7" s="1"/>
  <c r="CA56" i="7" s="1"/>
  <c r="X48" i="7"/>
  <c r="AC48" i="7" s="1"/>
  <c r="AH48" i="7" s="1"/>
  <c r="AM48" i="7" s="1"/>
  <c r="AR48" i="7" s="1"/>
  <c r="AW48" i="7" s="1"/>
  <c r="BB48" i="7" s="1"/>
  <c r="BG48" i="7" s="1"/>
  <c r="BL48" i="7" s="1"/>
  <c r="BQ48" i="7" s="1"/>
  <c r="BV48" i="7" s="1"/>
  <c r="CA48" i="7" s="1"/>
  <c r="X40" i="7"/>
  <c r="AC40" i="7" s="1"/>
  <c r="AH40" i="7" s="1"/>
  <c r="AM40" i="7" s="1"/>
  <c r="AR40" i="7" s="1"/>
  <c r="AW40" i="7" s="1"/>
  <c r="BB40" i="7" s="1"/>
  <c r="BG40" i="7" s="1"/>
  <c r="BL40" i="7" s="1"/>
  <c r="BQ40" i="7" s="1"/>
  <c r="BV40" i="7" s="1"/>
  <c r="CA40" i="7" s="1"/>
  <c r="X32" i="7"/>
  <c r="AC32" i="7" s="1"/>
  <c r="AH32" i="7" s="1"/>
  <c r="AM32" i="7" s="1"/>
  <c r="AR32" i="7" s="1"/>
  <c r="AW32" i="7" s="1"/>
  <c r="BB32" i="7" s="1"/>
  <c r="BG32" i="7" s="1"/>
  <c r="BL32" i="7" s="1"/>
  <c r="BQ32" i="7" s="1"/>
  <c r="BV32" i="7" s="1"/>
  <c r="CA32" i="7" s="1"/>
  <c r="X23" i="7"/>
  <c r="AC23" i="7" s="1"/>
  <c r="AH23" i="7" s="1"/>
  <c r="AM23" i="7" s="1"/>
  <c r="AR23" i="7" s="1"/>
  <c r="AW23" i="7" s="1"/>
  <c r="BB23" i="7" s="1"/>
  <c r="BG23" i="7" s="1"/>
  <c r="BL23" i="7" s="1"/>
  <c r="BQ23" i="7" s="1"/>
  <c r="BV23" i="7" s="1"/>
  <c r="CA23" i="7" s="1"/>
  <c r="X283" i="7"/>
  <c r="AC283" i="7" s="1"/>
  <c r="AH283" i="7" s="1"/>
  <c r="AM283" i="7" s="1"/>
  <c r="AR283" i="7" s="1"/>
  <c r="AW283" i="7" s="1"/>
  <c r="BB283" i="7" s="1"/>
  <c r="BG283" i="7" s="1"/>
  <c r="BL283" i="7" s="1"/>
  <c r="BQ283" i="7" s="1"/>
  <c r="BV283" i="7" s="1"/>
  <c r="CA283" i="7" s="1"/>
  <c r="X275" i="7"/>
  <c r="AC275" i="7" s="1"/>
  <c r="AH275" i="7" s="1"/>
  <c r="AM275" i="7" s="1"/>
  <c r="AR275" i="7" s="1"/>
  <c r="AW275" i="7" s="1"/>
  <c r="BB275" i="7" s="1"/>
  <c r="BG275" i="7" s="1"/>
  <c r="BL275" i="7" s="1"/>
  <c r="BQ275" i="7" s="1"/>
  <c r="BV275" i="7" s="1"/>
  <c r="CA275" i="7" s="1"/>
  <c r="X259" i="7"/>
  <c r="AC259" i="7" s="1"/>
  <c r="AH259" i="7" s="1"/>
  <c r="AM259" i="7" s="1"/>
  <c r="AR259" i="7" s="1"/>
  <c r="AW259" i="7" s="1"/>
  <c r="BB259" i="7" s="1"/>
  <c r="BG259" i="7" s="1"/>
  <c r="BL259" i="7" s="1"/>
  <c r="BQ259" i="7" s="1"/>
  <c r="BV259" i="7" s="1"/>
  <c r="CA259" i="7" s="1"/>
  <c r="X227" i="7"/>
  <c r="AC227" i="7" s="1"/>
  <c r="AH227" i="7" s="1"/>
  <c r="AM227" i="7" s="1"/>
  <c r="AR227" i="7" s="1"/>
  <c r="AW227" i="7" s="1"/>
  <c r="BB227" i="7" s="1"/>
  <c r="BG227" i="7" s="1"/>
  <c r="BL227" i="7" s="1"/>
  <c r="BQ227" i="7" s="1"/>
  <c r="BV227" i="7" s="1"/>
  <c r="CA227" i="7" s="1"/>
  <c r="X287" i="7"/>
  <c r="AC287" i="7" s="1"/>
  <c r="AH287" i="7" s="1"/>
  <c r="AM287" i="7" s="1"/>
  <c r="AR287" i="7" s="1"/>
  <c r="AW287" i="7" s="1"/>
  <c r="BB287" i="7" s="1"/>
  <c r="BG287" i="7" s="1"/>
  <c r="BL287" i="7" s="1"/>
  <c r="BQ287" i="7" s="1"/>
  <c r="BV287" i="7" s="1"/>
  <c r="CA287" i="7" s="1"/>
  <c r="X279" i="7"/>
  <c r="AC279" i="7" s="1"/>
  <c r="AH279" i="7" s="1"/>
  <c r="AM279" i="7" s="1"/>
  <c r="AR279" i="7" s="1"/>
  <c r="AW279" i="7" s="1"/>
  <c r="BB279" i="7" s="1"/>
  <c r="BG279" i="7" s="1"/>
  <c r="BL279" i="7" s="1"/>
  <c r="BQ279" i="7" s="1"/>
  <c r="BV279" i="7" s="1"/>
  <c r="CA279" i="7" s="1"/>
  <c r="X271" i="7"/>
  <c r="AC271" i="7" s="1"/>
  <c r="AH271" i="7" s="1"/>
  <c r="AM271" i="7" s="1"/>
  <c r="AR271" i="7" s="1"/>
  <c r="AW271" i="7" s="1"/>
  <c r="BB271" i="7" s="1"/>
  <c r="BG271" i="7" s="1"/>
  <c r="BL271" i="7" s="1"/>
  <c r="BQ271" i="7" s="1"/>
  <c r="BV271" i="7" s="1"/>
  <c r="CA271" i="7" s="1"/>
  <c r="X263" i="7"/>
  <c r="AC263" i="7" s="1"/>
  <c r="AH263" i="7" s="1"/>
  <c r="AM263" i="7" s="1"/>
  <c r="AR263" i="7" s="1"/>
  <c r="AW263" i="7" s="1"/>
  <c r="BB263" i="7" s="1"/>
  <c r="BG263" i="7" s="1"/>
  <c r="BL263" i="7" s="1"/>
  <c r="BQ263" i="7" s="1"/>
  <c r="BV263" i="7" s="1"/>
  <c r="CA263" i="7" s="1"/>
  <c r="X255" i="7"/>
  <c r="AC255" i="7" s="1"/>
  <c r="AH255" i="7" s="1"/>
  <c r="AM255" i="7" s="1"/>
  <c r="AR255" i="7" s="1"/>
  <c r="AW255" i="7" s="1"/>
  <c r="BB255" i="7" s="1"/>
  <c r="BG255" i="7" s="1"/>
  <c r="BL255" i="7" s="1"/>
  <c r="BQ255" i="7" s="1"/>
  <c r="BV255" i="7" s="1"/>
  <c r="CA255" i="7" s="1"/>
  <c r="X247" i="7"/>
  <c r="AC247" i="7" s="1"/>
  <c r="AH247" i="7" s="1"/>
  <c r="AM247" i="7" s="1"/>
  <c r="AR247" i="7" s="1"/>
  <c r="AW247" i="7" s="1"/>
  <c r="BB247" i="7" s="1"/>
  <c r="BG247" i="7" s="1"/>
  <c r="BL247" i="7" s="1"/>
  <c r="BQ247" i="7" s="1"/>
  <c r="BV247" i="7" s="1"/>
  <c r="CA247" i="7" s="1"/>
  <c r="X239" i="7"/>
  <c r="AC239" i="7" s="1"/>
  <c r="AH239" i="7" s="1"/>
  <c r="AM239" i="7" s="1"/>
  <c r="AR239" i="7" s="1"/>
  <c r="AW239" i="7" s="1"/>
  <c r="BB239" i="7" s="1"/>
  <c r="BG239" i="7" s="1"/>
  <c r="BL239" i="7" s="1"/>
  <c r="BQ239" i="7" s="1"/>
  <c r="BV239" i="7" s="1"/>
  <c r="CA239" i="7" s="1"/>
  <c r="X231" i="7"/>
  <c r="AC231" i="7" s="1"/>
  <c r="AH231" i="7" s="1"/>
  <c r="AM231" i="7" s="1"/>
  <c r="AR231" i="7" s="1"/>
  <c r="AW231" i="7" s="1"/>
  <c r="BB231" i="7" s="1"/>
  <c r="BG231" i="7" s="1"/>
  <c r="BL231" i="7" s="1"/>
  <c r="BQ231" i="7" s="1"/>
  <c r="BV231" i="7" s="1"/>
  <c r="CA231" i="7" s="1"/>
  <c r="X223" i="7"/>
  <c r="AC223" i="7" s="1"/>
  <c r="AH223" i="7" s="1"/>
  <c r="AM223" i="7" s="1"/>
  <c r="AR223" i="7" s="1"/>
  <c r="AW223" i="7" s="1"/>
  <c r="BB223" i="7" s="1"/>
  <c r="BG223" i="7" s="1"/>
  <c r="BL223" i="7" s="1"/>
  <c r="BQ223" i="7" s="1"/>
  <c r="BV223" i="7" s="1"/>
  <c r="CA223" i="7" s="1"/>
  <c r="X215" i="7"/>
  <c r="AC215" i="7" s="1"/>
  <c r="AH215" i="7" s="1"/>
  <c r="AM215" i="7" s="1"/>
  <c r="AR215" i="7" s="1"/>
  <c r="AW215" i="7" s="1"/>
  <c r="BB215" i="7" s="1"/>
  <c r="BG215" i="7" s="1"/>
  <c r="BL215" i="7" s="1"/>
  <c r="BQ215" i="7" s="1"/>
  <c r="BV215" i="7" s="1"/>
  <c r="CA215" i="7" s="1"/>
  <c r="X207" i="7"/>
  <c r="AC207" i="7" s="1"/>
  <c r="AH207" i="7" s="1"/>
  <c r="AM207" i="7" s="1"/>
  <c r="AR207" i="7" s="1"/>
  <c r="AW207" i="7" s="1"/>
  <c r="BB207" i="7" s="1"/>
  <c r="BG207" i="7" s="1"/>
  <c r="BL207" i="7" s="1"/>
  <c r="BQ207" i="7" s="1"/>
  <c r="BV207" i="7" s="1"/>
  <c r="CA207" i="7" s="1"/>
  <c r="X199" i="7"/>
  <c r="AC199" i="7" s="1"/>
  <c r="AH199" i="7" s="1"/>
  <c r="AM199" i="7" s="1"/>
  <c r="AR199" i="7" s="1"/>
  <c r="AW199" i="7" s="1"/>
  <c r="BB199" i="7" s="1"/>
  <c r="BG199" i="7" s="1"/>
  <c r="BL199" i="7" s="1"/>
  <c r="BQ199" i="7" s="1"/>
  <c r="BV199" i="7" s="1"/>
  <c r="CA199" i="7" s="1"/>
  <c r="X191" i="7"/>
  <c r="AC191" i="7" s="1"/>
  <c r="AH191" i="7" s="1"/>
  <c r="AM191" i="7" s="1"/>
  <c r="AR191" i="7" s="1"/>
  <c r="AW191" i="7" s="1"/>
  <c r="BB191" i="7" s="1"/>
  <c r="BG191" i="7" s="1"/>
  <c r="BL191" i="7" s="1"/>
  <c r="BQ191" i="7" s="1"/>
  <c r="BV191" i="7" s="1"/>
  <c r="CA191" i="7" s="1"/>
  <c r="X183" i="7"/>
  <c r="AC183" i="7" s="1"/>
  <c r="AH183" i="7" s="1"/>
  <c r="AM183" i="7" s="1"/>
  <c r="AR183" i="7" s="1"/>
  <c r="AW183" i="7" s="1"/>
  <c r="BB183" i="7" s="1"/>
  <c r="BG183" i="7" s="1"/>
  <c r="BL183" i="7" s="1"/>
  <c r="BQ183" i="7" s="1"/>
  <c r="BV183" i="7" s="1"/>
  <c r="CA183" i="7" s="1"/>
  <c r="X175" i="7"/>
  <c r="AC175" i="7" s="1"/>
  <c r="AH175" i="7" s="1"/>
  <c r="AM175" i="7" s="1"/>
  <c r="AR175" i="7" s="1"/>
  <c r="AW175" i="7" s="1"/>
  <c r="BB175" i="7" s="1"/>
  <c r="BG175" i="7" s="1"/>
  <c r="BL175" i="7" s="1"/>
  <c r="BQ175" i="7" s="1"/>
  <c r="BV175" i="7" s="1"/>
  <c r="CA175" i="7" s="1"/>
  <c r="X167" i="7"/>
  <c r="AC167" i="7" s="1"/>
  <c r="AH167" i="7" s="1"/>
  <c r="AM167" i="7" s="1"/>
  <c r="AR167" i="7" s="1"/>
  <c r="AW167" i="7" s="1"/>
  <c r="BB167" i="7" s="1"/>
  <c r="BG167" i="7" s="1"/>
  <c r="BL167" i="7" s="1"/>
  <c r="BQ167" i="7" s="1"/>
  <c r="BV167" i="7" s="1"/>
  <c r="CA167" i="7" s="1"/>
  <c r="X159" i="7"/>
  <c r="AC159" i="7" s="1"/>
  <c r="AH159" i="7" s="1"/>
  <c r="AM159" i="7" s="1"/>
  <c r="AR159" i="7" s="1"/>
  <c r="AW159" i="7" s="1"/>
  <c r="BB159" i="7" s="1"/>
  <c r="BG159" i="7" s="1"/>
  <c r="BL159" i="7" s="1"/>
  <c r="BQ159" i="7" s="1"/>
  <c r="BV159" i="7" s="1"/>
  <c r="CA159" i="7" s="1"/>
  <c r="X151" i="7"/>
  <c r="AC151" i="7" s="1"/>
  <c r="AH151" i="7" s="1"/>
  <c r="AM151" i="7" s="1"/>
  <c r="AR151" i="7" s="1"/>
  <c r="AW151" i="7" s="1"/>
  <c r="BB151" i="7" s="1"/>
  <c r="BG151" i="7" s="1"/>
  <c r="BL151" i="7" s="1"/>
  <c r="BQ151" i="7" s="1"/>
  <c r="BV151" i="7" s="1"/>
  <c r="CA151" i="7" s="1"/>
  <c r="X143" i="7"/>
  <c r="AC143" i="7" s="1"/>
  <c r="AH143" i="7" s="1"/>
  <c r="AM143" i="7" s="1"/>
  <c r="AR143" i="7" s="1"/>
  <c r="AW143" i="7" s="1"/>
  <c r="BB143" i="7" s="1"/>
  <c r="BG143" i="7" s="1"/>
  <c r="BL143" i="7" s="1"/>
  <c r="BQ143" i="7" s="1"/>
  <c r="BV143" i="7" s="1"/>
  <c r="CA143" i="7" s="1"/>
  <c r="X135" i="7"/>
  <c r="AC135" i="7" s="1"/>
  <c r="AH135" i="7" s="1"/>
  <c r="AM135" i="7" s="1"/>
  <c r="AR135" i="7" s="1"/>
  <c r="AW135" i="7" s="1"/>
  <c r="BB135" i="7" s="1"/>
  <c r="BG135" i="7" s="1"/>
  <c r="BL135" i="7" s="1"/>
  <c r="BQ135" i="7" s="1"/>
  <c r="BV135" i="7" s="1"/>
  <c r="CA135" i="7" s="1"/>
  <c r="X127" i="7"/>
  <c r="AC127" i="7" s="1"/>
  <c r="AH127" i="7" s="1"/>
  <c r="AM127" i="7" s="1"/>
  <c r="AR127" i="7" s="1"/>
  <c r="AW127" i="7" s="1"/>
  <c r="BB127" i="7" s="1"/>
  <c r="BG127" i="7" s="1"/>
  <c r="BL127" i="7" s="1"/>
  <c r="BQ127" i="7" s="1"/>
  <c r="BV127" i="7" s="1"/>
  <c r="CA127" i="7" s="1"/>
  <c r="X119" i="7"/>
  <c r="AC119" i="7" s="1"/>
  <c r="AH119" i="7" s="1"/>
  <c r="AM119" i="7" s="1"/>
  <c r="AR119" i="7" s="1"/>
  <c r="AW119" i="7" s="1"/>
  <c r="BB119" i="7" s="1"/>
  <c r="BG119" i="7" s="1"/>
  <c r="BL119" i="7" s="1"/>
  <c r="BQ119" i="7" s="1"/>
  <c r="BV119" i="7" s="1"/>
  <c r="CA119" i="7" s="1"/>
  <c r="X111" i="7"/>
  <c r="AC111" i="7" s="1"/>
  <c r="AH111" i="7" s="1"/>
  <c r="AM111" i="7" s="1"/>
  <c r="AR111" i="7" s="1"/>
  <c r="AW111" i="7" s="1"/>
  <c r="BB111" i="7" s="1"/>
  <c r="BG111" i="7" s="1"/>
  <c r="BL111" i="7" s="1"/>
  <c r="BQ111" i="7" s="1"/>
  <c r="BV111" i="7" s="1"/>
  <c r="CA111" i="7" s="1"/>
  <c r="X103" i="7"/>
  <c r="AC103" i="7" s="1"/>
  <c r="AH103" i="7" s="1"/>
  <c r="AM103" i="7" s="1"/>
  <c r="AR103" i="7" s="1"/>
  <c r="AW103" i="7" s="1"/>
  <c r="BB103" i="7" s="1"/>
  <c r="BG103" i="7" s="1"/>
  <c r="BL103" i="7" s="1"/>
  <c r="BQ103" i="7" s="1"/>
  <c r="BV103" i="7" s="1"/>
  <c r="CA103" i="7" s="1"/>
  <c r="X95" i="7"/>
  <c r="AC95" i="7" s="1"/>
  <c r="AH95" i="7" s="1"/>
  <c r="AM95" i="7" s="1"/>
  <c r="AR95" i="7" s="1"/>
  <c r="AW95" i="7" s="1"/>
  <c r="BB95" i="7" s="1"/>
  <c r="BG95" i="7" s="1"/>
  <c r="BL95" i="7" s="1"/>
  <c r="BQ95" i="7" s="1"/>
  <c r="BV95" i="7" s="1"/>
  <c r="CA95" i="7" s="1"/>
  <c r="X87" i="7"/>
  <c r="AC87" i="7" s="1"/>
  <c r="AH87" i="7" s="1"/>
  <c r="AM87" i="7" s="1"/>
  <c r="AR87" i="7" s="1"/>
  <c r="AW87" i="7" s="1"/>
  <c r="BB87" i="7" s="1"/>
  <c r="BG87" i="7" s="1"/>
  <c r="BL87" i="7" s="1"/>
  <c r="BQ87" i="7" s="1"/>
  <c r="BV87" i="7" s="1"/>
  <c r="CA87" i="7" s="1"/>
  <c r="X79" i="7"/>
  <c r="AC79" i="7" s="1"/>
  <c r="AH79" i="7" s="1"/>
  <c r="AM79" i="7" s="1"/>
  <c r="AR79" i="7" s="1"/>
  <c r="AW79" i="7" s="1"/>
  <c r="BB79" i="7" s="1"/>
  <c r="BG79" i="7" s="1"/>
  <c r="BL79" i="7" s="1"/>
  <c r="BQ79" i="7" s="1"/>
  <c r="BV79" i="7" s="1"/>
  <c r="CA79" i="7" s="1"/>
  <c r="X71" i="7"/>
  <c r="AC71" i="7" s="1"/>
  <c r="AH71" i="7" s="1"/>
  <c r="AM71" i="7" s="1"/>
  <c r="AR71" i="7" s="1"/>
  <c r="AW71" i="7" s="1"/>
  <c r="BB71" i="7" s="1"/>
  <c r="BG71" i="7" s="1"/>
  <c r="BL71" i="7" s="1"/>
  <c r="BQ71" i="7" s="1"/>
  <c r="BV71" i="7" s="1"/>
  <c r="CA71" i="7" s="1"/>
  <c r="X63" i="7"/>
  <c r="AC63" i="7" s="1"/>
  <c r="AH63" i="7" s="1"/>
  <c r="AM63" i="7" s="1"/>
  <c r="AR63" i="7" s="1"/>
  <c r="AW63" i="7" s="1"/>
  <c r="BB63" i="7" s="1"/>
  <c r="BG63" i="7" s="1"/>
  <c r="BL63" i="7" s="1"/>
  <c r="BQ63" i="7" s="1"/>
  <c r="BV63" i="7" s="1"/>
  <c r="CA63" i="7" s="1"/>
  <c r="X55" i="7"/>
  <c r="AC55" i="7" s="1"/>
  <c r="AH55" i="7" s="1"/>
  <c r="AM55" i="7" s="1"/>
  <c r="AR55" i="7" s="1"/>
  <c r="AW55" i="7" s="1"/>
  <c r="BB55" i="7" s="1"/>
  <c r="BG55" i="7" s="1"/>
  <c r="BL55" i="7" s="1"/>
  <c r="BQ55" i="7" s="1"/>
  <c r="BV55" i="7" s="1"/>
  <c r="CA55" i="7" s="1"/>
  <c r="X47" i="7"/>
  <c r="AC47" i="7" s="1"/>
  <c r="AH47" i="7" s="1"/>
  <c r="AM47" i="7" s="1"/>
  <c r="AR47" i="7" s="1"/>
  <c r="AW47" i="7" s="1"/>
  <c r="BB47" i="7" s="1"/>
  <c r="BG47" i="7" s="1"/>
  <c r="BL47" i="7" s="1"/>
  <c r="BQ47" i="7" s="1"/>
  <c r="BV47" i="7" s="1"/>
  <c r="CA47" i="7" s="1"/>
  <c r="X39" i="7"/>
  <c r="AC39" i="7" s="1"/>
  <c r="AH39" i="7" s="1"/>
  <c r="AM39" i="7" s="1"/>
  <c r="AR39" i="7" s="1"/>
  <c r="AW39" i="7" s="1"/>
  <c r="BB39" i="7" s="1"/>
  <c r="BG39" i="7" s="1"/>
  <c r="BL39" i="7" s="1"/>
  <c r="BQ39" i="7" s="1"/>
  <c r="BV39" i="7" s="1"/>
  <c r="CA39" i="7" s="1"/>
  <c r="X31" i="7"/>
  <c r="AC31" i="7" s="1"/>
  <c r="AH31" i="7" s="1"/>
  <c r="AM31" i="7" s="1"/>
  <c r="AR31" i="7" s="1"/>
  <c r="AW31" i="7" s="1"/>
  <c r="BB31" i="7" s="1"/>
  <c r="BG31" i="7" s="1"/>
  <c r="BL31" i="7" s="1"/>
  <c r="BQ31" i="7" s="1"/>
  <c r="BV31" i="7" s="1"/>
  <c r="CA31" i="7" s="1"/>
  <c r="X22" i="7"/>
  <c r="AC22" i="7" s="1"/>
  <c r="AH22" i="7" s="1"/>
  <c r="AM22" i="7" s="1"/>
  <c r="AR22" i="7" s="1"/>
  <c r="AW22" i="7" s="1"/>
  <c r="BB22" i="7" s="1"/>
  <c r="BG22" i="7" s="1"/>
  <c r="BL22" i="7" s="1"/>
  <c r="BQ22" i="7" s="1"/>
  <c r="BV22" i="7" s="1"/>
  <c r="CA22" i="7" s="1"/>
  <c r="X284" i="7"/>
  <c r="AC284" i="7" s="1"/>
  <c r="AH284" i="7" s="1"/>
  <c r="AM284" i="7" s="1"/>
  <c r="AR284" i="7" s="1"/>
  <c r="AW284" i="7" s="1"/>
  <c r="BB284" i="7" s="1"/>
  <c r="BG284" i="7" s="1"/>
  <c r="BL284" i="7" s="1"/>
  <c r="BQ284" i="7" s="1"/>
  <c r="BV284" i="7" s="1"/>
  <c r="CA284" i="7" s="1"/>
  <c r="X268" i="7"/>
  <c r="AC268" i="7" s="1"/>
  <c r="AH268" i="7" s="1"/>
  <c r="AM268" i="7" s="1"/>
  <c r="AR268" i="7" s="1"/>
  <c r="AW268" i="7" s="1"/>
  <c r="BB268" i="7" s="1"/>
  <c r="BG268" i="7" s="1"/>
  <c r="BL268" i="7" s="1"/>
  <c r="BQ268" i="7" s="1"/>
  <c r="BV268" i="7" s="1"/>
  <c r="CA268" i="7" s="1"/>
  <c r="X252" i="7"/>
  <c r="AC252" i="7" s="1"/>
  <c r="AH252" i="7" s="1"/>
  <c r="AM252" i="7" s="1"/>
  <c r="AR252" i="7" s="1"/>
  <c r="AW252" i="7" s="1"/>
  <c r="BB252" i="7" s="1"/>
  <c r="BG252" i="7" s="1"/>
  <c r="BL252" i="7" s="1"/>
  <c r="BQ252" i="7" s="1"/>
  <c r="BV252" i="7" s="1"/>
  <c r="CA252" i="7" s="1"/>
  <c r="X236" i="7"/>
  <c r="AC236" i="7" s="1"/>
  <c r="AH236" i="7" s="1"/>
  <c r="AM236" i="7" s="1"/>
  <c r="AR236" i="7" s="1"/>
  <c r="AW236" i="7" s="1"/>
  <c r="BB236" i="7" s="1"/>
  <c r="BG236" i="7" s="1"/>
  <c r="BL236" i="7" s="1"/>
  <c r="BQ236" i="7" s="1"/>
  <c r="BV236" i="7" s="1"/>
  <c r="CA236" i="7" s="1"/>
  <c r="X228" i="7"/>
  <c r="AC228" i="7" s="1"/>
  <c r="AH228" i="7" s="1"/>
  <c r="AM228" i="7" s="1"/>
  <c r="AR228" i="7" s="1"/>
  <c r="AW228" i="7" s="1"/>
  <c r="BB228" i="7" s="1"/>
  <c r="BG228" i="7" s="1"/>
  <c r="BL228" i="7" s="1"/>
  <c r="BQ228" i="7" s="1"/>
  <c r="BV228" i="7" s="1"/>
  <c r="CA228" i="7" s="1"/>
  <c r="X220" i="7"/>
  <c r="AC220" i="7" s="1"/>
  <c r="AH220" i="7" s="1"/>
  <c r="AM220" i="7" s="1"/>
  <c r="AR220" i="7" s="1"/>
  <c r="AW220" i="7" s="1"/>
  <c r="BB220" i="7" s="1"/>
  <c r="BG220" i="7" s="1"/>
  <c r="BL220" i="7" s="1"/>
  <c r="BQ220" i="7" s="1"/>
  <c r="BV220" i="7" s="1"/>
  <c r="CA220" i="7" s="1"/>
  <c r="X212" i="7"/>
  <c r="AC212" i="7" s="1"/>
  <c r="AH212" i="7" s="1"/>
  <c r="AM212" i="7" s="1"/>
  <c r="AR212" i="7" s="1"/>
  <c r="AW212" i="7" s="1"/>
  <c r="BB212" i="7" s="1"/>
  <c r="BG212" i="7" s="1"/>
  <c r="BL212" i="7" s="1"/>
  <c r="BQ212" i="7" s="1"/>
  <c r="BV212" i="7" s="1"/>
  <c r="CA212" i="7" s="1"/>
  <c r="X204" i="7"/>
  <c r="AC204" i="7" s="1"/>
  <c r="AH204" i="7" s="1"/>
  <c r="AM204" i="7" s="1"/>
  <c r="AR204" i="7" s="1"/>
  <c r="AW204" i="7" s="1"/>
  <c r="BB204" i="7" s="1"/>
  <c r="BG204" i="7" s="1"/>
  <c r="BL204" i="7" s="1"/>
  <c r="BQ204" i="7" s="1"/>
  <c r="BV204" i="7" s="1"/>
  <c r="CA204" i="7" s="1"/>
  <c r="X196" i="7"/>
  <c r="AC196" i="7" s="1"/>
  <c r="AH196" i="7" s="1"/>
  <c r="AM196" i="7" s="1"/>
  <c r="AR196" i="7" s="1"/>
  <c r="AW196" i="7" s="1"/>
  <c r="BB196" i="7" s="1"/>
  <c r="BG196" i="7" s="1"/>
  <c r="BL196" i="7" s="1"/>
  <c r="BQ196" i="7" s="1"/>
  <c r="BV196" i="7" s="1"/>
  <c r="CA196" i="7" s="1"/>
  <c r="X180" i="7"/>
  <c r="AC180" i="7" s="1"/>
  <c r="AH180" i="7" s="1"/>
  <c r="AM180" i="7" s="1"/>
  <c r="AR180" i="7" s="1"/>
  <c r="AW180" i="7" s="1"/>
  <c r="BB180" i="7" s="1"/>
  <c r="BG180" i="7" s="1"/>
  <c r="BL180" i="7" s="1"/>
  <c r="BQ180" i="7" s="1"/>
  <c r="BV180" i="7" s="1"/>
  <c r="CA180" i="7" s="1"/>
  <c r="X172" i="7"/>
  <c r="AC172" i="7" s="1"/>
  <c r="AH172" i="7" s="1"/>
  <c r="AM172" i="7" s="1"/>
  <c r="AR172" i="7" s="1"/>
  <c r="AW172" i="7" s="1"/>
  <c r="BB172" i="7" s="1"/>
  <c r="BG172" i="7" s="1"/>
  <c r="BL172" i="7" s="1"/>
  <c r="BQ172" i="7" s="1"/>
  <c r="BV172" i="7" s="1"/>
  <c r="CA172" i="7" s="1"/>
  <c r="X164" i="7"/>
  <c r="AC164" i="7" s="1"/>
  <c r="AH164" i="7" s="1"/>
  <c r="AM164" i="7" s="1"/>
  <c r="AR164" i="7" s="1"/>
  <c r="AW164" i="7" s="1"/>
  <c r="BB164" i="7" s="1"/>
  <c r="BG164" i="7" s="1"/>
  <c r="BL164" i="7" s="1"/>
  <c r="BQ164" i="7" s="1"/>
  <c r="BV164" i="7" s="1"/>
  <c r="CA164" i="7" s="1"/>
  <c r="X156" i="7"/>
  <c r="AC156" i="7" s="1"/>
  <c r="AH156" i="7" s="1"/>
  <c r="AM156" i="7" s="1"/>
  <c r="AR156" i="7" s="1"/>
  <c r="AW156" i="7" s="1"/>
  <c r="BB156" i="7" s="1"/>
  <c r="BG156" i="7" s="1"/>
  <c r="BL156" i="7" s="1"/>
  <c r="BQ156" i="7" s="1"/>
  <c r="BV156" i="7" s="1"/>
  <c r="CA156" i="7" s="1"/>
  <c r="X148" i="7"/>
  <c r="AC148" i="7" s="1"/>
  <c r="AH148" i="7" s="1"/>
  <c r="AM148" i="7" s="1"/>
  <c r="AR148" i="7" s="1"/>
  <c r="AW148" i="7" s="1"/>
  <c r="BB148" i="7" s="1"/>
  <c r="BG148" i="7" s="1"/>
  <c r="BL148" i="7" s="1"/>
  <c r="BQ148" i="7" s="1"/>
  <c r="BV148" i="7" s="1"/>
  <c r="CA148" i="7" s="1"/>
  <c r="X140" i="7"/>
  <c r="AC140" i="7" s="1"/>
  <c r="AH140" i="7" s="1"/>
  <c r="AM140" i="7" s="1"/>
  <c r="AR140" i="7" s="1"/>
  <c r="AW140" i="7" s="1"/>
  <c r="BB140" i="7" s="1"/>
  <c r="BG140" i="7" s="1"/>
  <c r="BL140" i="7" s="1"/>
  <c r="BQ140" i="7" s="1"/>
  <c r="BV140" i="7" s="1"/>
  <c r="CA140" i="7" s="1"/>
  <c r="X132" i="7"/>
  <c r="AC132" i="7" s="1"/>
  <c r="AH132" i="7" s="1"/>
  <c r="AM132" i="7" s="1"/>
  <c r="AR132" i="7" s="1"/>
  <c r="AW132" i="7" s="1"/>
  <c r="BB132" i="7" s="1"/>
  <c r="BG132" i="7" s="1"/>
  <c r="BL132" i="7" s="1"/>
  <c r="BQ132" i="7" s="1"/>
  <c r="BV132" i="7" s="1"/>
  <c r="CA132" i="7" s="1"/>
  <c r="X124" i="7"/>
  <c r="AC124" i="7" s="1"/>
  <c r="AH124" i="7" s="1"/>
  <c r="AM124" i="7" s="1"/>
  <c r="AR124" i="7" s="1"/>
  <c r="AW124" i="7" s="1"/>
  <c r="BB124" i="7" s="1"/>
  <c r="BG124" i="7" s="1"/>
  <c r="BL124" i="7" s="1"/>
  <c r="BQ124" i="7" s="1"/>
  <c r="BV124" i="7" s="1"/>
  <c r="CA124" i="7" s="1"/>
  <c r="X116" i="7"/>
  <c r="AC116" i="7" s="1"/>
  <c r="AH116" i="7" s="1"/>
  <c r="AM116" i="7" s="1"/>
  <c r="AR116" i="7" s="1"/>
  <c r="AW116" i="7" s="1"/>
  <c r="BB116" i="7" s="1"/>
  <c r="BG116" i="7" s="1"/>
  <c r="BL116" i="7" s="1"/>
  <c r="BQ116" i="7" s="1"/>
  <c r="BV116" i="7" s="1"/>
  <c r="CA116" i="7" s="1"/>
  <c r="X108" i="7"/>
  <c r="AC108" i="7" s="1"/>
  <c r="AH108" i="7" s="1"/>
  <c r="AM108" i="7" s="1"/>
  <c r="AR108" i="7" s="1"/>
  <c r="AW108" i="7" s="1"/>
  <c r="BB108" i="7" s="1"/>
  <c r="BG108" i="7" s="1"/>
  <c r="BL108" i="7" s="1"/>
  <c r="BQ108" i="7" s="1"/>
  <c r="BV108" i="7" s="1"/>
  <c r="CA108" i="7" s="1"/>
  <c r="X100" i="7"/>
  <c r="AC100" i="7" s="1"/>
  <c r="AH100" i="7" s="1"/>
  <c r="AM100" i="7" s="1"/>
  <c r="AR100" i="7" s="1"/>
  <c r="AW100" i="7" s="1"/>
  <c r="BB100" i="7" s="1"/>
  <c r="BG100" i="7" s="1"/>
  <c r="BL100" i="7" s="1"/>
  <c r="BQ100" i="7" s="1"/>
  <c r="BV100" i="7" s="1"/>
  <c r="CA100" i="7" s="1"/>
  <c r="X92" i="7"/>
  <c r="AC92" i="7" s="1"/>
  <c r="AH92" i="7" s="1"/>
  <c r="AM92" i="7" s="1"/>
  <c r="AR92" i="7" s="1"/>
  <c r="AW92" i="7" s="1"/>
  <c r="BB92" i="7" s="1"/>
  <c r="BG92" i="7" s="1"/>
  <c r="BL92" i="7" s="1"/>
  <c r="BQ92" i="7" s="1"/>
  <c r="BV92" i="7" s="1"/>
  <c r="CA92" i="7" s="1"/>
  <c r="X84" i="7"/>
  <c r="AC84" i="7" s="1"/>
  <c r="AH84" i="7" s="1"/>
  <c r="AM84" i="7" s="1"/>
  <c r="AR84" i="7" s="1"/>
  <c r="AW84" i="7" s="1"/>
  <c r="BB84" i="7" s="1"/>
  <c r="BG84" i="7" s="1"/>
  <c r="BL84" i="7" s="1"/>
  <c r="BQ84" i="7" s="1"/>
  <c r="BV84" i="7" s="1"/>
  <c r="CA84" i="7" s="1"/>
  <c r="X76" i="7"/>
  <c r="AC76" i="7" s="1"/>
  <c r="AH76" i="7" s="1"/>
  <c r="AM76" i="7" s="1"/>
  <c r="AR76" i="7" s="1"/>
  <c r="AW76" i="7" s="1"/>
  <c r="BB76" i="7" s="1"/>
  <c r="BG76" i="7" s="1"/>
  <c r="BL76" i="7" s="1"/>
  <c r="BQ76" i="7" s="1"/>
  <c r="BV76" i="7" s="1"/>
  <c r="CA76" i="7" s="1"/>
  <c r="X68" i="7"/>
  <c r="AC68" i="7" s="1"/>
  <c r="AH68" i="7" s="1"/>
  <c r="AM68" i="7" s="1"/>
  <c r="AR68" i="7" s="1"/>
  <c r="AW68" i="7" s="1"/>
  <c r="BB68" i="7" s="1"/>
  <c r="BG68" i="7" s="1"/>
  <c r="BL68" i="7" s="1"/>
  <c r="BQ68" i="7" s="1"/>
  <c r="BV68" i="7" s="1"/>
  <c r="CA68" i="7" s="1"/>
  <c r="X60" i="7"/>
  <c r="AC60" i="7" s="1"/>
  <c r="AH60" i="7" s="1"/>
  <c r="AM60" i="7" s="1"/>
  <c r="AR60" i="7" s="1"/>
  <c r="AW60" i="7" s="1"/>
  <c r="BB60" i="7" s="1"/>
  <c r="BG60" i="7" s="1"/>
  <c r="BL60" i="7" s="1"/>
  <c r="BQ60" i="7" s="1"/>
  <c r="BV60" i="7" s="1"/>
  <c r="CA60" i="7" s="1"/>
  <c r="X52" i="7"/>
  <c r="AC52" i="7" s="1"/>
  <c r="AH52" i="7" s="1"/>
  <c r="AM52" i="7" s="1"/>
  <c r="AR52" i="7" s="1"/>
  <c r="AW52" i="7" s="1"/>
  <c r="BB52" i="7" s="1"/>
  <c r="BG52" i="7" s="1"/>
  <c r="BL52" i="7" s="1"/>
  <c r="BQ52" i="7" s="1"/>
  <c r="BV52" i="7" s="1"/>
  <c r="CA52" i="7" s="1"/>
  <c r="X44" i="7"/>
  <c r="AC44" i="7" s="1"/>
  <c r="AH44" i="7" s="1"/>
  <c r="AM44" i="7" s="1"/>
  <c r="AR44" i="7" s="1"/>
  <c r="AW44" i="7" s="1"/>
  <c r="BB44" i="7" s="1"/>
  <c r="BG44" i="7" s="1"/>
  <c r="BL44" i="7" s="1"/>
  <c r="BQ44" i="7" s="1"/>
  <c r="BV44" i="7" s="1"/>
  <c r="CA44" i="7" s="1"/>
  <c r="X36" i="7"/>
  <c r="AC36" i="7" s="1"/>
  <c r="AH36" i="7" s="1"/>
  <c r="AM36" i="7" s="1"/>
  <c r="AR36" i="7" s="1"/>
  <c r="AW36" i="7" s="1"/>
  <c r="BB36" i="7" s="1"/>
  <c r="BG36" i="7" s="1"/>
  <c r="BL36" i="7" s="1"/>
  <c r="BQ36" i="7" s="1"/>
  <c r="BV36" i="7" s="1"/>
  <c r="CA36" i="7" s="1"/>
  <c r="X28" i="7"/>
  <c r="AC28" i="7" s="1"/>
  <c r="AH28" i="7" s="1"/>
  <c r="AM28" i="7" s="1"/>
  <c r="AR28" i="7" s="1"/>
  <c r="AW28" i="7" s="1"/>
  <c r="BB28" i="7" s="1"/>
  <c r="BG28" i="7" s="1"/>
  <c r="BL28" i="7" s="1"/>
  <c r="BQ28" i="7" s="1"/>
  <c r="BV28" i="7" s="1"/>
  <c r="CA28" i="7" s="1"/>
  <c r="X19" i="7"/>
  <c r="AC19" i="7" s="1"/>
  <c r="AH19" i="7" s="1"/>
  <c r="AM19" i="7" s="1"/>
  <c r="AR19" i="7" s="1"/>
  <c r="AW19" i="7" s="1"/>
  <c r="BB19" i="7" s="1"/>
  <c r="BG19" i="7" s="1"/>
  <c r="BL19" i="7" s="1"/>
  <c r="BQ19" i="7" s="1"/>
  <c r="BV19" i="7" s="1"/>
  <c r="CA19" i="7" s="1"/>
  <c r="X286" i="7"/>
  <c r="AC286" i="7" s="1"/>
  <c r="AH286" i="7" s="1"/>
  <c r="AM286" i="7" s="1"/>
  <c r="AR286" i="7" s="1"/>
  <c r="AW286" i="7" s="1"/>
  <c r="BB286" i="7" s="1"/>
  <c r="BG286" i="7" s="1"/>
  <c r="BL286" i="7" s="1"/>
  <c r="BQ286" i="7" s="1"/>
  <c r="BV286" i="7" s="1"/>
  <c r="CA286" i="7" s="1"/>
  <c r="X278" i="7"/>
  <c r="AC278" i="7" s="1"/>
  <c r="AH278" i="7" s="1"/>
  <c r="AM278" i="7" s="1"/>
  <c r="AR278" i="7" s="1"/>
  <c r="AW278" i="7" s="1"/>
  <c r="BB278" i="7" s="1"/>
  <c r="BG278" i="7" s="1"/>
  <c r="BL278" i="7" s="1"/>
  <c r="BQ278" i="7" s="1"/>
  <c r="BV278" i="7" s="1"/>
  <c r="CA278" i="7" s="1"/>
  <c r="X270" i="7"/>
  <c r="AC270" i="7" s="1"/>
  <c r="AH270" i="7" s="1"/>
  <c r="AM270" i="7" s="1"/>
  <c r="AR270" i="7" s="1"/>
  <c r="AW270" i="7" s="1"/>
  <c r="BB270" i="7" s="1"/>
  <c r="BG270" i="7" s="1"/>
  <c r="BL270" i="7" s="1"/>
  <c r="BQ270" i="7" s="1"/>
  <c r="BV270" i="7" s="1"/>
  <c r="CA270" i="7" s="1"/>
  <c r="X262" i="7"/>
  <c r="AC262" i="7" s="1"/>
  <c r="AH262" i="7" s="1"/>
  <c r="AM262" i="7" s="1"/>
  <c r="AR262" i="7" s="1"/>
  <c r="AW262" i="7" s="1"/>
  <c r="BB262" i="7" s="1"/>
  <c r="BG262" i="7" s="1"/>
  <c r="BL262" i="7" s="1"/>
  <c r="BQ262" i="7" s="1"/>
  <c r="BV262" i="7" s="1"/>
  <c r="CA262" i="7" s="1"/>
  <c r="X254" i="7"/>
  <c r="AC254" i="7" s="1"/>
  <c r="AH254" i="7" s="1"/>
  <c r="AM254" i="7" s="1"/>
  <c r="AR254" i="7" s="1"/>
  <c r="AW254" i="7" s="1"/>
  <c r="BB254" i="7" s="1"/>
  <c r="BG254" i="7" s="1"/>
  <c r="BL254" i="7" s="1"/>
  <c r="BQ254" i="7" s="1"/>
  <c r="BV254" i="7" s="1"/>
  <c r="CA254" i="7" s="1"/>
  <c r="X246" i="7"/>
  <c r="AC246" i="7" s="1"/>
  <c r="AH246" i="7" s="1"/>
  <c r="AM246" i="7" s="1"/>
  <c r="AR246" i="7" s="1"/>
  <c r="AW246" i="7" s="1"/>
  <c r="BB246" i="7" s="1"/>
  <c r="BG246" i="7" s="1"/>
  <c r="BL246" i="7" s="1"/>
  <c r="BQ246" i="7" s="1"/>
  <c r="BV246" i="7" s="1"/>
  <c r="CA246" i="7" s="1"/>
  <c r="X238" i="7"/>
  <c r="AC238" i="7" s="1"/>
  <c r="AH238" i="7" s="1"/>
  <c r="AM238" i="7" s="1"/>
  <c r="AR238" i="7" s="1"/>
  <c r="AW238" i="7" s="1"/>
  <c r="BB238" i="7" s="1"/>
  <c r="BG238" i="7" s="1"/>
  <c r="BL238" i="7" s="1"/>
  <c r="BQ238" i="7" s="1"/>
  <c r="BV238" i="7" s="1"/>
  <c r="CA238" i="7" s="1"/>
  <c r="X230" i="7"/>
  <c r="AC230" i="7" s="1"/>
  <c r="AH230" i="7" s="1"/>
  <c r="AM230" i="7" s="1"/>
  <c r="AR230" i="7" s="1"/>
  <c r="AW230" i="7" s="1"/>
  <c r="BB230" i="7" s="1"/>
  <c r="BG230" i="7" s="1"/>
  <c r="BL230" i="7" s="1"/>
  <c r="BQ230" i="7" s="1"/>
  <c r="BV230" i="7" s="1"/>
  <c r="CA230" i="7" s="1"/>
  <c r="X222" i="7"/>
  <c r="AC222" i="7" s="1"/>
  <c r="AH222" i="7" s="1"/>
  <c r="AM222" i="7" s="1"/>
  <c r="AR222" i="7" s="1"/>
  <c r="AW222" i="7" s="1"/>
  <c r="BB222" i="7" s="1"/>
  <c r="BG222" i="7" s="1"/>
  <c r="BL222" i="7" s="1"/>
  <c r="BQ222" i="7" s="1"/>
  <c r="BV222" i="7" s="1"/>
  <c r="CA222" i="7" s="1"/>
  <c r="X214" i="7"/>
  <c r="AC214" i="7" s="1"/>
  <c r="AH214" i="7" s="1"/>
  <c r="AM214" i="7" s="1"/>
  <c r="AR214" i="7" s="1"/>
  <c r="AW214" i="7" s="1"/>
  <c r="BB214" i="7" s="1"/>
  <c r="BG214" i="7" s="1"/>
  <c r="BL214" i="7" s="1"/>
  <c r="BQ214" i="7" s="1"/>
  <c r="BV214" i="7" s="1"/>
  <c r="CA214" i="7" s="1"/>
  <c r="X206" i="7"/>
  <c r="AC206" i="7" s="1"/>
  <c r="AH206" i="7" s="1"/>
  <c r="AM206" i="7" s="1"/>
  <c r="AR206" i="7" s="1"/>
  <c r="AW206" i="7" s="1"/>
  <c r="BB206" i="7" s="1"/>
  <c r="BG206" i="7" s="1"/>
  <c r="BL206" i="7" s="1"/>
  <c r="BQ206" i="7" s="1"/>
  <c r="BV206" i="7" s="1"/>
  <c r="CA206" i="7" s="1"/>
  <c r="X198" i="7"/>
  <c r="AC198" i="7" s="1"/>
  <c r="AH198" i="7" s="1"/>
  <c r="AM198" i="7" s="1"/>
  <c r="AR198" i="7" s="1"/>
  <c r="AW198" i="7" s="1"/>
  <c r="BB198" i="7" s="1"/>
  <c r="BG198" i="7" s="1"/>
  <c r="BL198" i="7" s="1"/>
  <c r="BQ198" i="7" s="1"/>
  <c r="BV198" i="7" s="1"/>
  <c r="CA198" i="7" s="1"/>
  <c r="X190" i="7"/>
  <c r="AC190" i="7" s="1"/>
  <c r="AH190" i="7" s="1"/>
  <c r="AM190" i="7" s="1"/>
  <c r="AR190" i="7" s="1"/>
  <c r="AW190" i="7" s="1"/>
  <c r="BB190" i="7" s="1"/>
  <c r="BG190" i="7" s="1"/>
  <c r="BL190" i="7" s="1"/>
  <c r="BQ190" i="7" s="1"/>
  <c r="BV190" i="7" s="1"/>
  <c r="CA190" i="7" s="1"/>
  <c r="X182" i="7"/>
  <c r="AC182" i="7" s="1"/>
  <c r="AH182" i="7" s="1"/>
  <c r="AM182" i="7" s="1"/>
  <c r="AR182" i="7" s="1"/>
  <c r="AW182" i="7" s="1"/>
  <c r="BB182" i="7" s="1"/>
  <c r="BG182" i="7" s="1"/>
  <c r="BL182" i="7" s="1"/>
  <c r="BQ182" i="7" s="1"/>
  <c r="BV182" i="7" s="1"/>
  <c r="CA182" i="7" s="1"/>
  <c r="X174" i="7"/>
  <c r="AC174" i="7" s="1"/>
  <c r="AH174" i="7" s="1"/>
  <c r="AM174" i="7" s="1"/>
  <c r="AR174" i="7" s="1"/>
  <c r="AW174" i="7" s="1"/>
  <c r="BB174" i="7" s="1"/>
  <c r="BG174" i="7" s="1"/>
  <c r="BL174" i="7" s="1"/>
  <c r="BQ174" i="7" s="1"/>
  <c r="BV174" i="7" s="1"/>
  <c r="CA174" i="7" s="1"/>
  <c r="X166" i="7"/>
  <c r="AC166" i="7" s="1"/>
  <c r="AH166" i="7" s="1"/>
  <c r="AM166" i="7" s="1"/>
  <c r="AR166" i="7" s="1"/>
  <c r="AW166" i="7" s="1"/>
  <c r="BB166" i="7" s="1"/>
  <c r="BG166" i="7" s="1"/>
  <c r="BL166" i="7" s="1"/>
  <c r="BQ166" i="7" s="1"/>
  <c r="BV166" i="7" s="1"/>
  <c r="CA166" i="7" s="1"/>
  <c r="X158" i="7"/>
  <c r="AC158" i="7" s="1"/>
  <c r="AH158" i="7" s="1"/>
  <c r="AM158" i="7" s="1"/>
  <c r="AR158" i="7" s="1"/>
  <c r="AW158" i="7" s="1"/>
  <c r="BB158" i="7" s="1"/>
  <c r="BG158" i="7" s="1"/>
  <c r="BL158" i="7" s="1"/>
  <c r="BQ158" i="7" s="1"/>
  <c r="BV158" i="7" s="1"/>
  <c r="CA158" i="7" s="1"/>
  <c r="X150" i="7"/>
  <c r="AC150" i="7" s="1"/>
  <c r="AH150" i="7" s="1"/>
  <c r="AM150" i="7" s="1"/>
  <c r="AR150" i="7" s="1"/>
  <c r="AW150" i="7" s="1"/>
  <c r="BB150" i="7" s="1"/>
  <c r="BG150" i="7" s="1"/>
  <c r="BL150" i="7" s="1"/>
  <c r="BQ150" i="7" s="1"/>
  <c r="BV150" i="7" s="1"/>
  <c r="CA150" i="7" s="1"/>
  <c r="X142" i="7"/>
  <c r="AC142" i="7" s="1"/>
  <c r="AH142" i="7" s="1"/>
  <c r="AM142" i="7" s="1"/>
  <c r="AR142" i="7" s="1"/>
  <c r="AW142" i="7" s="1"/>
  <c r="BB142" i="7" s="1"/>
  <c r="BG142" i="7" s="1"/>
  <c r="BL142" i="7" s="1"/>
  <c r="BQ142" i="7" s="1"/>
  <c r="BV142" i="7" s="1"/>
  <c r="CA142" i="7" s="1"/>
  <c r="X134" i="7"/>
  <c r="AC134" i="7" s="1"/>
  <c r="AH134" i="7" s="1"/>
  <c r="AM134" i="7" s="1"/>
  <c r="AR134" i="7" s="1"/>
  <c r="AW134" i="7" s="1"/>
  <c r="BB134" i="7" s="1"/>
  <c r="BG134" i="7" s="1"/>
  <c r="BL134" i="7" s="1"/>
  <c r="BQ134" i="7" s="1"/>
  <c r="BV134" i="7" s="1"/>
  <c r="CA134" i="7" s="1"/>
  <c r="X126" i="7"/>
  <c r="AC126" i="7" s="1"/>
  <c r="AH126" i="7" s="1"/>
  <c r="AM126" i="7" s="1"/>
  <c r="AR126" i="7" s="1"/>
  <c r="AW126" i="7" s="1"/>
  <c r="BB126" i="7" s="1"/>
  <c r="BG126" i="7" s="1"/>
  <c r="BL126" i="7" s="1"/>
  <c r="BQ126" i="7" s="1"/>
  <c r="BV126" i="7" s="1"/>
  <c r="CA126" i="7" s="1"/>
  <c r="X118" i="7"/>
  <c r="AC118" i="7" s="1"/>
  <c r="AH118" i="7" s="1"/>
  <c r="AM118" i="7" s="1"/>
  <c r="AR118" i="7" s="1"/>
  <c r="AW118" i="7" s="1"/>
  <c r="BB118" i="7" s="1"/>
  <c r="BG118" i="7" s="1"/>
  <c r="BL118" i="7" s="1"/>
  <c r="BQ118" i="7" s="1"/>
  <c r="BV118" i="7" s="1"/>
  <c r="CA118" i="7" s="1"/>
  <c r="X110" i="7"/>
  <c r="AC110" i="7" s="1"/>
  <c r="AH110" i="7" s="1"/>
  <c r="AM110" i="7" s="1"/>
  <c r="AR110" i="7" s="1"/>
  <c r="AW110" i="7" s="1"/>
  <c r="BB110" i="7" s="1"/>
  <c r="BG110" i="7" s="1"/>
  <c r="BL110" i="7" s="1"/>
  <c r="BQ110" i="7" s="1"/>
  <c r="BV110" i="7" s="1"/>
  <c r="CA110" i="7" s="1"/>
  <c r="X102" i="7"/>
  <c r="AC102" i="7" s="1"/>
  <c r="AH102" i="7" s="1"/>
  <c r="AM102" i="7" s="1"/>
  <c r="AR102" i="7" s="1"/>
  <c r="AW102" i="7" s="1"/>
  <c r="BB102" i="7" s="1"/>
  <c r="BG102" i="7" s="1"/>
  <c r="BL102" i="7" s="1"/>
  <c r="BQ102" i="7" s="1"/>
  <c r="BV102" i="7" s="1"/>
  <c r="CA102" i="7" s="1"/>
  <c r="X94" i="7"/>
  <c r="AC94" i="7" s="1"/>
  <c r="AH94" i="7" s="1"/>
  <c r="AM94" i="7" s="1"/>
  <c r="AR94" i="7" s="1"/>
  <c r="AW94" i="7" s="1"/>
  <c r="BB94" i="7" s="1"/>
  <c r="BG94" i="7" s="1"/>
  <c r="BL94" i="7" s="1"/>
  <c r="BQ94" i="7" s="1"/>
  <c r="BV94" i="7" s="1"/>
  <c r="CA94" i="7" s="1"/>
  <c r="X86" i="7"/>
  <c r="AC86" i="7" s="1"/>
  <c r="AH86" i="7" s="1"/>
  <c r="AM86" i="7" s="1"/>
  <c r="AR86" i="7" s="1"/>
  <c r="AW86" i="7" s="1"/>
  <c r="BB86" i="7" s="1"/>
  <c r="BG86" i="7" s="1"/>
  <c r="BL86" i="7" s="1"/>
  <c r="BQ86" i="7" s="1"/>
  <c r="BV86" i="7" s="1"/>
  <c r="CA86" i="7" s="1"/>
  <c r="X78" i="7"/>
  <c r="AC78" i="7" s="1"/>
  <c r="AH78" i="7" s="1"/>
  <c r="AM78" i="7" s="1"/>
  <c r="AR78" i="7" s="1"/>
  <c r="AW78" i="7" s="1"/>
  <c r="BB78" i="7" s="1"/>
  <c r="BG78" i="7" s="1"/>
  <c r="BL78" i="7" s="1"/>
  <c r="BQ78" i="7" s="1"/>
  <c r="BV78" i="7" s="1"/>
  <c r="CA78" i="7" s="1"/>
  <c r="X70" i="7"/>
  <c r="AC70" i="7" s="1"/>
  <c r="AH70" i="7" s="1"/>
  <c r="AM70" i="7" s="1"/>
  <c r="AR70" i="7" s="1"/>
  <c r="AW70" i="7" s="1"/>
  <c r="BB70" i="7" s="1"/>
  <c r="BG70" i="7" s="1"/>
  <c r="BL70" i="7" s="1"/>
  <c r="BQ70" i="7" s="1"/>
  <c r="BV70" i="7" s="1"/>
  <c r="CA70" i="7" s="1"/>
  <c r="X62" i="7"/>
  <c r="AC62" i="7" s="1"/>
  <c r="AH62" i="7" s="1"/>
  <c r="AM62" i="7" s="1"/>
  <c r="AR62" i="7" s="1"/>
  <c r="AW62" i="7" s="1"/>
  <c r="BB62" i="7" s="1"/>
  <c r="BG62" i="7" s="1"/>
  <c r="BL62" i="7" s="1"/>
  <c r="BQ62" i="7" s="1"/>
  <c r="BV62" i="7" s="1"/>
  <c r="CA62" i="7" s="1"/>
  <c r="X54" i="7"/>
  <c r="AC54" i="7" s="1"/>
  <c r="AH54" i="7" s="1"/>
  <c r="AM54" i="7" s="1"/>
  <c r="AR54" i="7" s="1"/>
  <c r="AW54" i="7" s="1"/>
  <c r="BB54" i="7" s="1"/>
  <c r="BG54" i="7" s="1"/>
  <c r="BL54" i="7" s="1"/>
  <c r="BQ54" i="7" s="1"/>
  <c r="BV54" i="7" s="1"/>
  <c r="CA54" i="7" s="1"/>
  <c r="X46" i="7"/>
  <c r="AC46" i="7" s="1"/>
  <c r="AH46" i="7" s="1"/>
  <c r="AM46" i="7" s="1"/>
  <c r="AR46" i="7" s="1"/>
  <c r="AW46" i="7" s="1"/>
  <c r="BB46" i="7" s="1"/>
  <c r="BG46" i="7" s="1"/>
  <c r="BL46" i="7" s="1"/>
  <c r="BQ46" i="7" s="1"/>
  <c r="BV46" i="7" s="1"/>
  <c r="CA46" i="7" s="1"/>
  <c r="X38" i="7"/>
  <c r="AC38" i="7" s="1"/>
  <c r="AH38" i="7" s="1"/>
  <c r="AM38" i="7" s="1"/>
  <c r="AR38" i="7" s="1"/>
  <c r="AW38" i="7" s="1"/>
  <c r="BB38" i="7" s="1"/>
  <c r="BG38" i="7" s="1"/>
  <c r="BL38" i="7" s="1"/>
  <c r="BQ38" i="7" s="1"/>
  <c r="BV38" i="7" s="1"/>
  <c r="CA38" i="7" s="1"/>
  <c r="X30" i="7"/>
  <c r="AC30" i="7" s="1"/>
  <c r="AH30" i="7" s="1"/>
  <c r="AM30" i="7" s="1"/>
  <c r="AR30" i="7" s="1"/>
  <c r="AW30" i="7" s="1"/>
  <c r="BB30" i="7" s="1"/>
  <c r="BG30" i="7" s="1"/>
  <c r="BL30" i="7" s="1"/>
  <c r="BQ30" i="7" s="1"/>
  <c r="BV30" i="7" s="1"/>
  <c r="CA30" i="7" s="1"/>
  <c r="X21" i="7"/>
  <c r="AC21" i="7" s="1"/>
  <c r="AH21" i="7" s="1"/>
  <c r="AM21" i="7" s="1"/>
  <c r="AR21" i="7" s="1"/>
  <c r="AW21" i="7" s="1"/>
  <c r="BB21" i="7" s="1"/>
  <c r="BG21" i="7" s="1"/>
  <c r="BL21" i="7" s="1"/>
  <c r="BQ21" i="7" s="1"/>
  <c r="BV21" i="7" s="1"/>
  <c r="CA21" i="7" s="1"/>
  <c r="X293" i="7"/>
  <c r="AC293" i="7" s="1"/>
  <c r="AH293" i="7" s="1"/>
  <c r="AM293" i="7" s="1"/>
  <c r="AR293" i="7" s="1"/>
  <c r="AW293" i="7" s="1"/>
  <c r="BB293" i="7" s="1"/>
  <c r="BG293" i="7" s="1"/>
  <c r="BL293" i="7" s="1"/>
  <c r="BQ293" i="7" s="1"/>
  <c r="BV293" i="7" s="1"/>
  <c r="CA293" i="7" s="1"/>
  <c r="X285" i="7"/>
  <c r="AC285" i="7" s="1"/>
  <c r="AH285" i="7" s="1"/>
  <c r="AM285" i="7" s="1"/>
  <c r="AR285" i="7" s="1"/>
  <c r="AW285" i="7" s="1"/>
  <c r="BB285" i="7" s="1"/>
  <c r="BG285" i="7" s="1"/>
  <c r="BL285" i="7" s="1"/>
  <c r="BQ285" i="7" s="1"/>
  <c r="BV285" i="7" s="1"/>
  <c r="CA285" i="7" s="1"/>
  <c r="X277" i="7"/>
  <c r="AC277" i="7" s="1"/>
  <c r="AH277" i="7" s="1"/>
  <c r="AM277" i="7" s="1"/>
  <c r="AR277" i="7" s="1"/>
  <c r="AW277" i="7" s="1"/>
  <c r="BB277" i="7" s="1"/>
  <c r="BG277" i="7" s="1"/>
  <c r="BL277" i="7" s="1"/>
  <c r="BQ277" i="7" s="1"/>
  <c r="BV277" i="7" s="1"/>
  <c r="CA277" i="7" s="1"/>
  <c r="X269" i="7"/>
  <c r="AC269" i="7" s="1"/>
  <c r="AH269" i="7" s="1"/>
  <c r="AM269" i="7" s="1"/>
  <c r="AR269" i="7" s="1"/>
  <c r="AW269" i="7" s="1"/>
  <c r="BB269" i="7" s="1"/>
  <c r="BG269" i="7" s="1"/>
  <c r="BL269" i="7" s="1"/>
  <c r="BQ269" i="7" s="1"/>
  <c r="BV269" i="7" s="1"/>
  <c r="CA269" i="7" s="1"/>
  <c r="X261" i="7"/>
  <c r="AC261" i="7" s="1"/>
  <c r="AH261" i="7" s="1"/>
  <c r="AM261" i="7" s="1"/>
  <c r="AR261" i="7" s="1"/>
  <c r="AW261" i="7" s="1"/>
  <c r="BB261" i="7" s="1"/>
  <c r="BG261" i="7" s="1"/>
  <c r="BL261" i="7" s="1"/>
  <c r="BQ261" i="7" s="1"/>
  <c r="BV261" i="7" s="1"/>
  <c r="CA261" i="7" s="1"/>
  <c r="X253" i="7"/>
  <c r="AC253" i="7" s="1"/>
  <c r="AH253" i="7" s="1"/>
  <c r="AM253" i="7" s="1"/>
  <c r="AR253" i="7" s="1"/>
  <c r="AW253" i="7" s="1"/>
  <c r="BB253" i="7" s="1"/>
  <c r="BG253" i="7" s="1"/>
  <c r="BL253" i="7" s="1"/>
  <c r="BQ253" i="7" s="1"/>
  <c r="BV253" i="7" s="1"/>
  <c r="CA253" i="7" s="1"/>
  <c r="X245" i="7"/>
  <c r="AC245" i="7" s="1"/>
  <c r="AH245" i="7" s="1"/>
  <c r="AM245" i="7" s="1"/>
  <c r="AR245" i="7" s="1"/>
  <c r="AW245" i="7" s="1"/>
  <c r="BB245" i="7" s="1"/>
  <c r="BG245" i="7" s="1"/>
  <c r="BL245" i="7" s="1"/>
  <c r="BQ245" i="7" s="1"/>
  <c r="BV245" i="7" s="1"/>
  <c r="CA245" i="7" s="1"/>
  <c r="X237" i="7"/>
  <c r="AC237" i="7" s="1"/>
  <c r="AH237" i="7" s="1"/>
  <c r="AM237" i="7" s="1"/>
  <c r="AR237" i="7" s="1"/>
  <c r="AW237" i="7" s="1"/>
  <c r="BB237" i="7" s="1"/>
  <c r="BG237" i="7" s="1"/>
  <c r="BL237" i="7" s="1"/>
  <c r="BQ237" i="7" s="1"/>
  <c r="BV237" i="7" s="1"/>
  <c r="CA237" i="7" s="1"/>
  <c r="X229" i="7"/>
  <c r="AC229" i="7" s="1"/>
  <c r="AH229" i="7" s="1"/>
  <c r="AM229" i="7" s="1"/>
  <c r="AR229" i="7" s="1"/>
  <c r="AW229" i="7" s="1"/>
  <c r="BB229" i="7" s="1"/>
  <c r="BG229" i="7" s="1"/>
  <c r="BL229" i="7" s="1"/>
  <c r="BQ229" i="7" s="1"/>
  <c r="BV229" i="7" s="1"/>
  <c r="CA229" i="7" s="1"/>
  <c r="X221" i="7"/>
  <c r="AC221" i="7" s="1"/>
  <c r="AH221" i="7" s="1"/>
  <c r="AM221" i="7" s="1"/>
  <c r="AR221" i="7" s="1"/>
  <c r="AW221" i="7" s="1"/>
  <c r="BB221" i="7" s="1"/>
  <c r="BG221" i="7" s="1"/>
  <c r="BL221" i="7" s="1"/>
  <c r="BQ221" i="7" s="1"/>
  <c r="BV221" i="7" s="1"/>
  <c r="CA221" i="7" s="1"/>
  <c r="X213" i="7"/>
  <c r="AC213" i="7" s="1"/>
  <c r="AH213" i="7" s="1"/>
  <c r="AM213" i="7" s="1"/>
  <c r="AR213" i="7" s="1"/>
  <c r="AW213" i="7" s="1"/>
  <c r="BB213" i="7" s="1"/>
  <c r="BG213" i="7" s="1"/>
  <c r="BL213" i="7" s="1"/>
  <c r="BQ213" i="7" s="1"/>
  <c r="BV213" i="7" s="1"/>
  <c r="CA213" i="7" s="1"/>
  <c r="X205" i="7"/>
  <c r="AC205" i="7" s="1"/>
  <c r="AH205" i="7" s="1"/>
  <c r="AM205" i="7" s="1"/>
  <c r="AR205" i="7" s="1"/>
  <c r="AW205" i="7" s="1"/>
  <c r="BB205" i="7" s="1"/>
  <c r="BG205" i="7" s="1"/>
  <c r="BL205" i="7" s="1"/>
  <c r="BQ205" i="7" s="1"/>
  <c r="BV205" i="7" s="1"/>
  <c r="CA205" i="7" s="1"/>
  <c r="X197" i="7"/>
  <c r="AC197" i="7" s="1"/>
  <c r="AH197" i="7" s="1"/>
  <c r="AM197" i="7" s="1"/>
  <c r="AR197" i="7" s="1"/>
  <c r="AW197" i="7" s="1"/>
  <c r="BB197" i="7" s="1"/>
  <c r="BG197" i="7" s="1"/>
  <c r="BL197" i="7" s="1"/>
  <c r="BQ197" i="7" s="1"/>
  <c r="BV197" i="7" s="1"/>
  <c r="CA197" i="7" s="1"/>
  <c r="X189" i="7"/>
  <c r="AC189" i="7" s="1"/>
  <c r="AH189" i="7" s="1"/>
  <c r="AM189" i="7" s="1"/>
  <c r="AR189" i="7" s="1"/>
  <c r="AW189" i="7" s="1"/>
  <c r="BB189" i="7" s="1"/>
  <c r="BG189" i="7" s="1"/>
  <c r="BL189" i="7" s="1"/>
  <c r="BQ189" i="7" s="1"/>
  <c r="BV189" i="7" s="1"/>
  <c r="CA189" i="7" s="1"/>
  <c r="X181" i="7"/>
  <c r="AC181" i="7" s="1"/>
  <c r="AH181" i="7" s="1"/>
  <c r="AM181" i="7" s="1"/>
  <c r="AR181" i="7" s="1"/>
  <c r="AW181" i="7" s="1"/>
  <c r="BB181" i="7" s="1"/>
  <c r="BG181" i="7" s="1"/>
  <c r="BL181" i="7" s="1"/>
  <c r="BQ181" i="7" s="1"/>
  <c r="BV181" i="7" s="1"/>
  <c r="CA181" i="7" s="1"/>
  <c r="X173" i="7"/>
  <c r="AC173" i="7" s="1"/>
  <c r="AH173" i="7" s="1"/>
  <c r="AM173" i="7" s="1"/>
  <c r="AR173" i="7" s="1"/>
  <c r="AW173" i="7" s="1"/>
  <c r="BB173" i="7" s="1"/>
  <c r="BG173" i="7" s="1"/>
  <c r="BL173" i="7" s="1"/>
  <c r="BQ173" i="7" s="1"/>
  <c r="BV173" i="7" s="1"/>
  <c r="CA173" i="7" s="1"/>
  <c r="X165" i="7"/>
  <c r="AC165" i="7" s="1"/>
  <c r="AH165" i="7" s="1"/>
  <c r="AM165" i="7" s="1"/>
  <c r="AR165" i="7" s="1"/>
  <c r="AW165" i="7" s="1"/>
  <c r="BB165" i="7" s="1"/>
  <c r="BG165" i="7" s="1"/>
  <c r="BL165" i="7" s="1"/>
  <c r="BQ165" i="7" s="1"/>
  <c r="BV165" i="7" s="1"/>
  <c r="CA165" i="7" s="1"/>
  <c r="X157" i="7"/>
  <c r="AC157" i="7" s="1"/>
  <c r="AH157" i="7" s="1"/>
  <c r="AM157" i="7" s="1"/>
  <c r="AR157" i="7" s="1"/>
  <c r="AW157" i="7" s="1"/>
  <c r="BB157" i="7" s="1"/>
  <c r="BG157" i="7" s="1"/>
  <c r="BL157" i="7" s="1"/>
  <c r="BQ157" i="7" s="1"/>
  <c r="BV157" i="7" s="1"/>
  <c r="CA157" i="7" s="1"/>
  <c r="X149" i="7"/>
  <c r="AC149" i="7" s="1"/>
  <c r="AH149" i="7" s="1"/>
  <c r="AM149" i="7" s="1"/>
  <c r="AR149" i="7" s="1"/>
  <c r="AW149" i="7" s="1"/>
  <c r="BB149" i="7" s="1"/>
  <c r="BG149" i="7" s="1"/>
  <c r="BL149" i="7" s="1"/>
  <c r="BQ149" i="7" s="1"/>
  <c r="BV149" i="7" s="1"/>
  <c r="CA149" i="7" s="1"/>
  <c r="X141" i="7"/>
  <c r="AC141" i="7" s="1"/>
  <c r="AH141" i="7" s="1"/>
  <c r="AM141" i="7" s="1"/>
  <c r="AR141" i="7" s="1"/>
  <c r="AW141" i="7" s="1"/>
  <c r="BB141" i="7" s="1"/>
  <c r="BG141" i="7" s="1"/>
  <c r="BL141" i="7" s="1"/>
  <c r="BQ141" i="7" s="1"/>
  <c r="BV141" i="7" s="1"/>
  <c r="CA141" i="7" s="1"/>
  <c r="X133" i="7"/>
  <c r="AC133" i="7" s="1"/>
  <c r="AH133" i="7" s="1"/>
  <c r="AM133" i="7" s="1"/>
  <c r="AR133" i="7" s="1"/>
  <c r="AW133" i="7" s="1"/>
  <c r="BB133" i="7" s="1"/>
  <c r="BG133" i="7" s="1"/>
  <c r="BL133" i="7" s="1"/>
  <c r="BQ133" i="7" s="1"/>
  <c r="BV133" i="7" s="1"/>
  <c r="CA133" i="7" s="1"/>
  <c r="X125" i="7"/>
  <c r="AC125" i="7" s="1"/>
  <c r="AH125" i="7" s="1"/>
  <c r="AM125" i="7" s="1"/>
  <c r="AR125" i="7" s="1"/>
  <c r="AW125" i="7" s="1"/>
  <c r="BB125" i="7" s="1"/>
  <c r="BG125" i="7" s="1"/>
  <c r="BL125" i="7" s="1"/>
  <c r="BQ125" i="7" s="1"/>
  <c r="BV125" i="7" s="1"/>
  <c r="CA125" i="7" s="1"/>
  <c r="X117" i="7"/>
  <c r="AC117" i="7" s="1"/>
  <c r="AH117" i="7" s="1"/>
  <c r="AM117" i="7" s="1"/>
  <c r="AR117" i="7" s="1"/>
  <c r="AW117" i="7" s="1"/>
  <c r="BB117" i="7" s="1"/>
  <c r="BG117" i="7" s="1"/>
  <c r="BL117" i="7" s="1"/>
  <c r="BQ117" i="7" s="1"/>
  <c r="BV117" i="7" s="1"/>
  <c r="CA117" i="7" s="1"/>
  <c r="X109" i="7"/>
  <c r="AC109" i="7" s="1"/>
  <c r="AH109" i="7" s="1"/>
  <c r="AM109" i="7" s="1"/>
  <c r="AR109" i="7" s="1"/>
  <c r="AW109" i="7" s="1"/>
  <c r="BB109" i="7" s="1"/>
  <c r="BG109" i="7" s="1"/>
  <c r="BL109" i="7" s="1"/>
  <c r="BQ109" i="7" s="1"/>
  <c r="BV109" i="7" s="1"/>
  <c r="CA109" i="7" s="1"/>
  <c r="X101" i="7"/>
  <c r="AC101" i="7" s="1"/>
  <c r="AH101" i="7" s="1"/>
  <c r="AM101" i="7" s="1"/>
  <c r="AR101" i="7" s="1"/>
  <c r="AW101" i="7" s="1"/>
  <c r="BB101" i="7" s="1"/>
  <c r="BG101" i="7" s="1"/>
  <c r="BL101" i="7" s="1"/>
  <c r="BQ101" i="7" s="1"/>
  <c r="BV101" i="7" s="1"/>
  <c r="CA101" i="7" s="1"/>
  <c r="X93" i="7"/>
  <c r="AC93" i="7" s="1"/>
  <c r="AH93" i="7" s="1"/>
  <c r="AM93" i="7" s="1"/>
  <c r="AR93" i="7" s="1"/>
  <c r="AW93" i="7" s="1"/>
  <c r="BB93" i="7" s="1"/>
  <c r="BG93" i="7" s="1"/>
  <c r="BL93" i="7" s="1"/>
  <c r="BQ93" i="7" s="1"/>
  <c r="BV93" i="7" s="1"/>
  <c r="CA93" i="7" s="1"/>
  <c r="X85" i="7"/>
  <c r="AC85" i="7" s="1"/>
  <c r="AH85" i="7" s="1"/>
  <c r="AM85" i="7" s="1"/>
  <c r="AR85" i="7" s="1"/>
  <c r="AW85" i="7" s="1"/>
  <c r="BB85" i="7" s="1"/>
  <c r="BG85" i="7" s="1"/>
  <c r="BL85" i="7" s="1"/>
  <c r="BQ85" i="7" s="1"/>
  <c r="BV85" i="7" s="1"/>
  <c r="CA85" i="7" s="1"/>
  <c r="X77" i="7"/>
  <c r="AC77" i="7" s="1"/>
  <c r="AH77" i="7" s="1"/>
  <c r="AM77" i="7" s="1"/>
  <c r="AR77" i="7" s="1"/>
  <c r="AW77" i="7" s="1"/>
  <c r="BB77" i="7" s="1"/>
  <c r="BG77" i="7" s="1"/>
  <c r="BL77" i="7" s="1"/>
  <c r="BQ77" i="7" s="1"/>
  <c r="BV77" i="7" s="1"/>
  <c r="CA77" i="7" s="1"/>
  <c r="X69" i="7"/>
  <c r="AC69" i="7" s="1"/>
  <c r="AH69" i="7" s="1"/>
  <c r="AM69" i="7" s="1"/>
  <c r="AR69" i="7" s="1"/>
  <c r="AW69" i="7" s="1"/>
  <c r="BB69" i="7" s="1"/>
  <c r="BG69" i="7" s="1"/>
  <c r="BL69" i="7" s="1"/>
  <c r="BQ69" i="7" s="1"/>
  <c r="BV69" i="7" s="1"/>
  <c r="CA69" i="7" s="1"/>
  <c r="X61" i="7"/>
  <c r="AC61" i="7" s="1"/>
  <c r="AH61" i="7" s="1"/>
  <c r="AM61" i="7" s="1"/>
  <c r="AR61" i="7" s="1"/>
  <c r="AW61" i="7" s="1"/>
  <c r="BB61" i="7" s="1"/>
  <c r="BG61" i="7" s="1"/>
  <c r="BL61" i="7" s="1"/>
  <c r="BQ61" i="7" s="1"/>
  <c r="BV61" i="7" s="1"/>
  <c r="CA61" i="7" s="1"/>
  <c r="X53" i="7"/>
  <c r="AC53" i="7" s="1"/>
  <c r="AH53" i="7" s="1"/>
  <c r="AM53" i="7" s="1"/>
  <c r="AR53" i="7" s="1"/>
  <c r="AW53" i="7" s="1"/>
  <c r="BB53" i="7" s="1"/>
  <c r="BG53" i="7" s="1"/>
  <c r="BL53" i="7" s="1"/>
  <c r="BQ53" i="7" s="1"/>
  <c r="BV53" i="7" s="1"/>
  <c r="CA53" i="7" s="1"/>
  <c r="X45" i="7"/>
  <c r="AC45" i="7" s="1"/>
  <c r="AH45" i="7" s="1"/>
  <c r="AM45" i="7" s="1"/>
  <c r="AR45" i="7" s="1"/>
  <c r="AW45" i="7" s="1"/>
  <c r="BB45" i="7" s="1"/>
  <c r="BG45" i="7" s="1"/>
  <c r="BL45" i="7" s="1"/>
  <c r="BQ45" i="7" s="1"/>
  <c r="BV45" i="7" s="1"/>
  <c r="CA45" i="7" s="1"/>
  <c r="X37" i="7"/>
  <c r="AC37" i="7" s="1"/>
  <c r="AH37" i="7" s="1"/>
  <c r="AM37" i="7" s="1"/>
  <c r="AR37" i="7" s="1"/>
  <c r="AW37" i="7" s="1"/>
  <c r="BB37" i="7" s="1"/>
  <c r="BG37" i="7" s="1"/>
  <c r="BL37" i="7" s="1"/>
  <c r="BQ37" i="7" s="1"/>
  <c r="BV37" i="7" s="1"/>
  <c r="CA37" i="7" s="1"/>
  <c r="X29" i="7"/>
  <c r="AC29" i="7" s="1"/>
  <c r="AH29" i="7" s="1"/>
  <c r="AM29" i="7" s="1"/>
  <c r="AR29" i="7" s="1"/>
  <c r="AW29" i="7" s="1"/>
  <c r="BB29" i="7" s="1"/>
  <c r="BG29" i="7" s="1"/>
  <c r="BL29" i="7" s="1"/>
  <c r="BQ29" i="7" s="1"/>
  <c r="BV29" i="7" s="1"/>
  <c r="CA29" i="7" s="1"/>
  <c r="X20" i="7"/>
  <c r="AC20" i="7" s="1"/>
  <c r="AH20" i="7" s="1"/>
  <c r="AM20" i="7" s="1"/>
  <c r="AR20" i="7" s="1"/>
  <c r="AW20" i="7" s="1"/>
  <c r="BB20" i="7" s="1"/>
  <c r="BG20" i="7" s="1"/>
  <c r="BL20" i="7" s="1"/>
  <c r="BQ20" i="7" s="1"/>
  <c r="BV20" i="7" s="1"/>
  <c r="CA20" i="7" s="1"/>
  <c r="X26" i="7"/>
  <c r="AC26" i="7" s="1"/>
  <c r="AH26" i="7" s="1"/>
  <c r="AM26" i="7" s="1"/>
  <c r="AR26" i="7" s="1"/>
  <c r="AW26" i="7" s="1"/>
  <c r="BB26" i="7" s="1"/>
  <c r="BG26" i="7" s="1"/>
  <c r="BL26" i="7" s="1"/>
  <c r="BQ26" i="7" s="1"/>
  <c r="BV26" i="7" s="1"/>
  <c r="CA26" i="7" s="1"/>
  <c r="X292" i="7"/>
  <c r="AC292" i="7" s="1"/>
  <c r="AH292" i="7" s="1"/>
  <c r="AM292" i="7" s="1"/>
  <c r="AR292" i="7" s="1"/>
  <c r="AW292" i="7" s="1"/>
  <c r="BB292" i="7" s="1"/>
  <c r="BG292" i="7" s="1"/>
  <c r="BL292" i="7" s="1"/>
  <c r="BQ292" i="7" s="1"/>
  <c r="BV292" i="7" s="1"/>
  <c r="CA292" i="7" s="1"/>
  <c r="X276" i="7"/>
  <c r="AC276" i="7" s="1"/>
  <c r="AH276" i="7" s="1"/>
  <c r="AM276" i="7" s="1"/>
  <c r="AR276" i="7" s="1"/>
  <c r="AW276" i="7" s="1"/>
  <c r="BB276" i="7" s="1"/>
  <c r="BG276" i="7" s="1"/>
  <c r="BL276" i="7" s="1"/>
  <c r="BQ276" i="7" s="1"/>
  <c r="BV276" i="7" s="1"/>
  <c r="CA276" i="7" s="1"/>
  <c r="X260" i="7"/>
  <c r="AC260" i="7" s="1"/>
  <c r="AH260" i="7" s="1"/>
  <c r="AM260" i="7" s="1"/>
  <c r="AR260" i="7" s="1"/>
  <c r="AW260" i="7" s="1"/>
  <c r="BB260" i="7" s="1"/>
  <c r="BG260" i="7" s="1"/>
  <c r="BL260" i="7" s="1"/>
  <c r="BQ260" i="7" s="1"/>
  <c r="BV260" i="7" s="1"/>
  <c r="CA260" i="7" s="1"/>
  <c r="X244" i="7"/>
  <c r="AC244" i="7" s="1"/>
  <c r="AH244" i="7" s="1"/>
  <c r="AM244" i="7" s="1"/>
  <c r="AR244" i="7" s="1"/>
  <c r="AW244" i="7" s="1"/>
  <c r="BB244" i="7" s="1"/>
  <c r="BG244" i="7" s="1"/>
  <c r="BL244" i="7" s="1"/>
  <c r="BQ244" i="7" s="1"/>
  <c r="BV244" i="7" s="1"/>
  <c r="CA244" i="7" s="1"/>
  <c r="X188" i="7"/>
  <c r="AC188" i="7" s="1"/>
  <c r="AH188" i="7" s="1"/>
  <c r="AM188" i="7" s="1"/>
  <c r="AR188" i="7" s="1"/>
  <c r="AW188" i="7" s="1"/>
  <c r="BB188" i="7" s="1"/>
  <c r="BG188" i="7" s="1"/>
  <c r="BL188" i="7" s="1"/>
  <c r="BQ188" i="7" s="1"/>
  <c r="BV188" i="7" s="1"/>
  <c r="CA188" i="7" s="1"/>
  <c r="AJ9" i="7"/>
  <c r="AO9" i="7"/>
  <c r="BB126" i="26"/>
  <c r="BC126" i="26"/>
  <c r="BC127" i="26"/>
  <c r="BC132" i="26"/>
  <c r="BC122" i="26"/>
  <c r="BB124" i="26"/>
  <c r="AT9" i="7"/>
  <c r="BB12" i="26"/>
  <c r="BC43" i="26"/>
  <c r="BC47" i="26"/>
  <c r="BB50" i="26"/>
  <c r="BC51" i="26"/>
  <c r="BC57" i="26"/>
  <c r="BB69" i="26"/>
  <c r="BB62" i="26"/>
  <c r="BC6" i="26"/>
  <c r="BC101" i="26"/>
  <c r="BB6" i="26"/>
  <c r="BC80" i="26"/>
  <c r="BC7" i="26"/>
  <c r="BC113" i="26"/>
  <c r="BJ9" i="7"/>
  <c r="BC62" i="26"/>
  <c r="BC79" i="26"/>
  <c r="BC11" i="26"/>
  <c r="BB122" i="26"/>
  <c r="BC15" i="26"/>
  <c r="BC85" i="26"/>
  <c r="BC25" i="26"/>
  <c r="BB86" i="26"/>
  <c r="BB15" i="26"/>
  <c r="BB27" i="26"/>
  <c r="BC87" i="26"/>
  <c r="BB42" i="26"/>
  <c r="BC91" i="26"/>
  <c r="BT9" i="7"/>
  <c r="BM9" i="7"/>
  <c r="BL9" i="7"/>
  <c r="BC44" i="26"/>
  <c r="BB90" i="26"/>
  <c r="BC46" i="26"/>
  <c r="BC90" i="26"/>
  <c r="BV9" i="7"/>
  <c r="BB132" i="26"/>
  <c r="BB28" i="26"/>
  <c r="BC63" i="26"/>
  <c r="BC30" i="26"/>
  <c r="BC102" i="26"/>
  <c r="BC32" i="26"/>
  <c r="BB67" i="26"/>
  <c r="BC103" i="26"/>
  <c r="BC31" i="26"/>
  <c r="BC66" i="26"/>
  <c r="BB103" i="26"/>
  <c r="BB41" i="26"/>
  <c r="BC67" i="26"/>
  <c r="AK9" i="7"/>
  <c r="BB11" i="26"/>
  <c r="BB34" i="26"/>
  <c r="BB66" i="26"/>
  <c r="BB138" i="26"/>
  <c r="BB99" i="26"/>
  <c r="BB57" i="26"/>
  <c r="BB40" i="26"/>
  <c r="BB22" i="26"/>
  <c r="BB5" i="26"/>
  <c r="BB96" i="26"/>
  <c r="BB56" i="26"/>
  <c r="BB75" i="26"/>
  <c r="AY2" i="26"/>
  <c r="BB2" i="26" s="1"/>
  <c r="BB133" i="26"/>
  <c r="BB114" i="26"/>
  <c r="BB92" i="26"/>
  <c r="BB52" i="26"/>
  <c r="BB136" i="26"/>
  <c r="BB55" i="26"/>
  <c r="BB16" i="26"/>
  <c r="BB109" i="26"/>
  <c r="BC121" i="26"/>
  <c r="BC78" i="26"/>
  <c r="BC22" i="26"/>
  <c r="BC5" i="26"/>
  <c r="BC137" i="26"/>
  <c r="BC117" i="26"/>
  <c r="BC98" i="26"/>
  <c r="BC77" i="26"/>
  <c r="BC56" i="26"/>
  <c r="BC37" i="26"/>
  <c r="BC136" i="26"/>
  <c r="BC115" i="26"/>
  <c r="BC75" i="26"/>
  <c r="BC36" i="26"/>
  <c r="AZ2" i="26"/>
  <c r="BC2" i="26" s="1"/>
  <c r="BC74" i="26"/>
  <c r="BC34" i="26"/>
  <c r="BC16" i="26"/>
  <c r="BC21" i="26"/>
  <c r="BC92" i="26"/>
  <c r="BC35" i="26"/>
  <c r="BC18" i="26"/>
  <c r="BC114" i="26"/>
  <c r="BC24" i="26"/>
  <c r="BB47" i="26"/>
  <c r="BB80" i="26"/>
  <c r="BB110" i="26"/>
  <c r="Z9" i="7"/>
  <c r="AA9" i="7"/>
  <c r="BB25" i="26"/>
  <c r="BB112" i="26"/>
  <c r="BW9" i="7"/>
  <c r="BB139" i="26"/>
  <c r="BB137" i="26"/>
  <c r="BB128" i="26"/>
  <c r="BB100" i="26"/>
  <c r="BB91" i="26"/>
  <c r="BB63" i="26"/>
  <c r="BB125" i="26"/>
  <c r="BB97" i="26"/>
  <c r="BB78" i="26"/>
  <c r="BB68" i="26"/>
  <c r="BB120" i="26"/>
  <c r="BB98" i="26"/>
  <c r="BB76" i="26"/>
  <c r="BB54" i="26"/>
  <c r="BB44" i="26"/>
  <c r="BB35" i="26"/>
  <c r="BB26" i="26"/>
  <c r="BB8" i="26"/>
  <c r="AE9" i="7"/>
  <c r="AD9" i="7"/>
  <c r="AC9" i="7"/>
  <c r="BC139" i="26"/>
  <c r="BC119" i="26"/>
  <c r="BC109" i="26"/>
  <c r="BC81" i="26"/>
  <c r="BC72" i="26"/>
  <c r="BC53" i="26"/>
  <c r="BC45" i="26"/>
  <c r="BC133" i="26"/>
  <c r="BC116" i="26"/>
  <c r="BC106" i="26"/>
  <c r="BC88" i="26"/>
  <c r="BC60" i="26"/>
  <c r="BC50" i="26"/>
  <c r="BC130" i="26"/>
  <c r="BC108" i="26"/>
  <c r="BC86" i="26"/>
  <c r="BC64" i="26"/>
  <c r="BC17" i="26"/>
  <c r="BC9" i="26"/>
  <c r="BB20" i="26"/>
  <c r="BB29" i="26"/>
  <c r="BC38" i="26"/>
  <c r="BC48" i="26"/>
  <c r="BC59" i="26"/>
  <c r="BC71" i="26"/>
  <c r="BB84" i="26"/>
  <c r="BC94" i="26"/>
  <c r="BB106" i="26"/>
  <c r="BC118" i="26"/>
  <c r="BC129" i="26"/>
  <c r="CA9" i="7"/>
  <c r="BD9" i="7"/>
  <c r="BE9" i="7"/>
  <c r="BC8" i="26"/>
  <c r="BC19" i="26"/>
  <c r="BC28" i="26"/>
  <c r="BB38" i="26"/>
  <c r="BB48" i="26"/>
  <c r="BC58" i="26"/>
  <c r="BC70" i="26"/>
  <c r="BB83" i="26"/>
  <c r="BC93" i="26"/>
  <c r="BC105" i="26"/>
  <c r="BB118" i="26"/>
  <c r="BC128" i="26"/>
  <c r="BG9" i="7"/>
  <c r="BH9" i="7"/>
  <c r="BB10" i="26"/>
  <c r="BC20" i="26"/>
  <c r="BC29" i="26"/>
  <c r="BB39" i="26"/>
  <c r="BB49" i="26"/>
  <c r="BB61" i="26"/>
  <c r="BB72" i="26"/>
  <c r="BC84" i="26"/>
  <c r="BB95" i="26"/>
  <c r="BC107" i="26"/>
  <c r="BB119" i="26"/>
  <c r="BB131" i="26"/>
  <c r="BC10" i="26"/>
  <c r="BB21" i="26"/>
  <c r="BB30" i="26"/>
  <c r="BC39" i="26"/>
  <c r="BC49" i="26"/>
  <c r="BC61" i="26"/>
  <c r="BC73" i="26"/>
  <c r="BB85" i="26"/>
  <c r="BC95" i="26"/>
  <c r="BB108" i="26"/>
  <c r="BC120" i="26"/>
  <c r="BC131" i="26"/>
  <c r="BY9" i="7"/>
  <c r="AS9" i="7"/>
  <c r="AR9" i="7"/>
  <c r="BC3" i="26"/>
  <c r="BB14" i="26"/>
  <c r="BC23" i="26"/>
  <c r="BB33" i="26"/>
  <c r="BC42" i="26"/>
  <c r="BC52" i="26"/>
  <c r="BB64" i="26"/>
  <c r="BC76" i="26"/>
  <c r="BB89" i="26"/>
  <c r="BC99" i="26"/>
  <c r="BC112" i="26"/>
  <c r="BB123" i="26"/>
  <c r="BC134" i="26"/>
  <c r="BC4" i="26"/>
  <c r="BC14" i="26"/>
  <c r="BB24" i="26"/>
  <c r="BC33" i="26"/>
  <c r="BB43" i="26"/>
  <c r="BB53" i="26"/>
  <c r="BC65" i="26"/>
  <c r="BB77" i="26"/>
  <c r="BC89" i="26"/>
  <c r="BC100" i="26"/>
  <c r="BB113" i="26"/>
  <c r="BC123" i="26"/>
  <c r="BC135" i="26"/>
  <c r="AW9" i="7"/>
  <c r="AX9" i="7"/>
  <c r="AY9" i="7"/>
  <c r="AZ9" i="7"/>
  <c r="AM9" i="7"/>
  <c r="AN9" i="7"/>
  <c r="BB9" i="7"/>
  <c r="BC9" i="7"/>
  <c r="BB58" i="26"/>
  <c r="BB70" i="26"/>
  <c r="BB81" i="26"/>
  <c r="BB104" i="26"/>
  <c r="AI9" i="7"/>
  <c r="X9" i="7"/>
  <c r="Y9" i="7"/>
  <c r="BB135" i="26"/>
  <c r="BB121" i="26"/>
  <c r="BB107" i="26"/>
  <c r="BB93" i="26"/>
  <c r="BB79" i="26"/>
  <c r="BB65" i="26"/>
  <c r="BB51" i="26"/>
  <c r="BB37" i="26"/>
  <c r="BB23" i="26"/>
  <c r="BB9" i="26"/>
  <c r="BB130" i="26"/>
  <c r="BB116" i="26"/>
  <c r="BB102" i="26"/>
  <c r="BB88" i="26"/>
  <c r="BB74" i="26"/>
  <c r="BB60" i="26"/>
  <c r="BB46" i="26"/>
  <c r="BB32" i="26"/>
  <c r="BB18" i="26"/>
  <c r="BB4" i="26"/>
  <c r="BB129" i="26"/>
  <c r="BB115" i="26"/>
  <c r="BB101" i="26"/>
  <c r="BB87" i="26"/>
  <c r="BB73" i="26"/>
  <c r="BB59" i="26"/>
  <c r="BB45" i="26"/>
  <c r="BB31" i="26"/>
  <c r="BB17" i="26"/>
  <c r="BB3" i="26"/>
  <c r="BQ9" i="7"/>
  <c r="BR9" i="7"/>
  <c r="BO9" i="7"/>
  <c r="BB7" i="26"/>
  <c r="BB13" i="26"/>
  <c r="BB19" i="26"/>
  <c r="BB36" i="26"/>
  <c r="BB71" i="26"/>
  <c r="BB82" i="26"/>
  <c r="BB94" i="26"/>
  <c r="BB105" i="26"/>
  <c r="BB111" i="26"/>
  <c r="BB117" i="26"/>
  <c r="BB134" i="26"/>
  <c r="BC12" i="26"/>
  <c r="BC26" i="26"/>
  <c r="BC40" i="26"/>
  <c r="BC54" i="26"/>
  <c r="BC68" i="26"/>
  <c r="BC82" i="26"/>
  <c r="BC96" i="26"/>
  <c r="BC110" i="26"/>
  <c r="BC124" i="26"/>
  <c r="BC138" i="26"/>
  <c r="BC13" i="26"/>
  <c r="BC27" i="26"/>
  <c r="BC41" i="26"/>
  <c r="BC55" i="26"/>
  <c r="BC69" i="26"/>
  <c r="BC83" i="26"/>
  <c r="BC97" i="26"/>
  <c r="BC111" i="26"/>
  <c r="BC125" i="26"/>
  <c r="BA2" i="26" l="1" a="1"/>
  <c r="BD138" i="26" s="1"/>
  <c r="BD10" i="26" l="1"/>
  <c r="BD16" i="26"/>
  <c r="BD15" i="26"/>
  <c r="BD108" i="26"/>
  <c r="BD110" i="26"/>
  <c r="BD65" i="26"/>
  <c r="BD127" i="26"/>
  <c r="BD37" i="26"/>
  <c r="BD60" i="26"/>
  <c r="BD35" i="26"/>
  <c r="BD94" i="26"/>
  <c r="BD126" i="26"/>
  <c r="BD100" i="26"/>
  <c r="BD49" i="26"/>
  <c r="BD71" i="26"/>
  <c r="BD137" i="26"/>
  <c r="BD112" i="26"/>
  <c r="BD63" i="26"/>
  <c r="BD82" i="26"/>
  <c r="BD80" i="26"/>
  <c r="BD123" i="26"/>
  <c r="BD77" i="26"/>
  <c r="BD19" i="26"/>
  <c r="BD103" i="26"/>
  <c r="BD95" i="26"/>
  <c r="BD91" i="26"/>
  <c r="BD42" i="26"/>
  <c r="BD11" i="26"/>
  <c r="BD101" i="26"/>
  <c r="BD92" i="26"/>
  <c r="BA2" i="26"/>
  <c r="BD2" i="26" s="1"/>
  <c r="BD17" i="26"/>
  <c r="BD107" i="26"/>
  <c r="BD106" i="26"/>
  <c r="BD93" i="26"/>
  <c r="BD38" i="26"/>
  <c r="BD61" i="26"/>
  <c r="BD131" i="26"/>
  <c r="BD120" i="26"/>
  <c r="BD102" i="26"/>
  <c r="BD59" i="26"/>
  <c r="BD121" i="26"/>
  <c r="BD118" i="26"/>
  <c r="BD76" i="26"/>
  <c r="BD132" i="26"/>
  <c r="BD124" i="26"/>
  <c r="BD134" i="26"/>
  <c r="BD104" i="26"/>
  <c r="BD116" i="26"/>
  <c r="BD96" i="26"/>
  <c r="BD43" i="26"/>
  <c r="BD87" i="26"/>
  <c r="BD13" i="26"/>
  <c r="BD135" i="26"/>
  <c r="BD130" i="26"/>
  <c r="BD66" i="26"/>
  <c r="BD105" i="26"/>
  <c r="BD27" i="26"/>
  <c r="BD88" i="26"/>
  <c r="BD128" i="26"/>
  <c r="BD28" i="26"/>
  <c r="BD23" i="26"/>
  <c r="BD113" i="26"/>
  <c r="BD89" i="26"/>
  <c r="BD67" i="26"/>
  <c r="BD5" i="26"/>
  <c r="BD119" i="26"/>
  <c r="BD41" i="26"/>
  <c r="BD14" i="26"/>
  <c r="BD54" i="26"/>
  <c r="BD39" i="26"/>
  <c r="BD34" i="26"/>
  <c r="BD136" i="26"/>
  <c r="BD3" i="26"/>
  <c r="BD57" i="26"/>
  <c r="BD24" i="26"/>
  <c r="BD133" i="26"/>
  <c r="BD55" i="26"/>
  <c r="BD30" i="26"/>
  <c r="BD129" i="26"/>
  <c r="BD45" i="26"/>
  <c r="BD40" i="26"/>
  <c r="BD56" i="26"/>
  <c r="BD9" i="26"/>
  <c r="BD6" i="26"/>
  <c r="BD47" i="26"/>
  <c r="BD8" i="26"/>
  <c r="BD69" i="26"/>
  <c r="BD53" i="26"/>
  <c r="BD4" i="26"/>
  <c r="BD51" i="26"/>
  <c r="BD46" i="26"/>
  <c r="BD33" i="26"/>
  <c r="BD20" i="26"/>
  <c r="BD12" i="26"/>
  <c r="BD99" i="26"/>
  <c r="BD22" i="26"/>
  <c r="BD83" i="26"/>
  <c r="BD31" i="26"/>
  <c r="BD90" i="26"/>
  <c r="BD62" i="26"/>
  <c r="BD86" i="26"/>
  <c r="BD85" i="26"/>
  <c r="BD26" i="26"/>
  <c r="BD18" i="26"/>
  <c r="BD122" i="26"/>
  <c r="BD36" i="26"/>
  <c r="BD97" i="26"/>
  <c r="BD48" i="26"/>
  <c r="BD44" i="26"/>
  <c r="BD68" i="26"/>
  <c r="BD98" i="26"/>
  <c r="BD29" i="26"/>
  <c r="BD32" i="26"/>
  <c r="BD58" i="26"/>
  <c r="BD139" i="26"/>
  <c r="BD50" i="26"/>
  <c r="BD111" i="26"/>
  <c r="BD117" i="26"/>
  <c r="BD73" i="26"/>
  <c r="BD74" i="26"/>
  <c r="BD109" i="26"/>
  <c r="BD52" i="26"/>
  <c r="BD72" i="26"/>
  <c r="BD70" i="26"/>
  <c r="BD7" i="26"/>
  <c r="BD64" i="26"/>
  <c r="BD125" i="26"/>
  <c r="BD25" i="26"/>
  <c r="BD79" i="26"/>
  <c r="BD114" i="26"/>
  <c r="BD115" i="26"/>
  <c r="BD75" i="26"/>
  <c r="BD84" i="26"/>
  <c r="BD81" i="26"/>
  <c r="BD21" i="26"/>
  <c r="BD78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57A115-9E5C-4830-B8E3-25A6E7C5603E}" name="Query - KPI_GRAPH" description="Connection to the 'KPI_GRAPH' query in the workbook." type="100" refreshedVersion="8" minRefreshableVersion="5">
    <extLst>
      <ext xmlns:x15="http://schemas.microsoft.com/office/spreadsheetml/2010/11/main" uri="{DE250136-89BD-433C-8126-D09CA5730AF9}">
        <x15:connection id="1baace81-9381-4ad9-b875-f374c5cd047e">
          <x15:oledbPr connection="Provider=Microsoft.Mashup.OleDb.1;Data Source=$Workbook$;Location=KPI_GRAPH;Extended Properties=&quot;&quot;">
            <x15:dbTables>
              <x15:dbTable name="KPI_GRAPH"/>
            </x15:dbTables>
          </x15:oledbPr>
        </x15:connection>
      </ext>
    </extLst>
  </connection>
  <connection id="2" xr16:uid="{B01E5591-8102-42E7-B80C-221DADD9E16D}" keepAlive="1" name="Query - PRISM_UPLOAD_CONTRACT" description="Connection to the 'PRISM_UPLOAD_CONTRACT' query in the workbook." type="5" refreshedVersion="8" background="1" saveData="1">
    <dbPr connection="Provider=Microsoft.Mashup.OleDb.1;Data Source=$Workbook$;Location=PRISM_UPLOAD_CONTRACT;Extended Properties=&quot;&quot;" command="SELECT * FROM [PRISM_UPLOAD_CONTRACT]"/>
  </connection>
  <connection id="3" xr16:uid="{E6F21A3F-5377-4ECC-8D8F-FF51A6A4E91E}" keepAlive="1" name="Query - PRISM_UPLOAD_DATES" description="Connection to the 'PRISM_UPLOAD_DATES' query in the workbook." type="5" refreshedVersion="8" background="1" saveData="1">
    <dbPr connection="Provider=Microsoft.Mashup.OleDb.1;Data Source=$Workbook$;Location=PRISM_UPLOAD_DATES;Extended Properties=&quot;&quot;" command="SELECT * FROM [PRISM_UPLOAD_DATES]"/>
  </connection>
  <connection id="4" xr16:uid="{4BDF89A3-DBC5-4C26-BDB2-B54A58808588}" keepAlive="1" name="Query - PRISM_UPLOAD_EVENTS" description="Connection to the 'PRISM_UPLOAD_EVENTS' query in the workbook." type="5" refreshedVersion="8" background="1" saveData="1">
    <dbPr connection="Provider=Microsoft.Mashup.OleDb.1;Data Source=$Workbook$;Location=PRISM_UPLOAD_EVENTS;Extended Properties=&quot;&quot;" command="SELECT * FROM [PRISM_UPLOAD_EVENTS]"/>
  </connection>
  <connection id="5" xr16:uid="{AAEF2E8D-8A16-4734-9445-25C6D609DAEA}" keepAlive="1" name="Query - tblColumnName" description="Connection to the 'tblColumnName' query in the workbook." type="5" refreshedVersion="0" background="1" saveData="1">
    <dbPr connection="Provider=Microsoft.Mashup.OleDb.1;Data Source=$Workbook$;Location=tblColumnName;Extended Properties=&quot;&quot;" command="SELECT * FROM [tblColumnName]"/>
  </connection>
  <connection id="6" xr16:uid="{CD428A31-5C84-4AA5-94F4-D14E9900E6CE}" keepAlive="1" name="Query - tblProcRegister" description="Connection to the 'tblProcRegister' query in the workbook." type="5" refreshedVersion="8" background="1" saveData="1">
    <dbPr connection="Provider=Microsoft.Mashup.OleDb.1;Data Source=$Workbook$;Location=tblProcRegister;Extended Properties=&quot;&quot;" command="SELECT * FROM [tblProcRegister]"/>
  </connection>
  <connection id="7" xr16:uid="{C2B53A88-8F5F-4630-A6E3-396C9B827E51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<sst xmlns="http://schemas.openxmlformats.org/spreadsheetml/2006/main" count="2343" uniqueCount="432">
  <si>
    <t>001</t>
  </si>
  <si>
    <t>002</t>
  </si>
  <si>
    <t>003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</si>
  <si>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</si>
  <si>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</si>
  <si>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</si>
  <si>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</si>
  <si>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</si>
  <si>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</si>
  <si>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</si>
  <si>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</si>
  <si>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</si>
  <si>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</si>
  <si>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</si>
  <si>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</si>
  <si>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</si>
  <si>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Type</t>
  </si>
  <si>
    <t>Package Attributes</t>
  </si>
  <si>
    <t>Package ID</t>
  </si>
  <si>
    <t xml:space="preserve">Package Description </t>
  </si>
  <si>
    <t>Consultant</t>
  </si>
  <si>
    <t xml:space="preserve">Description </t>
  </si>
  <si>
    <t>GROUP_ID_H</t>
  </si>
  <si>
    <t>GROUP_ID_J</t>
  </si>
  <si>
    <t>GROUP_ID_F</t>
  </si>
  <si>
    <t>ID</t>
  </si>
  <si>
    <t>Description</t>
  </si>
  <si>
    <t>Package 1</t>
  </si>
  <si>
    <t>Package 2</t>
  </si>
  <si>
    <t>Package 3</t>
  </si>
  <si>
    <t>Package 5</t>
  </si>
  <si>
    <t>GROUP_ID_I</t>
  </si>
  <si>
    <t>Discipline</t>
  </si>
  <si>
    <t>ID|Desc</t>
  </si>
  <si>
    <t>GROUP_ID_F.1</t>
  </si>
  <si>
    <t>GROUP_ID_H.1</t>
  </si>
  <si>
    <t>GROUP_ID_I.1</t>
  </si>
  <si>
    <t>GROUP_ID_J.1</t>
  </si>
  <si>
    <t>Package Description</t>
  </si>
  <si>
    <t>PRISM Project ID</t>
  </si>
  <si>
    <t>Actual</t>
  </si>
  <si>
    <t>Notes</t>
  </si>
  <si>
    <t>COST</t>
  </si>
  <si>
    <t>GROUP_ID_G</t>
  </si>
  <si>
    <t>GROUP_ID_G.1</t>
  </si>
  <si>
    <t>Procurement Packages</t>
  </si>
  <si>
    <t>Package Manager</t>
  </si>
  <si>
    <t>Procurement Manager</t>
  </si>
  <si>
    <t>Commercial Manager</t>
  </si>
  <si>
    <t>Contract Type</t>
  </si>
  <si>
    <t>Contract Category</t>
  </si>
  <si>
    <t>Package 6</t>
  </si>
  <si>
    <t>Package 7</t>
  </si>
  <si>
    <t>Package 8</t>
  </si>
  <si>
    <t>Package 9</t>
  </si>
  <si>
    <t>Package 10</t>
  </si>
  <si>
    <t>Package 11</t>
  </si>
  <si>
    <t>Package 12</t>
  </si>
  <si>
    <t>Package 13</t>
  </si>
  <si>
    <t>Package 14</t>
  </si>
  <si>
    <t>Package 15</t>
  </si>
  <si>
    <t>Package 16</t>
  </si>
  <si>
    <t>Package 17</t>
  </si>
  <si>
    <t>GROUP_ID_C</t>
  </si>
  <si>
    <t>GROUP_ID_B</t>
  </si>
  <si>
    <t>Area</t>
  </si>
  <si>
    <t>PROCUREMENT PACKAGE REGISTER</t>
  </si>
  <si>
    <t>Project Name</t>
  </si>
  <si>
    <t>A</t>
  </si>
  <si>
    <t>General</t>
  </si>
  <si>
    <t>B</t>
  </si>
  <si>
    <t>Piles</t>
  </si>
  <si>
    <t>C</t>
  </si>
  <si>
    <t>In Situ Concrete</t>
  </si>
  <si>
    <t>D</t>
  </si>
  <si>
    <t>Demolition and Site Clearance</t>
  </si>
  <si>
    <t>E</t>
  </si>
  <si>
    <t>Earthworks</t>
  </si>
  <si>
    <t>F</t>
  </si>
  <si>
    <t>Finishes &amp; FFE</t>
  </si>
  <si>
    <t>G</t>
  </si>
  <si>
    <t>Ground Investigation and Geotechnical</t>
  </si>
  <si>
    <t>H</t>
  </si>
  <si>
    <t>Precast Concrete</t>
  </si>
  <si>
    <t>J</t>
  </si>
  <si>
    <t>Fencing</t>
  </si>
  <si>
    <t>K</t>
  </si>
  <si>
    <t>Waterproofing</t>
  </si>
  <si>
    <t>L</t>
  </si>
  <si>
    <t>Electrical &amp; Communication</t>
  </si>
  <si>
    <t>M</t>
  </si>
  <si>
    <t>Mechanical</t>
  </si>
  <si>
    <t>N</t>
  </si>
  <si>
    <t>Tunnels</t>
  </si>
  <si>
    <t>P</t>
  </si>
  <si>
    <t>Pipework</t>
  </si>
  <si>
    <t>Q</t>
  </si>
  <si>
    <t>Signalling</t>
  </si>
  <si>
    <t>R</t>
  </si>
  <si>
    <t>Roads and Paving</t>
  </si>
  <si>
    <t>S</t>
  </si>
  <si>
    <t>Structural Steel and Misc. Metakwork</t>
  </si>
  <si>
    <t>T</t>
  </si>
  <si>
    <t>Rail and Track</t>
  </si>
  <si>
    <t>U</t>
  </si>
  <si>
    <t>Utilities</t>
  </si>
  <si>
    <t>V</t>
  </si>
  <si>
    <t>Envelop Works</t>
  </si>
  <si>
    <t>W</t>
  </si>
  <si>
    <t>OHW</t>
  </si>
  <si>
    <t>X</t>
  </si>
  <si>
    <t>External Works</t>
  </si>
  <si>
    <t>Y</t>
  </si>
  <si>
    <t>Drainage</t>
  </si>
  <si>
    <t>Z</t>
  </si>
  <si>
    <t>CSR</t>
  </si>
  <si>
    <t>KXX</t>
  </si>
  <si>
    <t>James Winstanley</t>
  </si>
  <si>
    <t>Mitchell Hill</t>
  </si>
  <si>
    <t>Cillian Phillips</t>
  </si>
  <si>
    <t>Paul Hunnikin</t>
  </si>
  <si>
    <t>Ashwin Karanam</t>
  </si>
  <si>
    <t>Edward Bisiaux</t>
  </si>
  <si>
    <t>Nerim Radaca</t>
  </si>
  <si>
    <t xml:space="preserve">George Berkachy </t>
  </si>
  <si>
    <t xml:space="preserve">Jye Estatheo </t>
  </si>
  <si>
    <t>Callum Billet</t>
  </si>
  <si>
    <t>Nick Bakalovski</t>
  </si>
  <si>
    <t>JW</t>
  </si>
  <si>
    <t>MH</t>
  </si>
  <si>
    <t>CP</t>
  </si>
  <si>
    <t>PH</t>
  </si>
  <si>
    <t>AK</t>
  </si>
  <si>
    <t>EB</t>
  </si>
  <si>
    <t>NR</t>
  </si>
  <si>
    <t>GB</t>
  </si>
  <si>
    <t>JE</t>
  </si>
  <si>
    <t>CB</t>
  </si>
  <si>
    <t>NB</t>
  </si>
  <si>
    <t>Kathryn Cserhalmi</t>
  </si>
  <si>
    <t>Adam Zhou</t>
  </si>
  <si>
    <t>Hanna Woodward</t>
  </si>
  <si>
    <t>Kevin Huang</t>
  </si>
  <si>
    <t>Mina Ibrahim</t>
  </si>
  <si>
    <t>Steve Farrell</t>
  </si>
  <si>
    <t>Glen Douglass</t>
  </si>
  <si>
    <t>Daniel Spaseski</t>
  </si>
  <si>
    <t>Daniel Jackson</t>
  </si>
  <si>
    <t>Rui Da Costa</t>
  </si>
  <si>
    <t>Serena Truong</t>
  </si>
  <si>
    <t>Nick Baillie</t>
  </si>
  <si>
    <t>KC</t>
  </si>
  <si>
    <t>AZ</t>
  </si>
  <si>
    <t>HW</t>
  </si>
  <si>
    <t>KH</t>
  </si>
  <si>
    <t>MI</t>
  </si>
  <si>
    <t>SF</t>
  </si>
  <si>
    <t>GD</t>
  </si>
  <si>
    <t>DS</t>
  </si>
  <si>
    <t>DJ</t>
  </si>
  <si>
    <t>ST</t>
  </si>
  <si>
    <t>RC</t>
  </si>
  <si>
    <t>CON</t>
  </si>
  <si>
    <t>SUB</t>
  </si>
  <si>
    <t>SUP</t>
  </si>
  <si>
    <t>Subcontractor</t>
  </si>
  <si>
    <t>Supplier</t>
  </si>
  <si>
    <t>COMO</t>
  </si>
  <si>
    <t>COINS Material Order</t>
  </si>
  <si>
    <t>CTSA</t>
  </si>
  <si>
    <t>Consultancy Tender Services Agreement</t>
  </si>
  <si>
    <t>EXT</t>
  </si>
  <si>
    <t>Bespoke Vendor Terms</t>
  </si>
  <si>
    <t>ICA</t>
  </si>
  <si>
    <t>Independant Consultant Agreement</t>
  </si>
  <si>
    <t>ISA</t>
  </si>
  <si>
    <t>International Supply Agreement</t>
  </si>
  <si>
    <t>LH</t>
  </si>
  <si>
    <t>Labour Hire Agreement</t>
  </si>
  <si>
    <t>MASA</t>
  </si>
  <si>
    <t>Manufacture and Supply Agreement</t>
  </si>
  <si>
    <t>MASC</t>
  </si>
  <si>
    <t>Major Subcontract</t>
  </si>
  <si>
    <t>MCA</t>
  </si>
  <si>
    <t>Major Consultancy Agreement</t>
  </si>
  <si>
    <t>MECA</t>
  </si>
  <si>
    <t>Medium Consultancy Agreement</t>
  </si>
  <si>
    <t>MESA</t>
  </si>
  <si>
    <t>Medium Supply Agreement</t>
  </si>
  <si>
    <t>MICA</t>
  </si>
  <si>
    <t>Minor Consultancy Agreement</t>
  </si>
  <si>
    <t>MISC</t>
  </si>
  <si>
    <t>Minor Subcontract</t>
  </si>
  <si>
    <t>MIWO</t>
  </si>
  <si>
    <t>Minor Works Order</t>
  </si>
  <si>
    <t>NDCA</t>
  </si>
  <si>
    <t>Non-design Consultancy Agreement</t>
  </si>
  <si>
    <t>SA</t>
  </si>
  <si>
    <t>Services Agreement</t>
  </si>
  <si>
    <t>A1</t>
  </si>
  <si>
    <t>A2</t>
  </si>
  <si>
    <t>A3</t>
  </si>
  <si>
    <t>Area1</t>
  </si>
  <si>
    <t>Area2</t>
  </si>
  <si>
    <t>Area3</t>
  </si>
  <si>
    <t>AZ | Adam Zhou</t>
  </si>
  <si>
    <t>HW | Hanna Woodward</t>
  </si>
  <si>
    <t>KH | Kevin Huang</t>
  </si>
  <si>
    <t>MI | Mina Ibrahim</t>
  </si>
  <si>
    <t>SF | Steve Farrell</t>
  </si>
  <si>
    <t>DS | Daniel Spaseski</t>
  </si>
  <si>
    <t>ST | Serena Truong</t>
  </si>
  <si>
    <t>NB | Nick Baillie</t>
  </si>
  <si>
    <t>GD | Glen Douglass</t>
  </si>
  <si>
    <t>CTSA | Consultancy Tender Services Agreement</t>
  </si>
  <si>
    <t>LH | Labour Hire Agreement</t>
  </si>
  <si>
    <t>MECA | Medium Consultancy Agreement</t>
  </si>
  <si>
    <t>MASA | Manufacture and Supply Agreement</t>
  </si>
  <si>
    <t>MISC | Minor Subcontract</t>
  </si>
  <si>
    <t>MASC | Major Subcontract</t>
  </si>
  <si>
    <t>CON | Consultant</t>
  </si>
  <si>
    <t>SUB | Subcontractor</t>
  </si>
  <si>
    <t>SUP | Supplier</t>
  </si>
  <si>
    <t>A1 | Area1</t>
  </si>
  <si>
    <t>C | In Situ Concrete</t>
  </si>
  <si>
    <t>F | Finishes &amp; FFE</t>
  </si>
  <si>
    <t>H | Precast Concrete</t>
  </si>
  <si>
    <t>K | Waterproofing</t>
  </si>
  <si>
    <t>T | Rail and Track</t>
  </si>
  <si>
    <t>W | OHW</t>
  </si>
  <si>
    <t>MH | Mitchell Hill</t>
  </si>
  <si>
    <t>Proj1</t>
  </si>
  <si>
    <t>Proj2</t>
  </si>
  <si>
    <t>Proj3</t>
  </si>
  <si>
    <t>Proj4</t>
  </si>
  <si>
    <t>Proj5</t>
  </si>
  <si>
    <t>Gain/Loss</t>
  </si>
  <si>
    <t>ATP No.</t>
  </si>
  <si>
    <t>Award$</t>
  </si>
  <si>
    <t>Budget</t>
  </si>
  <si>
    <t>Award</t>
  </si>
  <si>
    <t>ATP</t>
  </si>
  <si>
    <t>Appointed Subcontractor / Supplier</t>
  </si>
  <si>
    <t>Subcon Name</t>
  </si>
  <si>
    <t>WeekEnding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</si>
  <si>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</si>
  <si>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</si>
  <si>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</si>
  <si>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</si>
  <si>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</si>
  <si>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</si>
  <si>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</si>
  <si>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</si>
  <si>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</si>
  <si>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</si>
  <si>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</si>
  <si>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</si>
  <si>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Plan</t>
  </si>
  <si>
    <t>Forecast</t>
  </si>
  <si>
    <t>S01</t>
  </si>
  <si>
    <t>S02</t>
  </si>
  <si>
    <t>S03</t>
  </si>
  <si>
    <t>S04</t>
  </si>
  <si>
    <t>S05</t>
  </si>
  <si>
    <t>S06</t>
  </si>
  <si>
    <t>S07</t>
  </si>
  <si>
    <t>S08</t>
  </si>
  <si>
    <t>S09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</si>
  <si>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</si>
  <si>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</si>
  <si>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</si>
  <si>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</si>
  <si>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</si>
  <si>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</si>
  <si>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</si>
  <si>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</si>
  <si>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</si>
  <si>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</si>
  <si>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</si>
  <si>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</si>
  <si>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</si>
  <si>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</si>
  <si>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</si>
  <si>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</si>
  <si>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</si>
  <si>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</si>
  <si>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</si>
  <si>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</si>
  <si>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</si>
  <si>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</si>
  <si>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</si>
  <si>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</si>
  <si>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</si>
  <si>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</si>
  <si>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</si>
  <si>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</si>
  <si>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</si>
  <si>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</si>
  <si>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</si>
  <si>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</si>
  <si>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</si>
  <si>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</si>
  <si>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S45</t>
  </si>
  <si>
    <t>S46</t>
  </si>
  <si>
    <t>S47</t>
  </si>
  <si>
    <t>S48</t>
  </si>
  <si>
    <t>StepID</t>
  </si>
  <si>
    <t>Upper Title</t>
  </si>
  <si>
    <t>01-Tender Info</t>
  </si>
  <si>
    <t>Out to Tender</t>
  </si>
  <si>
    <t>02-Out to Tender</t>
  </si>
  <si>
    <t>03-Return of Tender</t>
  </si>
  <si>
    <t>04-Place Order</t>
  </si>
  <si>
    <t>Start On Site</t>
  </si>
  <si>
    <t>Lead Time</t>
  </si>
  <si>
    <t>Receipt of Design Documentation issued for tender</t>
  </si>
  <si>
    <t>Tender Documents completed</t>
  </si>
  <si>
    <t>Return of Tender</t>
  </si>
  <si>
    <t>Place Order / Contract Execution</t>
  </si>
  <si>
    <t>Tender Documents External Approval</t>
  </si>
  <si>
    <t>Tender Documents Internal Approval</t>
  </si>
  <si>
    <t>Recommendation External Approval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</si>
  <si>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</si>
  <si>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</si>
  <si>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</si>
  <si>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</si>
  <si>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</si>
  <si>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</si>
  <si>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</si>
  <si>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</si>
  <si>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</si>
  <si>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</si>
  <si>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Recommendation Internal Approval</t>
  </si>
  <si>
    <t>Tender Evaluation &amp; Recommendation Complete</t>
  </si>
  <si>
    <t>NOTE</t>
  </si>
  <si>
    <t>Date</t>
  </si>
  <si>
    <t>Holiday</t>
  </si>
  <si>
    <t>AustraliaState</t>
  </si>
  <si>
    <t>NEW YEAR'S DAY</t>
  </si>
  <si>
    <t>National</t>
  </si>
  <si>
    <t>AUSTRALIA DAY SUNDAY</t>
  </si>
  <si>
    <t>AUSTRALIA DAY</t>
  </si>
  <si>
    <t>LABOUR DAY</t>
  </si>
  <si>
    <t>Western Australia</t>
  </si>
  <si>
    <t>ADELAIDE CUP</t>
  </si>
  <si>
    <t>South Australia</t>
  </si>
  <si>
    <t>GOOD FRIDAY</t>
  </si>
  <si>
    <t>EASTER SATURDAY</t>
  </si>
  <si>
    <t>EASTER SUNDAY</t>
  </si>
  <si>
    <t>EASTER MONDAY</t>
  </si>
  <si>
    <t>ANZAC DAY</t>
  </si>
  <si>
    <t>MAY DAY</t>
  </si>
  <si>
    <t>Northern Territory</t>
  </si>
  <si>
    <t>WESTERN AUSTRALIA DAY</t>
  </si>
  <si>
    <t>QUEEN'S BIRTHDAY</t>
  </si>
  <si>
    <t>New South Wales</t>
  </si>
  <si>
    <t>Queensland</t>
  </si>
  <si>
    <t>DARWIN SHOW DAY</t>
  </si>
  <si>
    <t>PICNIC DAY</t>
  </si>
  <si>
    <t>FAMILY COMMUNITY DAY</t>
  </si>
  <si>
    <t>Australian Capital Territory</t>
  </si>
  <si>
    <t>MELBOURNE  CUP</t>
  </si>
  <si>
    <t>Victoria</t>
  </si>
  <si>
    <t>G20 SUMMIT BNE</t>
  </si>
  <si>
    <t>CHRISTMAS DAY</t>
  </si>
  <si>
    <t>BOXING DAY</t>
  </si>
  <si>
    <t>CANBERRA DAY</t>
  </si>
  <si>
    <t>MARCH PUBLIC HOLIDAY</t>
  </si>
  <si>
    <t>ROYAL QLD SHOW BNE</t>
  </si>
  <si>
    <t>PROCLAMATION DAY</t>
  </si>
  <si>
    <t>GRAND FINAL FRIDAY</t>
  </si>
  <si>
    <t>RECONCILIATION DAY ACT</t>
  </si>
  <si>
    <t>NATIONAL MOURNING DAY</t>
  </si>
  <si>
    <t>S452</t>
  </si>
  <si>
    <t>Plan Duration (BD)</t>
  </si>
  <si>
    <t>Forecast Duration (BD)</t>
  </si>
  <si>
    <t>01 | Receipt of Design Documentation issued for tender</t>
  </si>
  <si>
    <t>02 | Tender Documents completed</t>
  </si>
  <si>
    <t>03 | Tender Documents Internal Approval</t>
  </si>
  <si>
    <t>04 | Tender Documents External Approval</t>
  </si>
  <si>
    <t>05 | Out to Tender</t>
  </si>
  <si>
    <t>06 | Return of Tender</t>
  </si>
  <si>
    <t>07 | Tender Evaluation &amp; Recommendation Complete</t>
  </si>
  <si>
    <t>08 | Recommendation Internal Approval</t>
  </si>
  <si>
    <t>09 | Recommendation External Approval</t>
  </si>
  <si>
    <t>ColumnName</t>
  </si>
  <si>
    <t>StepName</t>
  </si>
  <si>
    <t xml:space="preserve">01 </t>
  </si>
  <si>
    <t xml:space="preserve"> Receipt of Design Documentation issued for tender</t>
  </si>
  <si>
    <t xml:space="preserve">02 </t>
  </si>
  <si>
    <t xml:space="preserve"> Tender Documents completed</t>
  </si>
  <si>
    <t xml:space="preserve">03 </t>
  </si>
  <si>
    <t xml:space="preserve"> Tender Documents Internal Approval</t>
  </si>
  <si>
    <t xml:space="preserve">04 </t>
  </si>
  <si>
    <t xml:space="preserve"> Tender Documents External Approval</t>
  </si>
  <si>
    <t xml:space="preserve">05 </t>
  </si>
  <si>
    <t xml:space="preserve"> Out to Tender</t>
  </si>
  <si>
    <t xml:space="preserve">06 </t>
  </si>
  <si>
    <t xml:space="preserve"> Return of Tender</t>
  </si>
  <si>
    <t xml:space="preserve">07 </t>
  </si>
  <si>
    <t xml:space="preserve"> Tender Evaluation &amp; Recommendation Complete</t>
  </si>
  <si>
    <t xml:space="preserve">08 </t>
  </si>
  <si>
    <t xml:space="preserve"> Recommendation Internal Approval</t>
  </si>
  <si>
    <t xml:space="preserve">09 </t>
  </si>
  <si>
    <t xml:space="preserve"> Recommendation External Approval</t>
  </si>
  <si>
    <t xml:space="preserve">10 </t>
  </si>
  <si>
    <t xml:space="preserve"> Place Order / Contract Execution</t>
  </si>
  <si>
    <t xml:space="preserve">11 </t>
  </si>
  <si>
    <t xml:space="preserve"> Lead Time</t>
  </si>
  <si>
    <t xml:space="preserve">12 </t>
  </si>
  <si>
    <t xml:space="preserve"> Start On Site</t>
  </si>
  <si>
    <t>GROUP_ID_B.1</t>
  </si>
  <si>
    <t>GROUP_ID_C.1</t>
  </si>
  <si>
    <t>Status</t>
  </si>
  <si>
    <t>Active</t>
  </si>
  <si>
    <t>Cancelled</t>
  </si>
  <si>
    <t>OnHold</t>
  </si>
  <si>
    <t>Status2</t>
  </si>
  <si>
    <t>StepName.1</t>
  </si>
  <si>
    <t>StepName.2</t>
  </si>
  <si>
    <t>Upper</t>
  </si>
  <si>
    <t>Budget On Award$</t>
  </si>
  <si>
    <t>Buying Gain/Loss</t>
  </si>
  <si>
    <t>Changes</t>
  </si>
  <si>
    <t>DO NOT DELETE TABLE - JUST UPDATE RECORDS</t>
  </si>
  <si>
    <t>IF YOU NEED TO DELETE A ROW, RIGHT CLICK ON THE TABLE AND DELETE ROW</t>
  </si>
  <si>
    <t>10 | Place Order / Contract Execution</t>
  </si>
  <si>
    <t>11 | Lead Time</t>
  </si>
  <si>
    <t>12 | Start On Site</t>
  </si>
  <si>
    <t>CP | Cillian Phillips</t>
  </si>
  <si>
    <t>topgun</t>
  </si>
  <si>
    <t>MAKE SURE THE DATA IS REFRESHED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</si>
</sst>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_(* #,##0.00_);_(* \(#,##0.00\);_(* &quot;-&quot;??_);_(@_)"/>
    <numFmt numFmtId="165" formatCode="&quot;$&quot;#,##0.00"/>
    <numFmt numFmtId="166" formatCode="_-* #,##0_-;\-* #,##0_-;_-* &quot;-&quot;??_-;_-@_-"/>
    <numFmt numFmtId="167" formatCode="_-&quot;$&quot;* #,##0_-;\-&quot;$&quot;* #,##0_-;_-&quot;$&quot;* &quot;-&quot;??_-;_-@_-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entury Gothic"/>
      <family val="2"/>
    </font>
    <font>
      <b/>
      <sz val="12"/>
      <color theme="0"/>
      <name val="Century Gothic"/>
      <family val="2"/>
    </font>
    <font>
      <sz val="9"/>
      <color theme="1"/>
      <name val="Century Gothic"/>
      <family val="2"/>
    </font>
    <font>
      <b/>
      <sz val="11"/>
      <color theme="0"/>
      <name val="Century Gothic"/>
      <family val="2"/>
    </font>
    <font>
      <sz val="12"/>
      <color theme="1"/>
      <name val="Century Gothic"/>
      <family val="2"/>
    </font>
    <font>
      <sz val="36"/>
      <color theme="1"/>
      <name val="Century Gothic"/>
      <family val="2"/>
    </font>
    <font>
      <b/>
      <sz val="11"/>
      <color theme="1"/>
      <name val="Century Gothic"/>
      <family val="2"/>
    </font>
    <font>
      <b/>
      <sz val="11"/>
      <color rgb="FF000000"/>
      <name val="Century Gothic"/>
      <family val="2"/>
    </font>
    <font>
      <sz val="12"/>
      <color rgb="FF000000"/>
      <name val="Century Gothic"/>
      <family val="2"/>
    </font>
    <font>
      <sz val="8"/>
      <name val="Calibri"/>
      <family val="2"/>
      <scheme val="minor"/>
    </font>
    <font>
      <i/>
      <sz val="9"/>
      <color theme="1"/>
      <name val="Century Gothic"/>
      <family val="2"/>
    </font>
    <font>
      <i/>
      <sz val="9"/>
      <color theme="0" tint="-0.249977111117893"/>
      <name val="Century Gothic"/>
      <family val="2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 tint="-0.14999847407452621"/>
      <name val="Century Gothic"/>
      <family val="2"/>
    </font>
    <font>
      <sz val="20"/>
      <color theme="1"/>
      <name val="Century Gothic"/>
      <family val="2"/>
    </font>
    <font>
      <sz val="11"/>
      <color theme="0"/>
      <name val="Century Gothic"/>
      <family val="2"/>
    </font>
    <font>
      <b/>
      <sz val="10"/>
      <color theme="1"/>
      <name val="Calibri"/>
      <family val="2"/>
      <scheme val="minor"/>
    </font>
    <font>
      <b/>
      <sz val="12"/>
      <color theme="0" tint="-0.499984740745262"/>
      <name val="Century Gothic"/>
      <family val="2"/>
    </font>
    <font>
      <sz val="11"/>
      <name val="Calibri"/>
      <family val="2"/>
      <scheme val="minor"/>
    </font>
    <font>
      <sz val="12"/>
      <color rgb="FF000000"/>
      <name val="Century Gothic"/>
      <family val="2"/>
    </font>
    <font>
      <sz val="12"/>
      <color theme="1"/>
      <name val="Century Gothic"/>
      <family val="2"/>
    </font>
    <font>
      <b/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C99"/>
      </patternFill>
    </fill>
    <fill>
      <patternFill patternType="solid">
        <fgColor rgb="FF002060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49998474074526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</fills>
  <borders count="1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6">
    <xf numFmtId="0" fontId="0" fillId="0" borderId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4" fillId="11" borderId="11" applyNumberFormat="0" applyAlignment="0" applyProtection="0"/>
    <xf numFmtId="44" fontId="1" fillId="0" borderId="0" applyFont="0" applyFill="0" applyBorder="0" applyAlignment="0" applyProtection="0"/>
  </cellStyleXfs>
  <cellXfs count="99">
    <xf numFmtId="0" fontId="0" fillId="0" borderId="0" xfId="0"/>
    <xf numFmtId="0" fontId="6" fillId="0" borderId="2" xfId="1" applyFont="1" applyBorder="1" applyAlignment="1" applyProtection="1">
      <alignment horizontal="center"/>
      <protection locked="0"/>
    </xf>
    <xf numFmtId="165" fontId="10" fillId="0" borderId="2" xfId="1" applyNumberFormat="1" applyFont="1" applyBorder="1" applyAlignment="1" applyProtection="1">
      <alignment horizontal="center" vertical="center"/>
      <protection locked="0"/>
    </xf>
    <xf numFmtId="0" fontId="2" fillId="0" borderId="1" xfId="1" quotePrefix="1" applyBorder="1" applyAlignment="1" applyProtection="1">
      <alignment horizontal="center"/>
      <protection locked="0"/>
    </xf>
    <xf numFmtId="0" fontId="2" fillId="0" borderId="9" xfId="1" applyBorder="1" applyAlignment="1" applyProtection="1">
      <alignment horizontal="center" vertical="center"/>
      <protection locked="0"/>
    </xf>
    <xf numFmtId="0" fontId="2" fillId="0" borderId="5" xfId="1" applyBorder="1" applyProtection="1">
      <protection locked="0"/>
    </xf>
    <xf numFmtId="0" fontId="2" fillId="0" borderId="10" xfId="1" applyBorder="1" applyAlignment="1" applyProtection="1">
      <alignment vertical="center"/>
      <protection locked="0"/>
    </xf>
    <xf numFmtId="0" fontId="0" fillId="0" borderId="0" xfId="0" applyNumberFormat="1"/>
    <xf numFmtId="0" fontId="10" fillId="0" borderId="2" xfId="1" applyFont="1" applyBorder="1" applyAlignment="1" applyProtection="1">
      <alignment horizontal="left" vertical="center"/>
      <protection locked="0"/>
    </xf>
    <xf numFmtId="0" fontId="6" fillId="0" borderId="2" xfId="1" quotePrefix="1" applyFont="1" applyBorder="1" applyAlignment="1" applyProtection="1">
      <alignment horizontal="left" vertical="top" wrapText="1"/>
      <protection locked="0"/>
    </xf>
    <xf numFmtId="14" fontId="0" fillId="0" borderId="0" xfId="0" applyNumberFormat="1"/>
    <xf numFmtId="0" fontId="2" fillId="0" borderId="1" xfId="1" quotePrefix="1" applyBorder="1" applyAlignment="1" applyProtection="1">
      <alignment horizontal="left"/>
      <protection locked="0"/>
    </xf>
    <xf numFmtId="0" fontId="2" fillId="0" borderId="5" xfId="1" applyBorder="1" applyAlignment="1" applyProtection="1">
      <alignment horizontal="left"/>
      <protection locked="0"/>
    </xf>
    <xf numFmtId="0" fontId="2" fillId="0" borderId="9" xfId="1" applyBorder="1" applyAlignment="1" applyProtection="1">
      <alignment horizontal="left" vertical="center"/>
      <protection locked="0"/>
    </xf>
    <xf numFmtId="0" fontId="2" fillId="0" borderId="10" xfId="1" applyBorder="1" applyAlignment="1" applyProtection="1">
      <alignment horizontal="left" vertical="center"/>
      <protection locked="0"/>
    </xf>
    <xf numFmtId="167" fontId="0" fillId="0" borderId="0" xfId="5" applyNumberFormat="1" applyFont="1"/>
    <xf numFmtId="0" fontId="4" fillId="0" borderId="0" xfId="1" applyFont="1" applyAlignment="1" applyProtection="1">
      <alignment vertical="center"/>
    </xf>
    <xf numFmtId="0" fontId="4" fillId="0" borderId="0" xfId="1" applyFont="1" applyAlignment="1" applyProtection="1">
      <alignment horizontal="center" vertical="center"/>
    </xf>
    <xf numFmtId="0" fontId="4" fillId="4" borderId="0" xfId="1" applyFont="1" applyFill="1" applyAlignment="1" applyProtection="1">
      <alignment vertical="center"/>
    </xf>
    <xf numFmtId="0" fontId="4" fillId="4" borderId="0" xfId="1" applyFont="1" applyFill="1" applyAlignment="1" applyProtection="1">
      <alignment horizontal="center" vertical="center"/>
    </xf>
    <xf numFmtId="0" fontId="7" fillId="4" borderId="0" xfId="1" applyFont="1" applyFill="1" applyAlignment="1" applyProtection="1">
      <alignment horizontal="centerContinuous" vertical="center"/>
    </xf>
    <xf numFmtId="0" fontId="17" fillId="4" borderId="0" xfId="1" applyFont="1" applyFill="1" applyAlignment="1" applyProtection="1">
      <alignment vertical="center"/>
    </xf>
    <xf numFmtId="0" fontId="4" fillId="4" borderId="0" xfId="1" applyFont="1" applyFill="1" applyAlignment="1" applyProtection="1">
      <alignment horizontal="centerContinuous" vertical="center"/>
    </xf>
    <xf numFmtId="0" fontId="15" fillId="12" borderId="12" xfId="0" applyFont="1" applyFill="1" applyBorder="1" applyAlignment="1" applyProtection="1">
      <alignment horizontal="center" vertical="center" wrapText="1"/>
    </xf>
    <xf numFmtId="0" fontId="14" fillId="11" borderId="12" xfId="4" applyBorder="1" applyAlignment="1" applyProtection="1">
      <alignment horizontal="center" vertical="center"/>
    </xf>
    <xf numFmtId="0" fontId="0" fillId="0" borderId="0" xfId="0" applyProtection="1"/>
    <xf numFmtId="0" fontId="21" fillId="18" borderId="0" xfId="0" applyFont="1" applyFill="1" applyAlignment="1" applyProtection="1">
      <alignment vertical="center"/>
    </xf>
    <xf numFmtId="0" fontId="13" fillId="0" borderId="0" xfId="1" applyFont="1" applyAlignment="1" applyProtection="1">
      <alignment horizontal="center" vertical="center"/>
    </xf>
    <xf numFmtId="0" fontId="15" fillId="12" borderId="0" xfId="0" applyFont="1" applyFill="1" applyBorder="1" applyAlignment="1" applyProtection="1">
      <alignment horizontal="center" vertical="center" wrapText="1"/>
    </xf>
    <xf numFmtId="14" fontId="14" fillId="11" borderId="0" xfId="4" applyNumberFormat="1" applyBorder="1" applyAlignment="1" applyProtection="1">
      <alignment horizontal="center" vertical="center"/>
    </xf>
    <xf numFmtId="0" fontId="12" fillId="0" borderId="0" xfId="1" applyFont="1" applyAlignment="1" applyProtection="1">
      <alignment horizontal="center" vertical="center"/>
    </xf>
    <xf numFmtId="0" fontId="16" fillId="0" borderId="0" xfId="1" applyFont="1" applyAlignment="1" applyProtection="1">
      <alignment vertical="center"/>
    </xf>
    <xf numFmtId="0" fontId="5" fillId="6" borderId="8" xfId="1" applyFont="1" applyFill="1" applyBorder="1" applyAlignment="1" applyProtection="1">
      <alignment vertical="center"/>
    </xf>
    <xf numFmtId="0" fontId="5" fillId="6" borderId="4" xfId="1" applyFont="1" applyFill="1" applyBorder="1" applyAlignment="1" applyProtection="1">
      <alignment vertical="center"/>
    </xf>
    <xf numFmtId="0" fontId="5" fillId="2" borderId="5" xfId="1" applyFont="1" applyFill="1" applyBorder="1" applyAlignment="1" applyProtection="1">
      <alignment vertical="center"/>
    </xf>
    <xf numFmtId="0" fontId="5" fillId="2" borderId="6" xfId="1" applyFont="1" applyFill="1" applyBorder="1" applyAlignment="1" applyProtection="1">
      <alignment vertical="center"/>
    </xf>
    <xf numFmtId="0" fontId="5" fillId="2" borderId="1" xfId="1" applyFont="1" applyFill="1" applyBorder="1" applyAlignment="1" applyProtection="1">
      <alignment vertical="center"/>
    </xf>
    <xf numFmtId="0" fontId="5" fillId="12" borderId="0" xfId="1" applyFont="1" applyFill="1" applyBorder="1" applyAlignment="1" applyProtection="1">
      <alignment vertical="center"/>
    </xf>
    <xf numFmtId="0" fontId="5" fillId="7" borderId="2" xfId="1" applyFont="1" applyFill="1" applyBorder="1" applyAlignment="1" applyProtection="1">
      <alignment horizontal="center" vertical="center"/>
    </xf>
    <xf numFmtId="0" fontId="3" fillId="7" borderId="2" xfId="1" applyFont="1" applyFill="1" applyBorder="1" applyAlignment="1" applyProtection="1">
      <alignment horizontal="center" vertical="center"/>
    </xf>
    <xf numFmtId="0" fontId="8" fillId="8" borderId="2" xfId="1" applyFont="1" applyFill="1" applyBorder="1" applyAlignment="1" applyProtection="1">
      <alignment horizontal="center" vertical="center"/>
    </xf>
    <xf numFmtId="0" fontId="8" fillId="8" borderId="2" xfId="1" applyFont="1" applyFill="1" applyBorder="1" applyAlignment="1" applyProtection="1">
      <alignment horizontal="center" vertical="center" wrapText="1"/>
    </xf>
    <xf numFmtId="0" fontId="9" fillId="8" borderId="2" xfId="1" applyFont="1" applyFill="1" applyBorder="1" applyAlignment="1" applyProtection="1">
      <alignment horizontal="center" vertical="center"/>
    </xf>
    <xf numFmtId="0" fontId="8" fillId="9" borderId="2" xfId="1" applyFont="1" applyFill="1" applyBorder="1" applyAlignment="1" applyProtection="1">
      <alignment horizontal="center" vertical="center" wrapText="1"/>
    </xf>
    <xf numFmtId="166" fontId="8" fillId="9" borderId="2" xfId="3" applyNumberFormat="1" applyFont="1" applyFill="1" applyBorder="1" applyAlignment="1" applyProtection="1">
      <alignment horizontal="center" vertical="center" wrapText="1"/>
    </xf>
    <xf numFmtId="0" fontId="8" fillId="14" borderId="0" xfId="1" applyFont="1" applyFill="1" applyBorder="1" applyAlignment="1" applyProtection="1">
      <alignment horizontal="center" vertical="center" wrapText="1"/>
    </xf>
    <xf numFmtId="0" fontId="18" fillId="13" borderId="13" xfId="0" applyFont="1" applyFill="1" applyBorder="1" applyAlignment="1" applyProtection="1">
      <alignment horizontal="center" vertical="center" wrapText="1" readingOrder="1"/>
    </xf>
    <xf numFmtId="0" fontId="19" fillId="0" borderId="13" xfId="0" applyFont="1" applyBorder="1" applyAlignment="1" applyProtection="1">
      <alignment horizontal="center" vertical="center" textRotation="90" wrapText="1"/>
    </xf>
    <xf numFmtId="0" fontId="6" fillId="0" borderId="0" xfId="1" applyFont="1" applyAlignment="1" applyProtection="1">
      <alignment vertical="center"/>
    </xf>
    <xf numFmtId="0" fontId="20" fillId="10" borderId="7" xfId="1" applyFont="1" applyFill="1" applyBorder="1" applyAlignment="1" applyProtection="1">
      <alignment horizontal="center" vertical="center"/>
    </xf>
    <xf numFmtId="0" fontId="20" fillId="10" borderId="3" xfId="1" applyFont="1" applyFill="1" applyBorder="1" applyAlignment="1" applyProtection="1">
      <alignment horizontal="center" vertical="center"/>
    </xf>
    <xf numFmtId="0" fontId="20" fillId="10" borderId="4" xfId="0" applyFont="1" applyFill="1" applyBorder="1" applyAlignment="1" applyProtection="1">
      <alignment horizontal="center" vertical="center"/>
    </xf>
    <xf numFmtId="165" fontId="20" fillId="10" borderId="3" xfId="3" applyNumberFormat="1" applyFont="1" applyFill="1" applyBorder="1" applyAlignment="1" applyProtection="1">
      <alignment horizontal="center" vertical="center"/>
    </xf>
    <xf numFmtId="166" fontId="20" fillId="10" borderId="8" xfId="3" applyNumberFormat="1" applyFont="1" applyFill="1" applyBorder="1" applyAlignment="1" applyProtection="1">
      <alignment horizontal="center" vertical="center"/>
    </xf>
    <xf numFmtId="166" fontId="20" fillId="10" borderId="4" xfId="3" applyNumberFormat="1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3" fillId="3" borderId="7" xfId="1" applyFont="1" applyFill="1" applyBorder="1" applyAlignment="1" applyProtection="1">
      <alignment horizontal="center"/>
      <protection locked="0"/>
    </xf>
    <xf numFmtId="0" fontId="3" fillId="3" borderId="8" xfId="1" applyFont="1" applyFill="1" applyBorder="1" applyProtection="1">
      <protection locked="0"/>
    </xf>
    <xf numFmtId="0" fontId="3" fillId="3" borderId="3" xfId="1" applyFont="1" applyFill="1" applyBorder="1" applyProtection="1">
      <protection locked="0"/>
    </xf>
    <xf numFmtId="0" fontId="2" fillId="0" borderId="8" xfId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0" fontId="0" fillId="0" borderId="5" xfId="0" applyNumberFormat="1" applyBorder="1" applyProtection="1">
      <protection locked="0"/>
    </xf>
    <xf numFmtId="0" fontId="23" fillId="0" borderId="2" xfId="1" applyFont="1" applyFill="1" applyBorder="1" applyAlignment="1" applyProtection="1">
      <alignment horizontal="center"/>
      <protection locked="0"/>
    </xf>
    <xf numFmtId="0" fontId="10" fillId="0" borderId="2" xfId="1" applyFont="1" applyFill="1" applyBorder="1" applyAlignment="1" applyProtection="1">
      <alignment horizontal="left" vertical="center"/>
      <protection locked="0"/>
    </xf>
    <xf numFmtId="0" fontId="10" fillId="0" borderId="2" xfId="1" quotePrefix="1" applyFont="1" applyFill="1" applyBorder="1" applyAlignment="1" applyProtection="1">
      <alignment horizontal="left" vertical="top" wrapText="1"/>
      <protection locked="0"/>
    </xf>
    <xf numFmtId="165" fontId="22" fillId="0" borderId="2" xfId="1" applyNumberFormat="1" applyFont="1" applyFill="1" applyBorder="1" applyAlignment="1" applyProtection="1">
      <alignment horizontal="center" vertical="center"/>
      <protection locked="0"/>
    </xf>
    <xf numFmtId="166" fontId="6" fillId="0" borderId="2" xfId="3" applyNumberFormat="1" applyFont="1" applyBorder="1" applyAlignment="1" applyProtection="1">
      <alignment horizontal="left"/>
      <protection locked="0"/>
    </xf>
    <xf numFmtId="14" fontId="10" fillId="4" borderId="2" xfId="3" applyNumberFormat="1" applyFont="1" applyFill="1" applyBorder="1" applyAlignment="1" applyProtection="1">
      <alignment horizontal="left"/>
    </xf>
    <xf numFmtId="14" fontId="10" fillId="16" borderId="2" xfId="3" applyNumberFormat="1" applyFont="1" applyFill="1" applyBorder="1" applyAlignment="1" applyProtection="1">
      <alignment horizontal="left"/>
    </xf>
    <xf numFmtId="0" fontId="24" fillId="0" borderId="0" xfId="0" applyFont="1" applyProtection="1">
      <protection locked="0"/>
    </xf>
    <xf numFmtId="0" fontId="25" fillId="0" borderId="0" xfId="0" applyFont="1" applyProtection="1">
      <protection locked="0"/>
    </xf>
    <xf numFmtId="0" fontId="26" fillId="0" borderId="0" xfId="0" applyFont="1" applyProtection="1">
      <protection locked="0"/>
    </xf>
    <xf numFmtId="0" fontId="6" fillId="0" borderId="2" xfId="1" applyFont="1" applyBorder="1" applyAlignment="1" applyProtection="1">
      <alignment horizontal="left"/>
      <protection locked="0"/>
    </xf>
    <xf numFmtId="165" fontId="10" fillId="0" borderId="2" xfId="1" applyNumberFormat="1" applyFont="1" applyFill="1" applyBorder="1" applyAlignment="1" applyProtection="1">
      <alignment horizontal="center" vertical="center"/>
      <protection locked="0"/>
    </xf>
    <xf numFmtId="0" fontId="10" fillId="0" borderId="2" xfId="1" quotePrefix="1" applyFont="1" applyBorder="1" applyAlignment="1" applyProtection="1">
      <alignment horizontal="left" vertical="center"/>
      <protection locked="0"/>
    </xf>
    <xf numFmtId="14" fontId="6" fillId="4" borderId="2" xfId="3" applyNumberFormat="1" applyFont="1" applyFill="1" applyBorder="1" applyAlignment="1" applyProtection="1">
      <alignment horizontal="left"/>
    </xf>
    <xf numFmtId="14" fontId="6" fillId="0" borderId="2" xfId="3" applyNumberFormat="1" applyFont="1" applyBorder="1" applyAlignment="1" applyProtection="1">
      <alignment horizontal="left"/>
      <protection locked="0"/>
    </xf>
    <xf numFmtId="166" fontId="6" fillId="17" borderId="2" xfId="3" applyNumberFormat="1" applyFont="1" applyFill="1" applyBorder="1" applyAlignment="1" applyProtection="1">
      <alignment horizontal="left"/>
    </xf>
    <xf numFmtId="166" fontId="6" fillId="0" borderId="2" xfId="3" applyNumberFormat="1" applyFont="1" applyBorder="1" applyAlignment="1" applyProtection="1">
      <alignment horizontal="left"/>
    </xf>
    <xf numFmtId="14" fontId="6" fillId="16" borderId="2" xfId="3" applyNumberFormat="1" applyFont="1" applyFill="1" applyBorder="1" applyAlignment="1" applyProtection="1">
      <alignment horizontal="left"/>
    </xf>
    <xf numFmtId="0" fontId="10" fillId="0" borderId="2" xfId="1" quotePrefix="1" applyFont="1" applyBorder="1" applyAlignment="1" applyProtection="1">
      <alignment horizontal="center" vertical="center"/>
      <protection locked="0"/>
    </xf>
    <xf numFmtId="0" fontId="22" fillId="0" borderId="2" xfId="1" quotePrefix="1" applyFont="1" applyFill="1" applyBorder="1" applyAlignment="1" applyProtection="1">
      <alignment horizontal="center" vertical="center"/>
      <protection locked="0"/>
    </xf>
    <xf numFmtId="166" fontId="23" fillId="0" borderId="2" xfId="3" applyNumberFormat="1" applyFont="1" applyBorder="1" applyAlignment="1" applyProtection="1">
      <alignment horizontal="left"/>
      <protection locked="0"/>
    </xf>
    <xf numFmtId="14" fontId="10" fillId="0" borderId="2" xfId="3" applyNumberFormat="1" applyFont="1" applyFill="1" applyBorder="1" applyAlignment="1" applyProtection="1">
      <alignment horizontal="left"/>
      <protection locked="0"/>
    </xf>
    <xf numFmtId="166" fontId="10" fillId="17" borderId="2" xfId="3" applyNumberFormat="1" applyFont="1" applyFill="1" applyBorder="1" applyAlignment="1" applyProtection="1">
      <alignment horizontal="left"/>
    </xf>
    <xf numFmtId="166" fontId="10" fillId="0" borderId="2" xfId="3" applyNumberFormat="1" applyFont="1" applyFill="1" applyBorder="1" applyAlignment="1" applyProtection="1">
      <alignment horizontal="left"/>
    </xf>
    <xf numFmtId="165" fontId="10" fillId="4" borderId="2" xfId="1" applyNumberFormat="1" applyFont="1" applyFill="1" applyBorder="1" applyAlignment="1" applyProtection="1">
      <alignment horizontal="center" vertical="center"/>
    </xf>
    <xf numFmtId="0" fontId="24" fillId="0" borderId="0" xfId="0" applyFont="1"/>
    <xf numFmtId="0" fontId="18" fillId="13" borderId="14" xfId="0" applyFont="1" applyFill="1" applyBorder="1" applyAlignment="1" applyProtection="1">
      <alignment horizontal="center" vertical="center" wrapText="1" readingOrder="1"/>
    </xf>
    <xf numFmtId="0" fontId="18" fillId="13" borderId="15" xfId="0" applyFont="1" applyFill="1" applyBorder="1" applyAlignment="1" applyProtection="1">
      <alignment horizontal="center" vertical="center" wrapText="1" readingOrder="1"/>
    </xf>
    <xf numFmtId="0" fontId="18" fillId="13" borderId="16" xfId="0" applyFont="1" applyFill="1" applyBorder="1" applyAlignment="1" applyProtection="1">
      <alignment horizontal="center" vertical="center" wrapText="1" readingOrder="1"/>
    </xf>
    <xf numFmtId="0" fontId="18" fillId="15" borderId="14" xfId="0" applyFont="1" applyFill="1" applyBorder="1" applyAlignment="1" applyProtection="1">
      <alignment horizontal="center" vertical="center" wrapText="1" readingOrder="1"/>
    </xf>
    <xf numFmtId="0" fontId="18" fillId="15" borderId="15" xfId="0" applyFont="1" applyFill="1" applyBorder="1" applyAlignment="1" applyProtection="1">
      <alignment horizontal="center" vertical="center" wrapText="1" readingOrder="1"/>
    </xf>
    <xf numFmtId="0" fontId="18" fillId="15" borderId="16" xfId="0" applyFont="1" applyFill="1" applyBorder="1" applyAlignment="1" applyProtection="1">
      <alignment horizontal="center" vertical="center" wrapText="1" readingOrder="1"/>
    </xf>
    <xf numFmtId="0" fontId="5" fillId="5" borderId="5" xfId="1" applyFont="1" applyFill="1" applyBorder="1" applyAlignment="1" applyProtection="1">
      <alignment horizontal="center" vertical="center"/>
    </xf>
    <xf numFmtId="0" fontId="5" fillId="5" borderId="1" xfId="1" applyFont="1" applyFill="1" applyBorder="1" applyAlignment="1" applyProtection="1">
      <alignment horizontal="center" vertical="center"/>
    </xf>
    <xf numFmtId="0" fontId="8" fillId="8" borderId="2" xfId="1" applyFont="1" applyFill="1" applyBorder="1" applyAlignment="1" applyProtection="1">
      <alignment horizontal="center" vertical="center"/>
      <protection locked="0"/>
    </xf>
  </cellXfs>
  <cellStyles count="6">
    <cellStyle name="Comma 2" xfId="3" xr:uid="{DF10E413-F088-48E8-B73A-7EA638AAF47A}"/>
    <cellStyle name="Currency" xfId="5" builtinId="4"/>
    <cellStyle name="Input" xfId="4" builtinId="20"/>
    <cellStyle name="Normal" xfId="0" builtinId="0"/>
    <cellStyle name="Normal 2" xfId="1" xr:uid="{BE4F6E7C-4B17-4A67-B3AB-13B52B4FBAF6}"/>
    <cellStyle name="Percent 2" xfId="2" xr:uid="{F695E30B-E0C6-4E51-8529-477C2633C9EE}"/>
  </cellStyles>
  <dxfs count="224">
    <dxf>
      <numFmt numFmtId="0" formatCode="General"/>
    </dxf>
    <dxf>
      <numFmt numFmtId="19" formatCode="d/mm/yyyy"/>
    </dxf>
    <dxf>
      <numFmt numFmtId="19" formatCode="d/mm/yyyy"/>
    </dxf>
    <dxf>
      <numFmt numFmtId="19" formatCode="d/mm/yyyy"/>
    </dxf>
    <dxf>
      <numFmt numFmtId="0" formatCode="General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d/mm/yyyy"/>
      <protection locked="0" hidden="0"/>
    </dxf>
    <dxf>
      <protection locked="0" hidden="0"/>
    </dxf>
    <dxf>
      <protection locked="0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left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left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left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left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left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left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left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left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left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left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left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left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none"/>
      </font>
      <numFmt numFmtId="166" formatCode="_-* #,##0_-;\-* #,##0_-;_-* &quot;-&quot;??_-;_-@_-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66" formatCode="_-* #,##0_-;\-* #,##0_-;_-* &quot;-&quot;??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none"/>
      </font>
      <numFmt numFmtId="166" formatCode="_-* #,##0_-;\-* #,##0_-;_-* &quot;-&quot;??_-;_-@_-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66" formatCode="_-* #,##0_-;\-* #,##0_-;_-* &quot;-&quot;??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none"/>
      </font>
      <numFmt numFmtId="166" formatCode="_-* #,##0_-;\-* #,##0_-;_-* &quot;-&quot;??_-;_-@_-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66" formatCode="_-* #,##0_-;\-* #,##0_-;_-* &quot;-&quot;??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none"/>
      </font>
      <numFmt numFmtId="166" formatCode="_-* #,##0_-;\-* #,##0_-;_-* &quot;-&quot;??_-;_-@_-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66" formatCode="_-* #,##0_-;\-* #,##0_-;_-* &quot;-&quot;??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none"/>
      </font>
      <numFmt numFmtId="166" formatCode="_-* #,##0_-;\-* #,##0_-;_-* &quot;-&quot;??_-;_-@_-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66" formatCode="_-* #,##0_-;\-* #,##0_-;_-* &quot;-&quot;??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none"/>
      </font>
      <numFmt numFmtId="166" formatCode="_-* #,##0_-;\-* #,##0_-;_-* &quot;-&quot;??_-;_-@_-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66" formatCode="_-* #,##0_-;\-* #,##0_-;_-* &quot;-&quot;??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none"/>
      </font>
      <numFmt numFmtId="166" formatCode="_-* #,##0_-;\-* #,##0_-;_-* &quot;-&quot;??_-;_-@_-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66" formatCode="_-* #,##0_-;\-* #,##0_-;_-* &quot;-&quot;??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none"/>
      </font>
      <numFmt numFmtId="166" formatCode="_-* #,##0_-;\-* #,##0_-;_-* &quot;-&quot;??_-;_-@_-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66" formatCode="_-* #,##0_-;\-* #,##0_-;_-* &quot;-&quot;??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none"/>
      </font>
      <numFmt numFmtId="166" formatCode="_-* #,##0_-;\-* #,##0_-;_-* &quot;-&quot;??_-;_-@_-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66" formatCode="_-* #,##0_-;\-* #,##0_-;_-* &quot;-&quot;??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none"/>
      </font>
      <numFmt numFmtId="166" formatCode="_-* #,##0_-;\-* #,##0_-;_-* &quot;-&quot;??_-;_-@_-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66" formatCode="_-* #,##0_-;\-* #,##0_-;_-* &quot;-&quot;??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none"/>
      </font>
      <numFmt numFmtId="166" formatCode="_-* #,##0_-;\-* #,##0_-;_-* &quot;-&quot;??_-;_-@_-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9" formatCode="d/mm/yyyy"/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none"/>
      </font>
      <numFmt numFmtId="166" formatCode="_-* #,##0_-;\-* #,##0_-;_-* &quot;-&quot;??_-;_-@_-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none"/>
      </font>
      <numFmt numFmtId="166" formatCode="_-* #,##0_-;\-* #,##0_-;_-* &quot;-&quot;??_-;_-@_-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scheme val="none"/>
      </font>
      <numFmt numFmtId="166" formatCode="_-* #,##0_-;\-* #,##0_-;_-* &quot;-&quot;??_-;_-@_-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65" formatCode="&quot;$&quot;#,##0.0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scheme val="none"/>
      </font>
      <numFmt numFmtId="165" formatCode="&quot;$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scheme val="none"/>
      </font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0" tint="-0.499984740745262"/>
        <name val="Century Gothic"/>
        <family val="2"/>
        <scheme val="none"/>
      </font>
      <fill>
        <patternFill patternType="solid">
          <fgColor indexed="64"/>
          <bgColor theme="0" tint="-0.499984740745262"/>
        </patternFill>
      </fill>
      <protection locked="1" hidden="0"/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pivotCacheDefinition" Target="pivotCache/pivotCacheDefinition1.xml"/><Relationship Id="rId12" Type="http://schemas.openxmlformats.org/officeDocument/2006/relationships/pivotTable" Target="pivotTables/pivotTable3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Table" Target="pivotTables/pivotTable2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4.xml"/><Relationship Id="rId10" Type="http://schemas.openxmlformats.org/officeDocument/2006/relationships/pivotTable" Target="pivotTables/pivotTabl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AU"/>
              <a:t>Count of Package by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DS | Daniel Spaseski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41"/>
              <c:pt idx="0">
                <c:v>Qtr0
</c:v>
              </c:pt>
              <c:pt idx="1">
                <c:v>Dec
Qtr4
2023</c:v>
              </c:pt>
              <c:pt idx="2">
                <c:v>Jan
Qtr1
2024</c:v>
              </c:pt>
              <c:pt idx="3">
                <c:v>Feb
Qtr1
2024</c:v>
              </c:pt>
              <c:pt idx="4">
                <c:v>Mar
Qtr1
2024</c:v>
              </c:pt>
              <c:pt idx="5">
                <c:v>Apr
Qtr2
2024</c:v>
              </c:pt>
              <c:pt idx="6">
                <c:v>May
Qtr2
2024</c:v>
              </c:pt>
              <c:pt idx="7">
                <c:v>Jul
Qtr3
2024</c:v>
              </c:pt>
              <c:pt idx="8">
                <c:v>Aug
Qtr3
2024</c:v>
              </c:pt>
              <c:pt idx="9">
                <c:v>Sep
Qtr3
2024</c:v>
              </c:pt>
              <c:pt idx="10">
                <c:v>Oct
Qtr4
2024</c:v>
              </c:pt>
              <c:pt idx="11">
                <c:v>Nov
Qtr4
2024</c:v>
              </c:pt>
              <c:pt idx="12">
                <c:v>Dec
Qtr4
2024</c:v>
              </c:pt>
              <c:pt idx="13">
                <c:v>Jan
Qtr1
2025</c:v>
              </c:pt>
              <c:pt idx="14">
                <c:v>Feb
Qtr1
2025</c:v>
              </c:pt>
              <c:pt idx="15">
                <c:v>Mar
Qtr1
2025</c:v>
              </c:pt>
              <c:pt idx="16">
                <c:v>Apr
Qtr2
2025</c:v>
              </c:pt>
              <c:pt idx="17">
                <c:v>May
Qtr2
2025</c:v>
              </c:pt>
              <c:pt idx="18">
                <c:v>Jun
Qtr2
2025</c:v>
              </c:pt>
              <c:pt idx="19">
                <c:v>Jul
Qtr3
2025</c:v>
              </c:pt>
              <c:pt idx="20">
                <c:v>Aug
Qtr3
2025</c:v>
              </c:pt>
              <c:pt idx="21">
                <c:v>Sep
Qtr3
2025</c:v>
              </c:pt>
              <c:pt idx="22">
                <c:v>Jan
Qtr1
2026</c:v>
              </c:pt>
              <c:pt idx="23">
                <c:v>Feb
Qtr1
2026</c:v>
              </c:pt>
              <c:pt idx="24">
                <c:v>Mar
Qtr1
2026</c:v>
              </c:pt>
              <c:pt idx="25">
                <c:v>Apr
Qtr2
2026</c:v>
              </c:pt>
              <c:pt idx="26">
                <c:v>May
Qtr2
2026</c:v>
              </c:pt>
              <c:pt idx="27">
                <c:v>Jun
Qtr2
2026</c:v>
              </c:pt>
              <c:pt idx="28">
                <c:v>Jul
Qtr3
2026</c:v>
              </c:pt>
              <c:pt idx="29">
                <c:v>Aug
Qtr3
2026</c:v>
              </c:pt>
              <c:pt idx="30">
                <c:v>Sep
Qtr3
2026</c:v>
              </c:pt>
              <c:pt idx="31">
                <c:v>Oct
Qtr4
2026</c:v>
              </c:pt>
              <c:pt idx="32">
                <c:v>Nov
Qtr4
2026</c:v>
              </c:pt>
              <c:pt idx="33">
                <c:v>Dec
Qtr4
2026</c:v>
              </c:pt>
              <c:pt idx="34">
                <c:v>Jan
Qtr1
2027</c:v>
              </c:pt>
              <c:pt idx="35">
                <c:v>Feb
Qtr1
2027</c:v>
              </c:pt>
              <c:pt idx="36">
                <c:v>Mar
Qtr1
2027</c:v>
              </c:pt>
              <c:pt idx="37">
                <c:v>Apr
Qtr2
2027</c:v>
              </c:pt>
              <c:pt idx="38">
                <c:v>May
Qtr2
2027</c:v>
              </c:pt>
              <c:pt idx="39">
                <c:v>Jul
Qtr3
2027</c:v>
              </c:pt>
              <c:pt idx="40">
                <c:v>Aug
Qtr3
2027</c:v>
              </c:pt>
            </c:strLit>
          </c:cat>
          <c:val>
            <c:numLit>
              <c:formatCode>General</c:formatCode>
              <c:ptCount val="41"/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2</c:v>
              </c:pt>
              <c:pt idx="16">
                <c:v>2</c:v>
              </c:pt>
              <c:pt idx="17">
                <c:v>2</c:v>
              </c:pt>
              <c:pt idx="18">
                <c:v>2</c:v>
              </c:pt>
              <c:pt idx="19">
                <c:v>2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2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5">
                <c:v>1</c:v>
              </c:pt>
              <c:pt idx="36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E7F8-4AF4-968C-5F8138A0EAA4}"/>
            </c:ext>
          </c:extLst>
        </c:ser>
        <c:ser>
          <c:idx val="1"/>
          <c:order val="1"/>
          <c:tx>
            <c:v>GD | Glen Douglass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41"/>
              <c:pt idx="0">
                <c:v>Qtr0
</c:v>
              </c:pt>
              <c:pt idx="1">
                <c:v>Dec
Qtr4
2023</c:v>
              </c:pt>
              <c:pt idx="2">
                <c:v>Jan
Qtr1
2024</c:v>
              </c:pt>
              <c:pt idx="3">
                <c:v>Feb
Qtr1
2024</c:v>
              </c:pt>
              <c:pt idx="4">
                <c:v>Mar
Qtr1
2024</c:v>
              </c:pt>
              <c:pt idx="5">
                <c:v>Apr
Qtr2
2024</c:v>
              </c:pt>
              <c:pt idx="6">
                <c:v>May
Qtr2
2024</c:v>
              </c:pt>
              <c:pt idx="7">
                <c:v>Jul
Qtr3
2024</c:v>
              </c:pt>
              <c:pt idx="8">
                <c:v>Aug
Qtr3
2024</c:v>
              </c:pt>
              <c:pt idx="9">
                <c:v>Sep
Qtr3
2024</c:v>
              </c:pt>
              <c:pt idx="10">
                <c:v>Oct
Qtr4
2024</c:v>
              </c:pt>
              <c:pt idx="11">
                <c:v>Nov
Qtr4
2024</c:v>
              </c:pt>
              <c:pt idx="12">
                <c:v>Dec
Qtr4
2024</c:v>
              </c:pt>
              <c:pt idx="13">
                <c:v>Jan
Qtr1
2025</c:v>
              </c:pt>
              <c:pt idx="14">
                <c:v>Feb
Qtr1
2025</c:v>
              </c:pt>
              <c:pt idx="15">
                <c:v>Mar
Qtr1
2025</c:v>
              </c:pt>
              <c:pt idx="16">
                <c:v>Apr
Qtr2
2025</c:v>
              </c:pt>
              <c:pt idx="17">
                <c:v>May
Qtr2
2025</c:v>
              </c:pt>
              <c:pt idx="18">
                <c:v>Jun
Qtr2
2025</c:v>
              </c:pt>
              <c:pt idx="19">
                <c:v>Jul
Qtr3
2025</c:v>
              </c:pt>
              <c:pt idx="20">
                <c:v>Aug
Qtr3
2025</c:v>
              </c:pt>
              <c:pt idx="21">
                <c:v>Sep
Qtr3
2025</c:v>
              </c:pt>
              <c:pt idx="22">
                <c:v>Jan
Qtr1
2026</c:v>
              </c:pt>
              <c:pt idx="23">
                <c:v>Feb
Qtr1
2026</c:v>
              </c:pt>
              <c:pt idx="24">
                <c:v>Mar
Qtr1
2026</c:v>
              </c:pt>
              <c:pt idx="25">
                <c:v>Apr
Qtr2
2026</c:v>
              </c:pt>
              <c:pt idx="26">
                <c:v>May
Qtr2
2026</c:v>
              </c:pt>
              <c:pt idx="27">
                <c:v>Jun
Qtr2
2026</c:v>
              </c:pt>
              <c:pt idx="28">
                <c:v>Jul
Qtr3
2026</c:v>
              </c:pt>
              <c:pt idx="29">
                <c:v>Aug
Qtr3
2026</c:v>
              </c:pt>
              <c:pt idx="30">
                <c:v>Sep
Qtr3
2026</c:v>
              </c:pt>
              <c:pt idx="31">
                <c:v>Oct
Qtr4
2026</c:v>
              </c:pt>
              <c:pt idx="32">
                <c:v>Nov
Qtr4
2026</c:v>
              </c:pt>
              <c:pt idx="33">
                <c:v>Dec
Qtr4
2026</c:v>
              </c:pt>
              <c:pt idx="34">
                <c:v>Jan
Qtr1
2027</c:v>
              </c:pt>
              <c:pt idx="35">
                <c:v>Feb
Qtr1
2027</c:v>
              </c:pt>
              <c:pt idx="36">
                <c:v>Mar
Qtr1
2027</c:v>
              </c:pt>
              <c:pt idx="37">
                <c:v>Apr
Qtr2
2027</c:v>
              </c:pt>
              <c:pt idx="38">
                <c:v>May
Qtr2
2027</c:v>
              </c:pt>
              <c:pt idx="39">
                <c:v>Jul
Qtr3
2027</c:v>
              </c:pt>
              <c:pt idx="40">
                <c:v>Aug
Qtr3
2027</c:v>
              </c:pt>
            </c:strLit>
          </c:cat>
          <c:val>
            <c:numLit>
              <c:formatCode>General</c:formatCode>
              <c:ptCount val="41"/>
              <c:pt idx="0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3-E7F8-4AF4-968C-5F8138A0EAA4}"/>
            </c:ext>
          </c:extLst>
        </c:ser>
        <c:ser>
          <c:idx val="2"/>
          <c:order val="2"/>
          <c:tx>
            <c:v>NB | Nick Baillie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41"/>
              <c:pt idx="0">
                <c:v>Qtr0
</c:v>
              </c:pt>
              <c:pt idx="1">
                <c:v>Dec
Qtr4
2023</c:v>
              </c:pt>
              <c:pt idx="2">
                <c:v>Jan
Qtr1
2024</c:v>
              </c:pt>
              <c:pt idx="3">
                <c:v>Feb
Qtr1
2024</c:v>
              </c:pt>
              <c:pt idx="4">
                <c:v>Mar
Qtr1
2024</c:v>
              </c:pt>
              <c:pt idx="5">
                <c:v>Apr
Qtr2
2024</c:v>
              </c:pt>
              <c:pt idx="6">
                <c:v>May
Qtr2
2024</c:v>
              </c:pt>
              <c:pt idx="7">
                <c:v>Jul
Qtr3
2024</c:v>
              </c:pt>
              <c:pt idx="8">
                <c:v>Aug
Qtr3
2024</c:v>
              </c:pt>
              <c:pt idx="9">
                <c:v>Sep
Qtr3
2024</c:v>
              </c:pt>
              <c:pt idx="10">
                <c:v>Oct
Qtr4
2024</c:v>
              </c:pt>
              <c:pt idx="11">
                <c:v>Nov
Qtr4
2024</c:v>
              </c:pt>
              <c:pt idx="12">
                <c:v>Dec
Qtr4
2024</c:v>
              </c:pt>
              <c:pt idx="13">
                <c:v>Jan
Qtr1
2025</c:v>
              </c:pt>
              <c:pt idx="14">
                <c:v>Feb
Qtr1
2025</c:v>
              </c:pt>
              <c:pt idx="15">
                <c:v>Mar
Qtr1
2025</c:v>
              </c:pt>
              <c:pt idx="16">
                <c:v>Apr
Qtr2
2025</c:v>
              </c:pt>
              <c:pt idx="17">
                <c:v>May
Qtr2
2025</c:v>
              </c:pt>
              <c:pt idx="18">
                <c:v>Jun
Qtr2
2025</c:v>
              </c:pt>
              <c:pt idx="19">
                <c:v>Jul
Qtr3
2025</c:v>
              </c:pt>
              <c:pt idx="20">
                <c:v>Aug
Qtr3
2025</c:v>
              </c:pt>
              <c:pt idx="21">
                <c:v>Sep
Qtr3
2025</c:v>
              </c:pt>
              <c:pt idx="22">
                <c:v>Jan
Qtr1
2026</c:v>
              </c:pt>
              <c:pt idx="23">
                <c:v>Feb
Qtr1
2026</c:v>
              </c:pt>
              <c:pt idx="24">
                <c:v>Mar
Qtr1
2026</c:v>
              </c:pt>
              <c:pt idx="25">
                <c:v>Apr
Qtr2
2026</c:v>
              </c:pt>
              <c:pt idx="26">
                <c:v>May
Qtr2
2026</c:v>
              </c:pt>
              <c:pt idx="27">
                <c:v>Jun
Qtr2
2026</c:v>
              </c:pt>
              <c:pt idx="28">
                <c:v>Jul
Qtr3
2026</c:v>
              </c:pt>
              <c:pt idx="29">
                <c:v>Aug
Qtr3
2026</c:v>
              </c:pt>
              <c:pt idx="30">
                <c:v>Sep
Qtr3
2026</c:v>
              </c:pt>
              <c:pt idx="31">
                <c:v>Oct
Qtr4
2026</c:v>
              </c:pt>
              <c:pt idx="32">
                <c:v>Nov
Qtr4
2026</c:v>
              </c:pt>
              <c:pt idx="33">
                <c:v>Dec
Qtr4
2026</c:v>
              </c:pt>
              <c:pt idx="34">
                <c:v>Jan
Qtr1
2027</c:v>
              </c:pt>
              <c:pt idx="35">
                <c:v>Feb
Qtr1
2027</c:v>
              </c:pt>
              <c:pt idx="36">
                <c:v>Mar
Qtr1
2027</c:v>
              </c:pt>
              <c:pt idx="37">
                <c:v>Apr
Qtr2
2027</c:v>
              </c:pt>
              <c:pt idx="38">
                <c:v>May
Qtr2
2027</c:v>
              </c:pt>
              <c:pt idx="39">
                <c:v>Jul
Qtr3
2027</c:v>
              </c:pt>
              <c:pt idx="40">
                <c:v>Aug
Qtr3
2027</c:v>
              </c:pt>
            </c:strLit>
          </c:cat>
          <c:val>
            <c:numLit>
              <c:formatCode>General</c:formatCode>
              <c:ptCount val="41"/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2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2</c:v>
              </c:pt>
              <c:pt idx="25">
                <c:v>1</c:v>
              </c:pt>
              <c:pt idx="30">
                <c:v>2</c:v>
              </c:pt>
              <c:pt idx="31">
                <c:v>2</c:v>
              </c:pt>
              <c:pt idx="32">
                <c:v>2</c:v>
              </c:pt>
              <c:pt idx="33">
                <c:v>2</c:v>
              </c:pt>
              <c:pt idx="34">
                <c:v>2</c:v>
              </c:pt>
              <c:pt idx="38">
                <c:v>1</c:v>
              </c:pt>
              <c:pt idx="4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4-E7F8-4AF4-968C-5F8138A0EAA4}"/>
            </c:ext>
          </c:extLst>
        </c:ser>
        <c:ser>
          <c:idx val="3"/>
          <c:order val="3"/>
          <c:tx>
            <c:v>ST | Serena Truong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41"/>
              <c:pt idx="0">
                <c:v>Qtr0
</c:v>
              </c:pt>
              <c:pt idx="1">
                <c:v>Dec
Qtr4
2023</c:v>
              </c:pt>
              <c:pt idx="2">
                <c:v>Jan
Qtr1
2024</c:v>
              </c:pt>
              <c:pt idx="3">
                <c:v>Feb
Qtr1
2024</c:v>
              </c:pt>
              <c:pt idx="4">
                <c:v>Mar
Qtr1
2024</c:v>
              </c:pt>
              <c:pt idx="5">
                <c:v>Apr
Qtr2
2024</c:v>
              </c:pt>
              <c:pt idx="6">
                <c:v>May
Qtr2
2024</c:v>
              </c:pt>
              <c:pt idx="7">
                <c:v>Jul
Qtr3
2024</c:v>
              </c:pt>
              <c:pt idx="8">
                <c:v>Aug
Qtr3
2024</c:v>
              </c:pt>
              <c:pt idx="9">
                <c:v>Sep
Qtr3
2024</c:v>
              </c:pt>
              <c:pt idx="10">
                <c:v>Oct
Qtr4
2024</c:v>
              </c:pt>
              <c:pt idx="11">
                <c:v>Nov
Qtr4
2024</c:v>
              </c:pt>
              <c:pt idx="12">
                <c:v>Dec
Qtr4
2024</c:v>
              </c:pt>
              <c:pt idx="13">
                <c:v>Jan
Qtr1
2025</c:v>
              </c:pt>
              <c:pt idx="14">
                <c:v>Feb
Qtr1
2025</c:v>
              </c:pt>
              <c:pt idx="15">
                <c:v>Mar
Qtr1
2025</c:v>
              </c:pt>
              <c:pt idx="16">
                <c:v>Apr
Qtr2
2025</c:v>
              </c:pt>
              <c:pt idx="17">
                <c:v>May
Qtr2
2025</c:v>
              </c:pt>
              <c:pt idx="18">
                <c:v>Jun
Qtr2
2025</c:v>
              </c:pt>
              <c:pt idx="19">
                <c:v>Jul
Qtr3
2025</c:v>
              </c:pt>
              <c:pt idx="20">
                <c:v>Aug
Qtr3
2025</c:v>
              </c:pt>
              <c:pt idx="21">
                <c:v>Sep
Qtr3
2025</c:v>
              </c:pt>
              <c:pt idx="22">
                <c:v>Jan
Qtr1
2026</c:v>
              </c:pt>
              <c:pt idx="23">
                <c:v>Feb
Qtr1
2026</c:v>
              </c:pt>
              <c:pt idx="24">
                <c:v>Mar
Qtr1
2026</c:v>
              </c:pt>
              <c:pt idx="25">
                <c:v>Apr
Qtr2
2026</c:v>
              </c:pt>
              <c:pt idx="26">
                <c:v>May
Qtr2
2026</c:v>
              </c:pt>
              <c:pt idx="27">
                <c:v>Jun
Qtr2
2026</c:v>
              </c:pt>
              <c:pt idx="28">
                <c:v>Jul
Qtr3
2026</c:v>
              </c:pt>
              <c:pt idx="29">
                <c:v>Aug
Qtr3
2026</c:v>
              </c:pt>
              <c:pt idx="30">
                <c:v>Sep
Qtr3
2026</c:v>
              </c:pt>
              <c:pt idx="31">
                <c:v>Oct
Qtr4
2026</c:v>
              </c:pt>
              <c:pt idx="32">
                <c:v>Nov
Qtr4
2026</c:v>
              </c:pt>
              <c:pt idx="33">
                <c:v>Dec
Qtr4
2026</c:v>
              </c:pt>
              <c:pt idx="34">
                <c:v>Jan
Qtr1
2027</c:v>
              </c:pt>
              <c:pt idx="35">
                <c:v>Feb
Qtr1
2027</c:v>
              </c:pt>
              <c:pt idx="36">
                <c:v>Mar
Qtr1
2027</c:v>
              </c:pt>
              <c:pt idx="37">
                <c:v>Apr
Qtr2
2027</c:v>
              </c:pt>
              <c:pt idx="38">
                <c:v>May
Qtr2
2027</c:v>
              </c:pt>
              <c:pt idx="39">
                <c:v>Jul
Qtr3
2027</c:v>
              </c:pt>
              <c:pt idx="40">
                <c:v>Aug
Qtr3
2027</c:v>
              </c:pt>
            </c:strLit>
          </c:cat>
          <c:val>
            <c:numLit>
              <c:formatCode>General</c:formatCode>
              <c:ptCount val="41"/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6">
                <c:v>1</c:v>
              </c:pt>
              <c:pt idx="17">
                <c:v>2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4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2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2</c:v>
              </c:pt>
              <c:pt idx="39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5-E7F8-4AF4-968C-5F8138A0EAA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18209712"/>
        <c:axId val="107574208"/>
      </c:barChart>
      <c:catAx>
        <c:axId val="2182097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7420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0757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8209712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[TORPS Template v2.0.xlsm]PivotChartTable1</c15:name>
        <c15:fmtId val="0"/>
      </c15:pivotSource>
      <c15:pivotOptions>
        <c15:dropZoneFilter val="1"/>
        <c15:dropZoneCategories val="1"/>
        <c15:dropZoneData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AU"/>
              <a:t>Plan, Forecast, and Actual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Actual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48"/>
              <c:pt idx="0">
                <c:v>Qtr0
</c:v>
              </c:pt>
              <c:pt idx="1">
                <c:v>Dec
Qtr4
2023</c:v>
              </c:pt>
              <c:pt idx="2">
                <c:v>Jan
Qtr1
2024</c:v>
              </c:pt>
              <c:pt idx="3">
                <c:v>Feb
Qtr1
2024</c:v>
              </c:pt>
              <c:pt idx="4">
                <c:v>Mar
Qtr1
2024</c:v>
              </c:pt>
              <c:pt idx="5">
                <c:v>Apr
Qtr2
2024</c:v>
              </c:pt>
              <c:pt idx="6">
                <c:v>May
Qtr2
2024</c:v>
              </c:pt>
              <c:pt idx="7">
                <c:v>Jun
Qtr2
2024</c:v>
              </c:pt>
              <c:pt idx="8">
                <c:v>Jul
Qtr3
2024</c:v>
              </c:pt>
              <c:pt idx="9">
                <c:v>Aug
Qtr3
2024</c:v>
              </c:pt>
              <c:pt idx="10">
                <c:v>Sep
Qtr3
2024</c:v>
              </c:pt>
              <c:pt idx="11">
                <c:v>Oct
Qtr4
2024</c:v>
              </c:pt>
              <c:pt idx="12">
                <c:v>Nov
Qtr4
2024</c:v>
              </c:pt>
              <c:pt idx="13">
                <c:v>Dec
Qtr4
2024</c:v>
              </c:pt>
              <c:pt idx="14">
                <c:v>Jan
Qtr1
2025</c:v>
              </c:pt>
              <c:pt idx="15">
                <c:v>Feb
Qtr1
2025</c:v>
              </c:pt>
              <c:pt idx="16">
                <c:v>Mar
Qtr1
2025</c:v>
              </c:pt>
              <c:pt idx="17">
                <c:v>Apr
Qtr2
2025</c:v>
              </c:pt>
              <c:pt idx="18">
                <c:v>May
Qtr2
2025</c:v>
              </c:pt>
              <c:pt idx="19">
                <c:v>Jun
Qtr2
2025</c:v>
              </c:pt>
              <c:pt idx="20">
                <c:v>Jul
Qtr3
2025</c:v>
              </c:pt>
              <c:pt idx="21">
                <c:v>Aug
Qtr3
2025</c:v>
              </c:pt>
              <c:pt idx="22">
                <c:v>Sep
Qtr3
2025</c:v>
              </c:pt>
              <c:pt idx="23">
                <c:v>Dec
Qtr4
2025</c:v>
              </c:pt>
              <c:pt idx="24">
                <c:v>Jan
Qtr1
2026</c:v>
              </c:pt>
              <c:pt idx="25">
                <c:v>Feb
Qtr1
2026</c:v>
              </c:pt>
              <c:pt idx="26">
                <c:v>Mar
Qtr1
2026</c:v>
              </c:pt>
              <c:pt idx="27">
                <c:v>Apr
Qtr2
2026</c:v>
              </c:pt>
              <c:pt idx="28">
                <c:v>May
Qtr2
2026</c:v>
              </c:pt>
              <c:pt idx="29">
                <c:v>Jun
Qtr2
2026</c:v>
              </c:pt>
              <c:pt idx="30">
                <c:v>Jul
Qtr3
2026</c:v>
              </c:pt>
              <c:pt idx="31">
                <c:v>Aug
Qtr3
2026</c:v>
              </c:pt>
              <c:pt idx="32">
                <c:v>Sep
Qtr3
2026</c:v>
              </c:pt>
              <c:pt idx="33">
                <c:v>Oct
Qtr4
2026</c:v>
              </c:pt>
              <c:pt idx="34">
                <c:v>Nov
Qtr4
2026</c:v>
              </c:pt>
              <c:pt idx="35">
                <c:v>Dec
Qtr4
2026</c:v>
              </c:pt>
              <c:pt idx="36">
                <c:v>Jan
Qtr1
2027</c:v>
              </c:pt>
              <c:pt idx="37">
                <c:v>Feb
Qtr1
2027</c:v>
              </c:pt>
              <c:pt idx="38">
                <c:v>Mar
Qtr1
2027</c:v>
              </c:pt>
              <c:pt idx="39">
                <c:v>Apr
Qtr2
2027</c:v>
              </c:pt>
              <c:pt idx="40">
                <c:v>May
Qtr2
2027</c:v>
              </c:pt>
              <c:pt idx="41">
                <c:v>Jul
Qtr3
2027</c:v>
              </c:pt>
              <c:pt idx="42">
                <c:v>Aug
Qtr3
2027</c:v>
              </c:pt>
              <c:pt idx="43">
                <c:v>Nov
Qtr4
2027</c:v>
              </c:pt>
              <c:pt idx="44">
                <c:v>Dec
Qtr4
2027</c:v>
              </c:pt>
              <c:pt idx="45">
                <c:v>Jan
Qtr1
2028</c:v>
              </c:pt>
              <c:pt idx="46">
                <c:v>Feb
Qtr1
2028</c:v>
              </c:pt>
              <c:pt idx="47">
                <c:v>Jun
Qtr2
2028</c:v>
              </c:pt>
            </c:strLit>
          </c:cat>
          <c:val>
            <c:numLit>
              <c:formatCode>General</c:formatCode>
              <c:ptCount val="48"/>
              <c:pt idx="2">
                <c:v>1</c:v>
              </c:pt>
              <c:pt idx="3">
                <c:v>1</c:v>
              </c:pt>
              <c:pt idx="4">
                <c:v>1</c:v>
              </c:pt>
              <c:pt idx="7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2415-48D2-A46D-687C3B011833}"/>
            </c:ext>
          </c:extLst>
        </c:ser>
        <c:ser>
          <c:idx val="1"/>
          <c:order val="1"/>
          <c:tx>
            <c:v>Forecast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48"/>
              <c:pt idx="0">
                <c:v>Qtr0
</c:v>
              </c:pt>
              <c:pt idx="1">
                <c:v>Dec
Qtr4
2023</c:v>
              </c:pt>
              <c:pt idx="2">
                <c:v>Jan
Qtr1
2024</c:v>
              </c:pt>
              <c:pt idx="3">
                <c:v>Feb
Qtr1
2024</c:v>
              </c:pt>
              <c:pt idx="4">
                <c:v>Mar
Qtr1
2024</c:v>
              </c:pt>
              <c:pt idx="5">
                <c:v>Apr
Qtr2
2024</c:v>
              </c:pt>
              <c:pt idx="6">
                <c:v>May
Qtr2
2024</c:v>
              </c:pt>
              <c:pt idx="7">
                <c:v>Jun
Qtr2
2024</c:v>
              </c:pt>
              <c:pt idx="8">
                <c:v>Jul
Qtr3
2024</c:v>
              </c:pt>
              <c:pt idx="9">
                <c:v>Aug
Qtr3
2024</c:v>
              </c:pt>
              <c:pt idx="10">
                <c:v>Sep
Qtr3
2024</c:v>
              </c:pt>
              <c:pt idx="11">
                <c:v>Oct
Qtr4
2024</c:v>
              </c:pt>
              <c:pt idx="12">
                <c:v>Nov
Qtr4
2024</c:v>
              </c:pt>
              <c:pt idx="13">
                <c:v>Dec
Qtr4
2024</c:v>
              </c:pt>
              <c:pt idx="14">
                <c:v>Jan
Qtr1
2025</c:v>
              </c:pt>
              <c:pt idx="15">
                <c:v>Feb
Qtr1
2025</c:v>
              </c:pt>
              <c:pt idx="16">
                <c:v>Mar
Qtr1
2025</c:v>
              </c:pt>
              <c:pt idx="17">
                <c:v>Apr
Qtr2
2025</c:v>
              </c:pt>
              <c:pt idx="18">
                <c:v>May
Qtr2
2025</c:v>
              </c:pt>
              <c:pt idx="19">
                <c:v>Jun
Qtr2
2025</c:v>
              </c:pt>
              <c:pt idx="20">
                <c:v>Jul
Qtr3
2025</c:v>
              </c:pt>
              <c:pt idx="21">
                <c:v>Aug
Qtr3
2025</c:v>
              </c:pt>
              <c:pt idx="22">
                <c:v>Sep
Qtr3
2025</c:v>
              </c:pt>
              <c:pt idx="23">
                <c:v>Dec
Qtr4
2025</c:v>
              </c:pt>
              <c:pt idx="24">
                <c:v>Jan
Qtr1
2026</c:v>
              </c:pt>
              <c:pt idx="25">
                <c:v>Feb
Qtr1
2026</c:v>
              </c:pt>
              <c:pt idx="26">
                <c:v>Mar
Qtr1
2026</c:v>
              </c:pt>
              <c:pt idx="27">
                <c:v>Apr
Qtr2
2026</c:v>
              </c:pt>
              <c:pt idx="28">
                <c:v>May
Qtr2
2026</c:v>
              </c:pt>
              <c:pt idx="29">
                <c:v>Jun
Qtr2
2026</c:v>
              </c:pt>
              <c:pt idx="30">
                <c:v>Jul
Qtr3
2026</c:v>
              </c:pt>
              <c:pt idx="31">
                <c:v>Aug
Qtr3
2026</c:v>
              </c:pt>
              <c:pt idx="32">
                <c:v>Sep
Qtr3
2026</c:v>
              </c:pt>
              <c:pt idx="33">
                <c:v>Oct
Qtr4
2026</c:v>
              </c:pt>
              <c:pt idx="34">
                <c:v>Nov
Qtr4
2026</c:v>
              </c:pt>
              <c:pt idx="35">
                <c:v>Dec
Qtr4
2026</c:v>
              </c:pt>
              <c:pt idx="36">
                <c:v>Jan
Qtr1
2027</c:v>
              </c:pt>
              <c:pt idx="37">
                <c:v>Feb
Qtr1
2027</c:v>
              </c:pt>
              <c:pt idx="38">
                <c:v>Mar
Qtr1
2027</c:v>
              </c:pt>
              <c:pt idx="39">
                <c:v>Apr
Qtr2
2027</c:v>
              </c:pt>
              <c:pt idx="40">
                <c:v>May
Qtr2
2027</c:v>
              </c:pt>
              <c:pt idx="41">
                <c:v>Jul
Qtr3
2027</c:v>
              </c:pt>
              <c:pt idx="42">
                <c:v>Aug
Qtr3
2027</c:v>
              </c:pt>
              <c:pt idx="43">
                <c:v>Nov
Qtr4
2027</c:v>
              </c:pt>
              <c:pt idx="44">
                <c:v>Dec
Qtr4
2027</c:v>
              </c:pt>
              <c:pt idx="45">
                <c:v>Jan
Qtr1
2028</c:v>
              </c:pt>
              <c:pt idx="46">
                <c:v>Feb
Qtr1
2028</c:v>
              </c:pt>
              <c:pt idx="47">
                <c:v>Jun
Qtr2
2028</c:v>
              </c:pt>
            </c:strLit>
          </c:cat>
          <c:val>
            <c:numLit>
              <c:formatCode>General</c:formatCode>
              <c:ptCount val="48"/>
              <c:pt idx="0">
                <c:v>1</c:v>
              </c:pt>
              <c:pt idx="2">
                <c:v>2</c:v>
              </c:pt>
              <c:pt idx="3">
                <c:v>4</c:v>
              </c:pt>
              <c:pt idx="4">
                <c:v>7</c:v>
              </c:pt>
              <c:pt idx="5">
                <c:v>5</c:v>
              </c:pt>
              <c:pt idx="6">
                <c:v>5</c:v>
              </c:pt>
              <c:pt idx="7">
                <c:v>5</c:v>
              </c:pt>
              <c:pt idx="8">
                <c:v>3</c:v>
              </c:pt>
              <c:pt idx="9">
                <c:v>8</c:v>
              </c:pt>
              <c:pt idx="10">
                <c:v>3</c:v>
              </c:pt>
              <c:pt idx="11">
                <c:v>6</c:v>
              </c:pt>
              <c:pt idx="12">
                <c:v>7</c:v>
              </c:pt>
              <c:pt idx="13">
                <c:v>3</c:v>
              </c:pt>
              <c:pt idx="14">
                <c:v>5</c:v>
              </c:pt>
              <c:pt idx="15">
                <c:v>2</c:v>
              </c:pt>
              <c:pt idx="17">
                <c:v>3</c:v>
              </c:pt>
              <c:pt idx="18">
                <c:v>5</c:v>
              </c:pt>
              <c:pt idx="19">
                <c:v>1</c:v>
              </c:pt>
              <c:pt idx="20">
                <c:v>2</c:v>
              </c:pt>
              <c:pt idx="21">
                <c:v>2</c:v>
              </c:pt>
              <c:pt idx="22">
                <c:v>2</c:v>
              </c:pt>
              <c:pt idx="23">
                <c:v>4</c:v>
              </c:pt>
              <c:pt idx="24">
                <c:v>1</c:v>
              </c:pt>
              <c:pt idx="25">
                <c:v>2</c:v>
              </c:pt>
              <c:pt idx="26">
                <c:v>3</c:v>
              </c:pt>
              <c:pt idx="27">
                <c:v>3</c:v>
              </c:pt>
              <c:pt idx="28">
                <c:v>2</c:v>
              </c:pt>
              <c:pt idx="29">
                <c:v>2</c:v>
              </c:pt>
              <c:pt idx="30">
                <c:v>4</c:v>
              </c:pt>
              <c:pt idx="31">
                <c:v>7</c:v>
              </c:pt>
              <c:pt idx="32">
                <c:v>6</c:v>
              </c:pt>
              <c:pt idx="33">
                <c:v>6</c:v>
              </c:pt>
              <c:pt idx="34">
                <c:v>6</c:v>
              </c:pt>
              <c:pt idx="35">
                <c:v>6</c:v>
              </c:pt>
              <c:pt idx="36">
                <c:v>5</c:v>
              </c:pt>
              <c:pt idx="37">
                <c:v>2</c:v>
              </c:pt>
              <c:pt idx="38">
                <c:v>3</c:v>
              </c:pt>
              <c:pt idx="39">
                <c:v>2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4</c:v>
              </c:pt>
              <c:pt idx="44">
                <c:v>1</c:v>
              </c:pt>
              <c:pt idx="45">
                <c:v>2</c:v>
              </c:pt>
              <c:pt idx="46">
                <c:v>3</c:v>
              </c:pt>
              <c:pt idx="47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2-2415-48D2-A46D-687C3B011833}"/>
            </c:ext>
          </c:extLst>
        </c:ser>
        <c:ser>
          <c:idx val="2"/>
          <c:order val="2"/>
          <c:tx>
            <c:v>Plan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48"/>
              <c:pt idx="0">
                <c:v>Qtr0
</c:v>
              </c:pt>
              <c:pt idx="1">
                <c:v>Dec
Qtr4
2023</c:v>
              </c:pt>
              <c:pt idx="2">
                <c:v>Jan
Qtr1
2024</c:v>
              </c:pt>
              <c:pt idx="3">
                <c:v>Feb
Qtr1
2024</c:v>
              </c:pt>
              <c:pt idx="4">
                <c:v>Mar
Qtr1
2024</c:v>
              </c:pt>
              <c:pt idx="5">
                <c:v>Apr
Qtr2
2024</c:v>
              </c:pt>
              <c:pt idx="6">
                <c:v>May
Qtr2
2024</c:v>
              </c:pt>
              <c:pt idx="7">
                <c:v>Jun
Qtr2
2024</c:v>
              </c:pt>
              <c:pt idx="8">
                <c:v>Jul
Qtr3
2024</c:v>
              </c:pt>
              <c:pt idx="9">
                <c:v>Aug
Qtr3
2024</c:v>
              </c:pt>
              <c:pt idx="10">
                <c:v>Sep
Qtr3
2024</c:v>
              </c:pt>
              <c:pt idx="11">
                <c:v>Oct
Qtr4
2024</c:v>
              </c:pt>
              <c:pt idx="12">
                <c:v>Nov
Qtr4
2024</c:v>
              </c:pt>
              <c:pt idx="13">
                <c:v>Dec
Qtr4
2024</c:v>
              </c:pt>
              <c:pt idx="14">
                <c:v>Jan
Qtr1
2025</c:v>
              </c:pt>
              <c:pt idx="15">
                <c:v>Feb
Qtr1
2025</c:v>
              </c:pt>
              <c:pt idx="16">
                <c:v>Mar
Qtr1
2025</c:v>
              </c:pt>
              <c:pt idx="17">
                <c:v>Apr
Qtr2
2025</c:v>
              </c:pt>
              <c:pt idx="18">
                <c:v>May
Qtr2
2025</c:v>
              </c:pt>
              <c:pt idx="19">
                <c:v>Jun
Qtr2
2025</c:v>
              </c:pt>
              <c:pt idx="20">
                <c:v>Jul
Qtr3
2025</c:v>
              </c:pt>
              <c:pt idx="21">
                <c:v>Aug
Qtr3
2025</c:v>
              </c:pt>
              <c:pt idx="22">
                <c:v>Sep
Qtr3
2025</c:v>
              </c:pt>
              <c:pt idx="23">
                <c:v>Dec
Qtr4
2025</c:v>
              </c:pt>
              <c:pt idx="24">
                <c:v>Jan
Qtr1
2026</c:v>
              </c:pt>
              <c:pt idx="25">
                <c:v>Feb
Qtr1
2026</c:v>
              </c:pt>
              <c:pt idx="26">
                <c:v>Mar
Qtr1
2026</c:v>
              </c:pt>
              <c:pt idx="27">
                <c:v>Apr
Qtr2
2026</c:v>
              </c:pt>
              <c:pt idx="28">
                <c:v>May
Qtr2
2026</c:v>
              </c:pt>
              <c:pt idx="29">
                <c:v>Jun
Qtr2
2026</c:v>
              </c:pt>
              <c:pt idx="30">
                <c:v>Jul
Qtr3
2026</c:v>
              </c:pt>
              <c:pt idx="31">
                <c:v>Aug
Qtr3
2026</c:v>
              </c:pt>
              <c:pt idx="32">
                <c:v>Sep
Qtr3
2026</c:v>
              </c:pt>
              <c:pt idx="33">
                <c:v>Oct
Qtr4
2026</c:v>
              </c:pt>
              <c:pt idx="34">
                <c:v>Nov
Qtr4
2026</c:v>
              </c:pt>
              <c:pt idx="35">
                <c:v>Dec
Qtr4
2026</c:v>
              </c:pt>
              <c:pt idx="36">
                <c:v>Jan
Qtr1
2027</c:v>
              </c:pt>
              <c:pt idx="37">
                <c:v>Feb
Qtr1
2027</c:v>
              </c:pt>
              <c:pt idx="38">
                <c:v>Mar
Qtr1
2027</c:v>
              </c:pt>
              <c:pt idx="39">
                <c:v>Apr
Qtr2
2027</c:v>
              </c:pt>
              <c:pt idx="40">
                <c:v>May
Qtr2
2027</c:v>
              </c:pt>
              <c:pt idx="41">
                <c:v>Jul
Qtr3
2027</c:v>
              </c:pt>
              <c:pt idx="42">
                <c:v>Aug
Qtr3
2027</c:v>
              </c:pt>
              <c:pt idx="43">
                <c:v>Nov
Qtr4
2027</c:v>
              </c:pt>
              <c:pt idx="44">
                <c:v>Dec
Qtr4
2027</c:v>
              </c:pt>
              <c:pt idx="45">
                <c:v>Jan
Qtr1
2028</c:v>
              </c:pt>
              <c:pt idx="46">
                <c:v>Feb
Qtr1
2028</c:v>
              </c:pt>
              <c:pt idx="47">
                <c:v>Jun
Qtr2
2028</c:v>
              </c:pt>
            </c:strLit>
          </c:cat>
          <c:val>
            <c:numLit>
              <c:formatCode>General</c:formatCode>
              <c:ptCount val="48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3</c:v>
              </c:pt>
              <c:pt idx="4">
                <c:v>1</c:v>
              </c:pt>
              <c:pt idx="5">
                <c:v>2</c:v>
              </c:pt>
              <c:pt idx="6">
                <c:v>3</c:v>
              </c:pt>
              <c:pt idx="8">
                <c:v>1</c:v>
              </c:pt>
              <c:pt idx="9">
                <c:v>4</c:v>
              </c:pt>
              <c:pt idx="10">
                <c:v>2</c:v>
              </c:pt>
              <c:pt idx="11">
                <c:v>6</c:v>
              </c:pt>
              <c:pt idx="12">
                <c:v>6</c:v>
              </c:pt>
              <c:pt idx="13">
                <c:v>3</c:v>
              </c:pt>
              <c:pt idx="14">
                <c:v>7</c:v>
              </c:pt>
              <c:pt idx="15">
                <c:v>4</c:v>
              </c:pt>
              <c:pt idx="16">
                <c:v>3</c:v>
              </c:pt>
              <c:pt idx="17">
                <c:v>4</c:v>
              </c:pt>
              <c:pt idx="18">
                <c:v>9</c:v>
              </c:pt>
              <c:pt idx="19">
                <c:v>7</c:v>
              </c:pt>
              <c:pt idx="20">
                <c:v>4</c:v>
              </c:pt>
              <c:pt idx="21">
                <c:v>3</c:v>
              </c:pt>
              <c:pt idx="22">
                <c:v>4</c:v>
              </c:pt>
              <c:pt idx="24">
                <c:v>1</c:v>
              </c:pt>
              <c:pt idx="25">
                <c:v>2</c:v>
              </c:pt>
              <c:pt idx="26">
                <c:v>3</c:v>
              </c:pt>
              <c:pt idx="27">
                <c:v>3</c:v>
              </c:pt>
              <c:pt idx="28">
                <c:v>1</c:v>
              </c:pt>
              <c:pt idx="29">
                <c:v>3</c:v>
              </c:pt>
              <c:pt idx="30">
                <c:v>3</c:v>
              </c:pt>
              <c:pt idx="31">
                <c:v>5</c:v>
              </c:pt>
              <c:pt idx="32">
                <c:v>7</c:v>
              </c:pt>
              <c:pt idx="33">
                <c:v>9</c:v>
              </c:pt>
              <c:pt idx="34">
                <c:v>6</c:v>
              </c:pt>
              <c:pt idx="35">
                <c:v>6</c:v>
              </c:pt>
              <c:pt idx="36">
                <c:v>7</c:v>
              </c:pt>
              <c:pt idx="37">
                <c:v>3</c:v>
              </c:pt>
              <c:pt idx="38">
                <c:v>3</c:v>
              </c:pt>
              <c:pt idx="39">
                <c:v>2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2415-48D2-A46D-687C3B011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00070655"/>
        <c:axId val="107554176"/>
      </c:barChart>
      <c:catAx>
        <c:axId val="1800070655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54176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0755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0070655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[TORPS Template v2.0.xlsm]PivotChartTable2</c15:name>
        <c15:fmtId val="0"/>
      </c15:pivotSource>
      <c15:pivotOptions>
        <c15:dropZoneFilter val="1"/>
        <c15:dropZoneCategories val="1"/>
        <c15:dropZoneData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Actual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12"/>
              <c:pt idx="0">
                <c:v>12 | Start On Site</c:v>
              </c:pt>
              <c:pt idx="1">
                <c:v>11 | Lead Time</c:v>
              </c:pt>
              <c:pt idx="2">
                <c:v>10 | Place Order / Contract Execution</c:v>
              </c:pt>
              <c:pt idx="3">
                <c:v>09 | Recommendation External Approval</c:v>
              </c:pt>
              <c:pt idx="4">
                <c:v>08 | Recommendation Internal Approval</c:v>
              </c:pt>
              <c:pt idx="5">
                <c:v>07 | Tender Evaluation &amp; Recommendation Complete</c:v>
              </c:pt>
              <c:pt idx="6">
                <c:v>06 | Return of Tender</c:v>
              </c:pt>
              <c:pt idx="7">
                <c:v>05 | Out to Tender</c:v>
              </c:pt>
              <c:pt idx="8">
                <c:v>04 | Tender Documents External Approval</c:v>
              </c:pt>
              <c:pt idx="9">
                <c:v>03 | Tender Documents Internal Approval</c:v>
              </c:pt>
              <c:pt idx="10">
                <c:v>02 | Tender Documents completed</c:v>
              </c:pt>
              <c:pt idx="11">
                <c:v>01 | Receipt of Design Documentation issued for tender</c:v>
              </c:pt>
            </c:strLit>
          </c:cat>
          <c:val>
            <c:numLit>
              <c:formatCode>General</c:formatCode>
              <c:ptCount val="12"/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CBBB-4C38-8E86-4C49BEAE1599}"/>
            </c:ext>
          </c:extLst>
        </c:ser>
        <c:ser>
          <c:idx val="1"/>
          <c:order val="1"/>
          <c:tx>
            <c:v>Plan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12"/>
              <c:pt idx="0">
                <c:v>12 | Start On Site</c:v>
              </c:pt>
              <c:pt idx="1">
                <c:v>11 | Lead Time</c:v>
              </c:pt>
              <c:pt idx="2">
                <c:v>10 | Place Order / Contract Execution</c:v>
              </c:pt>
              <c:pt idx="3">
                <c:v>09 | Recommendation External Approval</c:v>
              </c:pt>
              <c:pt idx="4">
                <c:v>08 | Recommendation Internal Approval</c:v>
              </c:pt>
              <c:pt idx="5">
                <c:v>07 | Tender Evaluation &amp; Recommendation Complete</c:v>
              </c:pt>
              <c:pt idx="6">
                <c:v>06 | Return of Tender</c:v>
              </c:pt>
              <c:pt idx="7">
                <c:v>05 | Out to Tender</c:v>
              </c:pt>
              <c:pt idx="8">
                <c:v>04 | Tender Documents External Approval</c:v>
              </c:pt>
              <c:pt idx="9">
                <c:v>03 | Tender Documents Internal Approval</c:v>
              </c:pt>
              <c:pt idx="10">
                <c:v>02 | Tender Documents completed</c:v>
              </c:pt>
              <c:pt idx="11">
                <c:v>01 | Receipt of Design Documentation issued for tender</c:v>
              </c:pt>
            </c:strLit>
          </c:cat>
          <c:val>
            <c:numLit>
              <c:formatCode>General</c:formatCode>
              <c:ptCount val="12"/>
              <c:pt idx="0">
                <c:v>14</c:v>
              </c:pt>
              <c:pt idx="1">
                <c:v>16</c:v>
              </c:pt>
              <c:pt idx="2">
                <c:v>16</c:v>
              </c:pt>
              <c:pt idx="3">
                <c:v>16</c:v>
              </c:pt>
              <c:pt idx="4">
                <c:v>16</c:v>
              </c:pt>
              <c:pt idx="5">
                <c:v>16</c:v>
              </c:pt>
              <c:pt idx="6">
                <c:v>16</c:v>
              </c:pt>
              <c:pt idx="7">
                <c:v>16</c:v>
              </c:pt>
              <c:pt idx="8">
                <c:v>16</c:v>
              </c:pt>
              <c:pt idx="9">
                <c:v>16</c:v>
              </c:pt>
              <c:pt idx="10">
                <c:v>16</c:v>
              </c:pt>
              <c:pt idx="11">
                <c:v>16</c:v>
              </c:pt>
            </c:numLit>
          </c:val>
          <c:extLst>
            <c:ext xmlns:c16="http://schemas.microsoft.com/office/drawing/2014/chart" uri="{C3380CC4-5D6E-409C-BE32-E72D297353CC}">
              <c16:uniqueId val="{00000002-CBBB-4C38-8E86-4C49BEAE1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89748976"/>
        <c:axId val="161525664"/>
      </c:barChart>
      <c:catAx>
        <c:axId val="48974897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2566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61525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48976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[TORPS Template v2.0.xlsm]PivotChartTable3</c15:name>
        <c15:fmtId val="0"/>
      </c15:pivotSource>
      <c15:pivotOptions>
        <c15:dropZoneFilter val="1"/>
        <c15:dropZoneCategories val="1"/>
        <c15:dropZoneData val="1"/>
        <c15:dropZoneSe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843641</xdr:colOff>
      <xdr:row>1</xdr:row>
      <xdr:rowOff>40820</xdr:rowOff>
    </xdr:from>
    <xdr:to>
      <xdr:col>21</xdr:col>
      <xdr:colOff>2232574</xdr:colOff>
      <xdr:row>3</xdr:row>
      <xdr:rowOff>250824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1E078C9-3256-4100-A6B1-1CF487BBBEF3}"/>
            </a:ext>
          </a:extLst>
        </xdr:cNvPr>
        <xdr:cNvSpPr txBox="1"/>
      </xdr:nvSpPr>
      <xdr:spPr>
        <a:xfrm>
          <a:off x="26125712" y="285749"/>
          <a:ext cx="1388933" cy="822325"/>
        </a:xfrm>
        <a:prstGeom prst="rect">
          <a:avLst/>
        </a:prstGeom>
        <a:ln>
          <a:solidFill>
            <a:schemeClr val="tx2"/>
          </a:solidFill>
          <a:prstDash val="dash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050" b="0" i="1">
              <a:solidFill>
                <a:schemeClr val="accent1"/>
              </a:solidFill>
              <a:latin typeface="Century Gothic" panose="020B0502020202020204" pitchFamily="34" charset="0"/>
            </a:rPr>
            <a:t>[insert project /</a:t>
          </a:r>
          <a:br>
            <a:rPr lang="en-AU" sz="1050" b="0" i="1">
              <a:solidFill>
                <a:schemeClr val="accent1"/>
              </a:solidFill>
              <a:latin typeface="Century Gothic" panose="020B0502020202020204" pitchFamily="34" charset="0"/>
            </a:rPr>
          </a:br>
          <a:r>
            <a:rPr lang="en-AU" sz="1050" b="0" i="1">
              <a:solidFill>
                <a:schemeClr val="accent1"/>
              </a:solidFill>
              <a:latin typeface="Century Gothic" panose="020B0502020202020204" pitchFamily="34" charset="0"/>
            </a:rPr>
            <a:t> client logo here]</a:t>
          </a:r>
        </a:p>
      </xdr:txBody>
    </xdr:sp>
    <xdr:clientData/>
  </xdr:twoCellAnchor>
  <xdr:twoCellAnchor editAs="oneCell">
    <xdr:from>
      <xdr:col>1</xdr:col>
      <xdr:colOff>98502</xdr:colOff>
      <xdr:row>1</xdr:row>
      <xdr:rowOff>157052</xdr:rowOff>
    </xdr:from>
    <xdr:to>
      <xdr:col>2</xdr:col>
      <xdr:colOff>189518</xdr:colOff>
      <xdr:row>3</xdr:row>
      <xdr:rowOff>182219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881CC4FD-190C-4F32-9D47-7071F030F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645" y="401981"/>
          <a:ext cx="1431773" cy="627963"/>
        </a:xfrm>
        <a:prstGeom prst="rect">
          <a:avLst/>
        </a:prstGeom>
      </xdr:spPr>
    </xdr:pic>
    <xdr:clientData/>
  </xdr:twoCellAnchor>
  <xdr:twoCellAnchor editAs="oneCell">
    <xdr:from>
      <xdr:col>5</xdr:col>
      <xdr:colOff>1421160</xdr:colOff>
      <xdr:row>5</xdr:row>
      <xdr:rowOff>8794</xdr:rowOff>
    </xdr:from>
    <xdr:to>
      <xdr:col>5</xdr:col>
      <xdr:colOff>1693806</xdr:colOff>
      <xdr:row>6</xdr:row>
      <xdr:rowOff>190147</xdr:rowOff>
    </xdr:to>
    <xdr:pic macro="[0]!ProtectSpecificSheets">
      <xdr:nvPicPr>
        <xdr:cNvPr id="3" name="Picture 2">
          <a:extLst>
            <a:ext uri="{FF2B5EF4-FFF2-40B4-BE49-F238E27FC236}">
              <a16:creationId xmlns:a16="http://schemas.microsoft.com/office/drawing/2014/main" id="{64DD73E7-0582-4A99-A6CC-FB785B1364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84160" y="1405794"/>
          <a:ext cx="271286" cy="426282"/>
        </a:xfrm>
        <a:prstGeom prst="rect">
          <a:avLst/>
        </a:prstGeom>
      </xdr:spPr>
    </xdr:pic>
    <xdr:clientData fPrintsWithSheet="0"/>
  </xdr:twoCellAnchor>
  <xdr:twoCellAnchor>
    <xdr:from>
      <xdr:col>3</xdr:col>
      <xdr:colOff>1133927</xdr:colOff>
      <xdr:row>5</xdr:row>
      <xdr:rowOff>136071</xdr:rowOff>
    </xdr:from>
    <xdr:to>
      <xdr:col>4</xdr:col>
      <xdr:colOff>1242786</xdr:colOff>
      <xdr:row>6</xdr:row>
      <xdr:rowOff>217834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796D50E9-0D64-D322-EC04-B4377D0219A4}"/>
            </a:ext>
          </a:extLst>
        </xdr:cNvPr>
        <xdr:cNvGrpSpPr/>
      </xdr:nvGrpSpPr>
      <xdr:grpSpPr>
        <a:xfrm>
          <a:off x="5460297" y="1521526"/>
          <a:ext cx="1362119" cy="327392"/>
          <a:chOff x="6930570" y="1533072"/>
          <a:chExt cx="1342573" cy="326571"/>
        </a:xfrm>
      </xdr:grpSpPr>
      <xdr:sp macro="[0]!InsertRowsOnClic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1C1BBD5E-BAEF-6684-933C-76B87D49184A}"/>
              </a:ext>
            </a:extLst>
          </xdr:cNvPr>
          <xdr:cNvSpPr/>
        </xdr:nvSpPr>
        <xdr:spPr>
          <a:xfrm>
            <a:off x="6930570" y="1533072"/>
            <a:ext cx="1342573" cy="326571"/>
          </a:xfrm>
          <a:prstGeom prst="roundRect">
            <a:avLst/>
          </a:prstGeom>
          <a:solidFill>
            <a:schemeClr val="accent6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AU" sz="1400">
                <a:solidFill>
                  <a:schemeClr val="bg1"/>
                </a:solidFill>
              </a:rPr>
              <a:t>Add Row</a:t>
            </a:r>
          </a:p>
        </xdr:txBody>
      </xdr:sp>
      <xdr:sp macro="[0]!InsertRowsOnClick" textlink="">
        <xdr:nvSpPr>
          <xdr:cNvPr id="8" name="Plus Sign 7">
            <a:extLst>
              <a:ext uri="{FF2B5EF4-FFF2-40B4-BE49-F238E27FC236}">
                <a16:creationId xmlns:a16="http://schemas.microsoft.com/office/drawing/2014/main" id="{E29F767D-EAE7-1ADE-B826-A4FC26704D4A}"/>
              </a:ext>
            </a:extLst>
          </xdr:cNvPr>
          <xdr:cNvSpPr/>
        </xdr:nvSpPr>
        <xdr:spPr>
          <a:xfrm>
            <a:off x="7070902" y="1605761"/>
            <a:ext cx="228005" cy="208523"/>
          </a:xfrm>
          <a:prstGeom prst="mathPlus">
            <a:avLst/>
          </a:prstGeom>
          <a:solidFill>
            <a:schemeClr val="bg1"/>
          </a:solidFill>
          <a:ln>
            <a:solidFill>
              <a:schemeClr val="accent6">
                <a:lumMod val="20000"/>
                <a:lumOff val="80000"/>
              </a:schemeClr>
            </a:solidFill>
          </a:ln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4</xdr:col>
      <xdr:colOff>1386113</xdr:colOff>
      <xdr:row>5</xdr:row>
      <xdr:rowOff>125020</xdr:rowOff>
    </xdr:from>
    <xdr:to>
      <xdr:col>5</xdr:col>
      <xdr:colOff>996043</xdr:colOff>
      <xdr:row>6</xdr:row>
      <xdr:rowOff>207507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FDBED80D-10C6-503D-ED3A-D5ABC4FCF99D}"/>
            </a:ext>
          </a:extLst>
        </xdr:cNvPr>
        <xdr:cNvGrpSpPr/>
      </xdr:nvGrpSpPr>
      <xdr:grpSpPr>
        <a:xfrm>
          <a:off x="6959393" y="1507300"/>
          <a:ext cx="1226870" cy="328116"/>
          <a:chOff x="8416470" y="1522187"/>
          <a:chExt cx="1342573" cy="326571"/>
        </a:xfrm>
      </xdr:grpSpPr>
      <xdr:sp macro="[0]!DeleteSelectedTableRows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611E05F8-DFC7-BAB8-BBFE-A498D6B42A42}"/>
              </a:ext>
            </a:extLst>
          </xdr:cNvPr>
          <xdr:cNvSpPr/>
        </xdr:nvSpPr>
        <xdr:spPr>
          <a:xfrm>
            <a:off x="8416470" y="1522187"/>
            <a:ext cx="1342573" cy="326571"/>
          </a:xfrm>
          <a:prstGeom prst="roundRect">
            <a:avLst/>
          </a:prstGeom>
          <a:solidFill>
            <a:srgbClr val="FF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AU" sz="1400">
                <a:solidFill>
                  <a:schemeClr val="bg1"/>
                </a:solidFill>
              </a:rPr>
              <a:t>Delete Row</a:t>
            </a:r>
          </a:p>
        </xdr:txBody>
      </xdr:sp>
      <xdr:sp macro="[0]!DeleteSelectedTableRows" textlink="">
        <xdr:nvSpPr>
          <xdr:cNvPr id="13" name="Minus Sign 12">
            <a:extLst>
              <a:ext uri="{FF2B5EF4-FFF2-40B4-BE49-F238E27FC236}">
                <a16:creationId xmlns:a16="http://schemas.microsoft.com/office/drawing/2014/main" id="{B7363C68-C0B8-C867-3DC5-5C52226E8EB1}"/>
              </a:ext>
            </a:extLst>
          </xdr:cNvPr>
          <xdr:cNvSpPr/>
        </xdr:nvSpPr>
        <xdr:spPr>
          <a:xfrm>
            <a:off x="8499336" y="1629262"/>
            <a:ext cx="195872" cy="148280"/>
          </a:xfrm>
          <a:prstGeom prst="mathMinus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 editAs="oneCell">
    <xdr:from>
      <xdr:col>6</xdr:col>
      <xdr:colOff>398496</xdr:colOff>
      <xdr:row>4</xdr:row>
      <xdr:rowOff>229751</xdr:rowOff>
    </xdr:from>
    <xdr:to>
      <xdr:col>6</xdr:col>
      <xdr:colOff>771394</xdr:colOff>
      <xdr:row>6</xdr:row>
      <xdr:rowOff>192363</xdr:rowOff>
    </xdr:to>
    <xdr:pic macro="[0]!UnLockAll">
      <xdr:nvPicPr>
        <xdr:cNvPr id="16" name="Picture 15">
          <a:extLst>
            <a:ext uri="{FF2B5EF4-FFF2-40B4-BE49-F238E27FC236}">
              <a16:creationId xmlns:a16="http://schemas.microsoft.com/office/drawing/2014/main" id="{60D70740-54E3-C153-CF14-14F854A94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3425" y="1381822"/>
          <a:ext cx="369723" cy="452470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1317166</xdr:colOff>
      <xdr:row>5</xdr:row>
      <xdr:rowOff>143329</xdr:rowOff>
    </xdr:from>
    <xdr:to>
      <xdr:col>8</xdr:col>
      <xdr:colOff>228599</xdr:colOff>
      <xdr:row>7</xdr:row>
      <xdr:rowOff>2539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6A584CEC-FD6E-310B-20AF-88961FF9D6E4}"/>
            </a:ext>
          </a:extLst>
        </xdr:cNvPr>
        <xdr:cNvGrpSpPr/>
      </xdr:nvGrpSpPr>
      <xdr:grpSpPr>
        <a:xfrm>
          <a:off x="10287984" y="1525609"/>
          <a:ext cx="1959433" cy="347294"/>
          <a:chOff x="38627955" y="973365"/>
          <a:chExt cx="2574598" cy="342263"/>
        </a:xfrm>
      </xdr:grpSpPr>
      <xdr:sp macro="[0]!RefreshAll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1D6FE383-9010-CE4B-15D9-F5B3A8436272}"/>
              </a:ext>
            </a:extLst>
          </xdr:cNvPr>
          <xdr:cNvSpPr/>
        </xdr:nvSpPr>
        <xdr:spPr>
          <a:xfrm>
            <a:off x="38627955" y="973365"/>
            <a:ext cx="2574598" cy="342263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solidFill>
              <a:schemeClr val="bg2">
                <a:lumMod val="5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AU" sz="1400">
                <a:solidFill>
                  <a:schemeClr val="bg1"/>
                </a:solidFill>
              </a:rPr>
              <a:t>Refresh PRISM UPLOADES</a:t>
            </a:r>
          </a:p>
        </xdr:txBody>
      </xdr:sp>
      <xdr:pic macro="[0]!RefreshAll">
        <xdr:nvPicPr>
          <xdr:cNvPr id="5" name="Graphic 4" descr="Repeat with solid fill">
            <a:extLst>
              <a:ext uri="{FF2B5EF4-FFF2-40B4-BE49-F238E27FC236}">
                <a16:creationId xmlns:a16="http://schemas.microsoft.com/office/drawing/2014/main" id="{87F0E1EB-BA7B-7C23-9C3E-EBC8CA2884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38738615" y="1008444"/>
            <a:ext cx="283960" cy="28226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431800</xdr:colOff>
      <xdr:row>4</xdr:row>
      <xdr:rowOff>49893</xdr:rowOff>
    </xdr:from>
    <xdr:to>
      <xdr:col>6</xdr:col>
      <xdr:colOff>34473</xdr:colOff>
      <xdr:row>6</xdr:row>
      <xdr:rowOff>12922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A51D467-2F61-4CFF-8735-3DB3E13CFEE0}"/>
            </a:ext>
          </a:extLst>
        </xdr:cNvPr>
        <xdr:cNvGrpSpPr/>
      </xdr:nvGrpSpPr>
      <xdr:grpSpPr>
        <a:xfrm>
          <a:off x="1190625" y="770618"/>
          <a:ext cx="1336223" cy="324979"/>
          <a:chOff x="6930570" y="1533072"/>
          <a:chExt cx="1342573" cy="331329"/>
        </a:xfrm>
      </xdr:grpSpPr>
      <xdr:sp macro="[0]!InsertRowsOnClick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30B7679-D9D3-486D-5256-9AFDDB73DE07}"/>
              </a:ext>
            </a:extLst>
          </xdr:cNvPr>
          <xdr:cNvSpPr/>
        </xdr:nvSpPr>
        <xdr:spPr>
          <a:xfrm>
            <a:off x="6930570" y="1533072"/>
            <a:ext cx="1342573" cy="326571"/>
          </a:xfrm>
          <a:prstGeom prst="roundRect">
            <a:avLst/>
          </a:prstGeom>
          <a:solidFill>
            <a:schemeClr val="accent6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AU" sz="1400">
                <a:solidFill>
                  <a:schemeClr val="bg1"/>
                </a:solidFill>
              </a:rPr>
              <a:t>Add Row</a:t>
            </a:r>
          </a:p>
        </xdr:txBody>
      </xdr:sp>
      <xdr:sp macro="[0]!InsertRowsOnClick" textlink="">
        <xdr:nvSpPr>
          <xdr:cNvPr id="4" name="Plus Sign 3">
            <a:extLst>
              <a:ext uri="{FF2B5EF4-FFF2-40B4-BE49-F238E27FC236}">
                <a16:creationId xmlns:a16="http://schemas.microsoft.com/office/drawing/2014/main" id="{6CAE08CD-8165-6F48-00A0-777B900368A6}"/>
              </a:ext>
            </a:extLst>
          </xdr:cNvPr>
          <xdr:cNvSpPr/>
        </xdr:nvSpPr>
        <xdr:spPr>
          <a:xfrm>
            <a:off x="6981199" y="1545096"/>
            <a:ext cx="349140" cy="319305"/>
          </a:xfrm>
          <a:prstGeom prst="mathPlus">
            <a:avLst/>
          </a:prstGeom>
          <a:solidFill>
            <a:schemeClr val="bg1"/>
          </a:solidFill>
          <a:ln>
            <a:solidFill>
              <a:schemeClr val="accent6">
                <a:lumMod val="20000"/>
                <a:lumOff val="80000"/>
              </a:schemeClr>
            </a:solidFill>
          </a:ln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  <xdr:twoCellAnchor>
    <xdr:from>
      <xdr:col>6</xdr:col>
      <xdr:colOff>177800</xdr:colOff>
      <xdr:row>4</xdr:row>
      <xdr:rowOff>31750</xdr:rowOff>
    </xdr:from>
    <xdr:to>
      <xdr:col>6</xdr:col>
      <xdr:colOff>1520373</xdr:colOff>
      <xdr:row>6</xdr:row>
      <xdr:rowOff>26307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7F8B76FC-C4EA-46BD-846C-E4696B9695F3}"/>
            </a:ext>
          </a:extLst>
        </xdr:cNvPr>
        <xdr:cNvGrpSpPr/>
      </xdr:nvGrpSpPr>
      <xdr:grpSpPr>
        <a:xfrm>
          <a:off x="2676525" y="752475"/>
          <a:ext cx="1336223" cy="362857"/>
          <a:chOff x="8416470" y="1514929"/>
          <a:chExt cx="1342573" cy="362857"/>
        </a:xfrm>
      </xdr:grpSpPr>
      <xdr:sp macro="[0]!DeleteSelectedTableRows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D15B3908-5F95-D8CF-FFDA-C68E0A4FE423}"/>
              </a:ext>
            </a:extLst>
          </xdr:cNvPr>
          <xdr:cNvSpPr/>
        </xdr:nvSpPr>
        <xdr:spPr>
          <a:xfrm>
            <a:off x="8416470" y="1522187"/>
            <a:ext cx="1342573" cy="326571"/>
          </a:xfrm>
          <a:prstGeom prst="roundRect">
            <a:avLst/>
          </a:prstGeom>
          <a:solidFill>
            <a:srgbClr val="FF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AU" sz="1400">
                <a:solidFill>
                  <a:schemeClr val="bg1"/>
                </a:solidFill>
              </a:rPr>
              <a:t>Delete Row</a:t>
            </a:r>
          </a:p>
        </xdr:txBody>
      </xdr:sp>
      <xdr:sp macro="[0]!DeleteSelectedTableRows" textlink="">
        <xdr:nvSpPr>
          <xdr:cNvPr id="7" name="Minus Sign 6">
            <a:extLst>
              <a:ext uri="{FF2B5EF4-FFF2-40B4-BE49-F238E27FC236}">
                <a16:creationId xmlns:a16="http://schemas.microsoft.com/office/drawing/2014/main" id="{8E746D41-2F3E-9232-F014-091D46F539E3}"/>
              </a:ext>
            </a:extLst>
          </xdr:cNvPr>
          <xdr:cNvSpPr/>
        </xdr:nvSpPr>
        <xdr:spPr>
          <a:xfrm>
            <a:off x="8464485" y="1514929"/>
            <a:ext cx="333959" cy="362857"/>
          </a:xfrm>
          <a:prstGeom prst="mathMinus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AU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2</xdr:row>
      <xdr:rowOff>1586</xdr:rowOff>
    </xdr:from>
    <xdr:to>
      <xdr:col>21</xdr:col>
      <xdr:colOff>219075</xdr:colOff>
      <xdr:row>27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5211A6-0093-35BF-4466-4A0C14467B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30</xdr:row>
      <xdr:rowOff>144461</xdr:rowOff>
    </xdr:from>
    <xdr:to>
      <xdr:col>21</xdr:col>
      <xdr:colOff>238125</xdr:colOff>
      <xdr:row>54</xdr:row>
      <xdr:rowOff>53975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CB3885C-FC1B-47E4-1598-9ECF818C66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244475</xdr:colOff>
      <xdr:row>56</xdr:row>
      <xdr:rowOff>163512</xdr:rowOff>
    </xdr:from>
    <xdr:to>
      <xdr:col>21</xdr:col>
      <xdr:colOff>333375</xdr:colOff>
      <xdr:row>75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F51AAC3-3B90-1B01-E76B-B4873F8136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ozien, Mina" refreshedDate="45526.515816550927" backgroundQuery="1" createdVersion="8" refreshedVersion="8" minRefreshableVersion="3" recordCount="0" supportSubquery="1" supportAdvancedDrill="1" xr:uid="{4A38EC6D-5896-4E2B-AC87-29AB46B0F8ED}">
  <cacheSource type="external" connectionId="7">
    <extLst>
      <ext xmlns:x14="http://schemas.microsoft.com/office/spreadsheetml/2009/9/main" uri="{F057638F-6D5F-4e77-A914-E7F072B9BCA8}">
        <x14:sourceConnection name="ThisWorkbookDataModel"/>
      </ext>
    </extLst>
  </cacheSource>
  <cacheFields count="8">
    <cacheField name="[KPI_GRAPH].[StepName].[StepName]" caption="StepName" numFmtId="0" hierarchy="24" level="1">
      <sharedItems containsSemiMixedTypes="0" containsNonDate="0" containsString="0"/>
    </cacheField>
    <cacheField name="[KPI_GRAPH].[Type].[Type]" caption="Type" numFmtId="0" hierarchy="23" level="1">
      <sharedItems containsSemiMixedTypes="0" containsNonDate="0" containsString="0"/>
    </cacheField>
    <cacheField name="[KPI_GRAPH].[GROUP_ID_H].[GROUP_ID_H]" caption="GROUP_ID_H" numFmtId="0" hierarchy="6" level="1">
      <sharedItems count="4">
        <s v="DS | Daniel Spaseski"/>
        <s v="GD | Glen Douglass"/>
        <s v="NB | Nick Baillie"/>
        <s v="ST | Serena Truong"/>
      </sharedItems>
    </cacheField>
    <cacheField name="[KPI_GRAPH].[WeekEnding].[WeekEnding]" caption="WeekEnding" numFmtId="0" hierarchy="25" level="1">
      <sharedItems containsNonDate="0" containsDate="1" containsString="0" containsBlank="1" minDate="2024-02-02T00:00:00" maxDate="2026-12-12T00:00:00" count="16">
        <m/>
        <d v="2024-02-02T00:00:00"/>
        <d v="2024-08-16T00:00:00"/>
        <d v="2024-10-11T00:00:00"/>
        <d v="2024-11-01T00:00:00"/>
        <d v="2025-02-21T00:00:00"/>
        <d v="2025-04-18T00:00:00"/>
        <d v="2025-05-23T00:00:00"/>
        <d v="2025-06-06T00:00:00"/>
        <d v="2026-03-27T00:00:00"/>
        <d v="2026-08-14T00:00:00"/>
        <d v="2026-09-11T00:00:00"/>
        <d v="2026-10-02T00:00:00"/>
        <d v="2026-10-09T00:00:00"/>
        <d v="2026-11-06T00:00:00"/>
        <d v="2026-12-11T00:00:00"/>
      </sharedItems>
    </cacheField>
    <cacheField name="[KPI_GRAPH].[WeekEnding (Month)].[WeekEnding (Month)]" caption="WeekEnding (Month)" numFmtId="0" hierarchy="31" level="1">
      <sharedItems count="13">
        <s v=""/>
        <s v="Dec"/>
        <s v="Jan"/>
        <s v="Feb"/>
        <s v="Mar"/>
        <s v="Apr"/>
        <s v="May"/>
        <s v="Jul"/>
        <s v="Aug"/>
        <s v="Sep"/>
        <s v="Oct"/>
        <s v="Nov"/>
        <s v="Jun"/>
      </sharedItems>
    </cacheField>
    <cacheField name="[KPI_GRAPH].[WeekEnding (Quarter)].[WeekEnding (Quarter)]" caption="WeekEnding (Quarter)" numFmtId="0" hierarchy="30" level="1">
      <sharedItems count="5">
        <s v="Qtr0"/>
        <s v="Qtr4"/>
        <s v="Qtr1"/>
        <s v="Qtr2"/>
        <s v="Qtr3"/>
      </sharedItems>
    </cacheField>
    <cacheField name="[KPI_GRAPH].[WeekEnding (Year)].[WeekEnding (Year)]" caption="WeekEnding (Year)" numFmtId="0" hierarchy="29" level="1">
      <sharedItems count="6">
        <s v=""/>
        <s v="2023"/>
        <s v="2024"/>
        <s v="2025"/>
        <s v="2026"/>
        <s v="2027"/>
      </sharedItems>
    </cacheField>
    <cacheField name="[Measures].[Distinct Count of Package ID]" caption="Distinct Count of Package ID" numFmtId="0" hierarchy="39" level="32767"/>
  </cacheFields>
  <cacheHierarchies count="41">
    <cacheHierarchy uniqueName="[KPI_GRAPH].[Package ID]" caption="Package ID" attribute="1" defaultMemberUniqueName="[KPI_GRAPH].[Package ID].[All]" allUniqueName="[KPI_GRAPH].[Package ID].[All]" dimensionUniqueName="[KPI_GRAPH]" displayFolder="" count="0" memberValueDatatype="130" unbalanced="0"/>
    <cacheHierarchy uniqueName="[KPI_GRAPH].[Description]" caption="Description" attribute="1" defaultMemberUniqueName="[KPI_GRAPH].[Description].[All]" allUniqueName="[KPI_GRAPH].[Description].[All]" dimensionUniqueName="[KPI_GRAPH]" displayFolder="" count="0" memberValueDatatype="130" unbalanced="0"/>
    <cacheHierarchy uniqueName="[KPI_GRAPH].[GROUP_ID_B]" caption="GROUP_ID_B" attribute="1" defaultMemberUniqueName="[KPI_GRAPH].[GROUP_ID_B].[All]" allUniqueName="[KPI_GRAPH].[GROUP_ID_B].[All]" dimensionUniqueName="[KPI_GRAPH]" displayFolder="" count="0" memberValueDatatype="130" unbalanced="0"/>
    <cacheHierarchy uniqueName="[KPI_GRAPH].[GROUP_ID_C]" caption="GROUP_ID_C" attribute="1" defaultMemberUniqueName="[KPI_GRAPH].[GROUP_ID_C].[All]" allUniqueName="[KPI_GRAPH].[GROUP_ID_C].[All]" dimensionUniqueName="[KPI_GRAPH]" displayFolder="" count="0" memberValueDatatype="130" unbalanced="0"/>
    <cacheHierarchy uniqueName="[KPI_GRAPH].[GROUP_ID_F]" caption="GROUP_ID_F" attribute="1" defaultMemberUniqueName="[KPI_GRAPH].[GROUP_ID_F].[All]" allUniqueName="[KPI_GRAPH].[GROUP_ID_F].[All]" dimensionUniqueName="[KPI_GRAPH]" displayFolder="" count="0" memberValueDatatype="130" unbalanced="0"/>
    <cacheHierarchy uniqueName="[KPI_GRAPH].[GROUP_ID_G]" caption="GROUP_ID_G" attribute="1" defaultMemberUniqueName="[KPI_GRAPH].[GROUP_ID_G].[All]" allUniqueName="[KPI_GRAPH].[GROUP_ID_G].[All]" dimensionUniqueName="[KPI_GRAPH]" displayFolder="" count="0" memberValueDatatype="130" unbalanced="0"/>
    <cacheHierarchy uniqueName="[KPI_GRAPH].[GROUP_ID_H]" caption="GROUP_ID_H" attribute="1" defaultMemberUniqueName="[KPI_GRAPH].[GROUP_ID_H].[All]" allUniqueName="[KPI_GRAPH].[GROUP_ID_H].[All]" dimensionUniqueName="[KPI_GRAPH]" displayFolder="" count="2" memberValueDatatype="130" unbalanced="0">
      <fieldsUsage count="2">
        <fieldUsage x="-1"/>
        <fieldUsage x="2"/>
      </fieldsUsage>
    </cacheHierarchy>
    <cacheHierarchy uniqueName="[KPI_GRAPH].[GROUP_ID_I]" caption="GROUP_ID_I" attribute="1" defaultMemberUniqueName="[KPI_GRAPH].[GROUP_ID_I].[All]" allUniqueName="[KPI_GRAPH].[GROUP_ID_I].[All]" dimensionUniqueName="[KPI_GRAPH]" displayFolder="" count="0" memberValueDatatype="130" unbalanced="0"/>
    <cacheHierarchy uniqueName="[KPI_GRAPH].[GROUP_ID_J]" caption="GROUP_ID_J" attribute="1" defaultMemberUniqueName="[KPI_GRAPH].[GROUP_ID_J].[All]" allUniqueName="[KPI_GRAPH].[GROUP_ID_J].[All]" dimensionUniqueName="[KPI_GRAPH]" displayFolder="" count="0" memberValueDatatype="130" unbalanced="0"/>
    <cacheHierarchy uniqueName="[KPI_GRAPH].[Status]" caption="Status" attribute="1" defaultMemberUniqueName="[KPI_GRAPH].[Status].[All]" allUniqueName="[KPI_GRAPH].[Status].[All]" dimensionUniqueName="[KPI_GRAPH]" displayFolder="" count="0" memberValueDatatype="130" unbalanced="0"/>
    <cacheHierarchy uniqueName="[KPI_GRAPH].[Proj1]" caption="Proj1" attribute="1" defaultMemberUniqueName="[KPI_GRAPH].[Proj1].[All]" allUniqueName="[KPI_GRAPH].[Proj1].[All]" dimensionUniqueName="[KPI_GRAPH]" displayFolder="" count="0" memberValueDatatype="130" unbalanced="0"/>
    <cacheHierarchy uniqueName="[KPI_GRAPH].[Proj2]" caption="Proj2" attribute="1" defaultMemberUniqueName="[KPI_GRAPH].[Proj2].[All]" allUniqueName="[KPI_GRAPH].[Proj2].[All]" dimensionUniqueName="[KPI_GRAPH]" displayFolder="" count="0" memberValueDatatype="130" unbalanced="0"/>
    <cacheHierarchy uniqueName="[KPI_GRAPH].[Proj3]" caption="Proj3" attribute="1" defaultMemberUniqueName="[KPI_GRAPH].[Proj3].[All]" allUniqueName="[KPI_GRAPH].[Proj3].[All]" dimensionUniqueName="[KPI_GRAPH]" displayFolder="" count="0" memberValueDatatype="130" unbalanced="0"/>
    <cacheHierarchy uniqueName="[KPI_GRAPH].[Proj4]" caption="Proj4" attribute="1" defaultMemberUniqueName="[KPI_GRAPH].[Proj4].[All]" allUniqueName="[KPI_GRAPH].[Proj4].[All]" dimensionUniqueName="[KPI_GRAPH]" displayFolder="" count="0" memberValueDatatype="130" unbalanced="0"/>
    <cacheHierarchy uniqueName="[KPI_GRAPH].[Proj5]" caption="Proj5" attribute="1" defaultMemberUniqueName="[KPI_GRAPH].[Proj5].[All]" allUniqueName="[KPI_GRAPH].[Proj5].[All]" dimensionUniqueName="[KPI_GRAPH]" displayFolder="" count="0" memberValueDatatype="130" unbalanced="0"/>
    <cacheHierarchy uniqueName="[KPI_GRAPH].[Budget]" caption="Budget" attribute="1" defaultMemberUniqueName="[KPI_GRAPH].[Budget].[All]" allUniqueName="[KPI_GRAPH].[Budget].[All]" dimensionUniqueName="[KPI_GRAPH]" displayFolder="" count="0" memberValueDatatype="130" unbalanced="0"/>
    <cacheHierarchy uniqueName="[KPI_GRAPH].[Award]" caption="Award" attribute="1" defaultMemberUniqueName="[KPI_GRAPH].[Award].[All]" allUniqueName="[KPI_GRAPH].[Award].[All]" dimensionUniqueName="[KPI_GRAPH]" displayFolder="" count="0" memberValueDatatype="130" unbalanced="0"/>
    <cacheHierarchy uniqueName="[KPI_GRAPH].[Gain/Loss]" caption="Gain/Loss" attribute="1" defaultMemberUniqueName="[KPI_GRAPH].[Gain/Loss].[All]" allUniqueName="[KPI_GRAPH].[Gain/Loss].[All]" dimensionUniqueName="[KPI_GRAPH]" displayFolder="" count="0" memberValueDatatype="130" unbalanced="0"/>
    <cacheHierarchy uniqueName="[KPI_GRAPH].[ATP No.]" caption="ATP No." attribute="1" defaultMemberUniqueName="[KPI_GRAPH].[ATP No.].[All]" allUniqueName="[KPI_GRAPH].[ATP No.].[All]" dimensionUniqueName="[KPI_GRAPH]" displayFolder="" count="0" memberValueDatatype="130" unbalanced="0"/>
    <cacheHierarchy uniqueName="[KPI_GRAPH].[Subcon Name]" caption="Subcon Name" attribute="1" defaultMemberUniqueName="[KPI_GRAPH].[Subcon Name].[All]" allUniqueName="[KPI_GRAPH].[Subcon Name].[All]" dimensionUniqueName="[KPI_GRAPH]" displayFolder="" count="0" memberValueDatatype="130" unbalanced="0"/>
    <cacheHierarchy uniqueName="[KPI_GRAPH].[Notes]" caption="Notes" attribute="1" defaultMemberUniqueName="[KPI_GRAPH].[Notes].[All]" allUniqueName="[KPI_GRAPH].[Notes].[All]" dimensionUniqueName="[KPI_GRAPH]" displayFolder="" count="0" memberValueDatatype="130" unbalanced="0"/>
    <cacheHierarchy uniqueName="[KPI_GRAPH].[Attribute]" caption="Attribute" attribute="1" defaultMemberUniqueName="[KPI_GRAPH].[Attribute].[All]" allUniqueName="[KPI_GRAPH].[Attribute].[All]" dimensionUniqueName="[KPI_GRAPH]" displayFolder="" count="0" memberValueDatatype="130" unbalanced="0"/>
    <cacheHierarchy uniqueName="[KPI_GRAPH].[Value]" caption="Value" attribute="1" time="1" defaultMemberUniqueName="[KPI_GRAPH].[Value].[All]" allUniqueName="[KPI_GRAPH].[Value].[All]" dimensionUniqueName="[KPI_GRAPH]" displayFolder="" count="0" memberValueDatatype="7" unbalanced="0"/>
    <cacheHierarchy uniqueName="[KPI_GRAPH].[Type]" caption="Type" attribute="1" defaultMemberUniqueName="[KPI_GRAPH].[Type].[All]" allUniqueName="[KPI_GRAPH].[Type].[All]" dimensionUniqueName="[KPI_GRAPH]" displayFolder="" count="2" memberValueDatatype="130" unbalanced="0">
      <fieldsUsage count="2">
        <fieldUsage x="-1"/>
        <fieldUsage x="1"/>
      </fieldsUsage>
    </cacheHierarchy>
    <cacheHierarchy uniqueName="[KPI_GRAPH].[StepName]" caption="StepName" attribute="1" defaultMemberUniqueName="[KPI_GRAPH].[StepName].[All]" allUniqueName="[KPI_GRAPH].[StepName].[All]" dimensionUniqueName="[KPI_GRAPH]" displayFolder="" count="2" memberValueDatatype="130" unbalanced="0">
      <fieldsUsage count="2">
        <fieldUsage x="-1"/>
        <fieldUsage x="0"/>
      </fieldsUsage>
    </cacheHierarchy>
    <cacheHierarchy uniqueName="[KPI_GRAPH].[WeekEnding]" caption="WeekEnding" attribute="1" time="1" defaultMemberUniqueName="[KPI_GRAPH].[WeekEnding].[All]" allUniqueName="[KPI_GRAPH].[WeekEnding].[All]" dimensionUniqueName="[KPI_GRAPH]" displayFolder="" count="2" memberValueDatatype="7" unbalanced="0">
      <fieldsUsage count="2">
        <fieldUsage x="-1"/>
        <fieldUsage x="3"/>
      </fieldsUsage>
    </cacheHierarchy>
    <cacheHierarchy uniqueName="[KPI_GRAPH].[Value (Year)]" caption="Value (Year)" attribute="1" defaultMemberUniqueName="[KPI_GRAPH].[Value (Year)].[All]" allUniqueName="[KPI_GRAPH].[Value (Year)].[All]" dimensionUniqueName="[KPI_GRAPH]" displayFolder="" count="0" memberValueDatatype="130" unbalanced="0"/>
    <cacheHierarchy uniqueName="[KPI_GRAPH].[Value (Quarter)]" caption="Value (Quarter)" attribute="1" defaultMemberUniqueName="[KPI_GRAPH].[Value (Quarter)].[All]" allUniqueName="[KPI_GRAPH].[Value (Quarter)].[All]" dimensionUniqueName="[KPI_GRAPH]" displayFolder="" count="0" memberValueDatatype="130" unbalanced="0"/>
    <cacheHierarchy uniqueName="[KPI_GRAPH].[Value (Month)]" caption="Value (Month)" attribute="1" defaultMemberUniqueName="[KPI_GRAPH].[Value (Month)].[All]" allUniqueName="[KPI_GRAPH].[Value (Month)].[All]" dimensionUniqueName="[KPI_GRAPH]" displayFolder="" count="0" memberValueDatatype="130" unbalanced="0"/>
    <cacheHierarchy uniqueName="[KPI_GRAPH].[WeekEnding (Year)]" caption="WeekEnding (Year)" attribute="1" defaultMemberUniqueName="[KPI_GRAPH].[WeekEnding (Year)].[All]" allUniqueName="[KPI_GRAPH].[WeekEnding (Year)].[All]" dimensionUniqueName="[KPI_GRAPH]" displayFolder="" count="2" memberValueDatatype="130" unbalanced="0">
      <fieldsUsage count="2">
        <fieldUsage x="-1"/>
        <fieldUsage x="6"/>
      </fieldsUsage>
    </cacheHierarchy>
    <cacheHierarchy uniqueName="[KPI_GRAPH].[WeekEnding (Quarter)]" caption="WeekEnding (Quarter)" attribute="1" defaultMemberUniqueName="[KPI_GRAPH].[WeekEnding (Quarter)].[All]" allUniqueName="[KPI_GRAPH].[WeekEnding (Quarter)].[All]" dimensionUniqueName="[KPI_GRAPH]" displayFolder="" count="2" memberValueDatatype="130" unbalanced="0">
      <fieldsUsage count="2">
        <fieldUsage x="-1"/>
        <fieldUsage x="5"/>
      </fieldsUsage>
    </cacheHierarchy>
    <cacheHierarchy uniqueName="[KPI_GRAPH].[WeekEnding (Month)]" caption="WeekEnding (Month)" attribute="1" defaultMemberUniqueName="[KPI_GRAPH].[WeekEnding (Month)].[All]" allUniqueName="[KPI_GRAPH].[WeekEnding (Month)].[All]" dimensionUniqueName="[KPI_GRAPH]" displayFolder="" count="2" memberValueDatatype="130" unbalanced="0">
      <fieldsUsage count="2">
        <fieldUsage x="-1"/>
        <fieldUsage x="4"/>
      </fieldsUsage>
    </cacheHierarchy>
    <cacheHierarchy uniqueName="[KPI_GRAPH].[Value (Month Index)]" caption="Value (Month Index)" attribute="1" defaultMemberUniqueName="[KPI_GRAPH].[Value (Month Index)].[All]" allUniqueName="[KPI_GRAPH].[Value (Month Index)].[All]" dimensionUniqueName="[KPI_GRAPH]" displayFolder="" count="0" memberValueDatatype="20" unbalanced="0" hidden="1"/>
    <cacheHierarchy uniqueName="[KPI_GRAPH].[WeekEnding (Month Index)]" caption="WeekEnding (Month Index)" attribute="1" defaultMemberUniqueName="[KPI_GRAPH].[WeekEnding (Month Index)].[All]" allUniqueName="[KPI_GRAPH].[WeekEnding (Month Index)].[All]" dimensionUniqueName="[KPI_GRAPH]" displayFolder="" count="0" memberValueDatatype="20" unbalanced="0" hidden="1"/>
    <cacheHierarchy uniqueName="[Measures].[__XL_Count KPI_GRAPH]" caption="__XL_Count KPI_GRAPH" measure="1" displayFolder="" measureGroup="KPI_GRAPH" count="0" hidden="1"/>
    <cacheHierarchy uniqueName="[Measures].[__No measures defined]" caption="__No measures defined" measure="1" displayFolder="" count="0" hidden="1"/>
    <cacheHierarchy uniqueName="[Measures].[Count of Package ID]" caption="Count of Package ID" measure="1" displayFolder="" measureGroup="KPI_GRAPH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GROUP_ID_H]" caption="Count of GROUP_ID_H" measure="1" displayFolder="" measureGroup="KPI_GRAPH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Value]" caption="Count of Value" measure="1" displayFolder="" measureGroup="KPI_GRAPH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Distinct Count of Package ID]" caption="Distinct Count of Package ID" measure="1" displayFolder="" measureGroup="KPI_GRAPH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Value]" caption="Distinct Count of Value" measure="1" displayFolder="" measureGroup="KPI_GRAPH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</cacheHierarchies>
  <kpis count="0"/>
  <dimensions count="2">
    <dimension name="KPI_GRAPH" uniqueName="[KPI_GRAPH]" caption="KPI_GRAPH"/>
    <dimension measure="1" name="Measures" uniqueName="[Measures]" caption="Measures"/>
  </dimensions>
  <measureGroups count="1">
    <measureGroup name="KPI_GRAPH" caption="KPI_GRAPH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211697378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ozien, Mina" refreshedDate="45526.515817824074" backgroundQuery="1" createdVersion="8" refreshedVersion="8" minRefreshableVersion="3" recordCount="0" supportSubquery="1" supportAdvancedDrill="1" xr:uid="{7435BAE5-E898-4929-ABB5-889B1BD1A4E1}">
  <cacheSource type="external" connectionId="7">
    <extLst>
      <ext xmlns:x14="http://schemas.microsoft.com/office/spreadsheetml/2009/9/main" uri="{F057638F-6D5F-4e77-A914-E7F072B9BCA8}">
        <x14:sourceConnection name="ThisWorkbookDataModel"/>
      </ext>
    </extLst>
  </cacheSource>
  <cacheFields count="11">
    <cacheField name="[KPI_GRAPH].[WeekEnding].[WeekEnding]" caption="WeekEnding" numFmtId="0" hierarchy="25" level="1">
      <sharedItems containsNonDate="0" containsDate="1" containsString="0" containsBlank="1" minDate="2023-12-15T00:00:00" maxDate="2028-06-24T00:00:00" count="149">
        <m/>
        <d v="2023-12-15T00:00:00"/>
        <d v="2024-01-05T00:00:00"/>
        <d v="2024-01-12T00:00:00"/>
        <d v="2024-01-19T00:00:00"/>
        <d v="2024-01-26T00:00:00"/>
        <d v="2024-02-02T00:00:00"/>
        <d v="2024-02-09T00:00:00"/>
        <d v="2024-02-16T00:00:00"/>
        <d v="2024-03-01T00:00:00"/>
        <d v="2024-03-15T00:00:00"/>
        <d v="2024-03-22T00:00:00"/>
        <d v="2024-03-29T00:00:00"/>
        <d v="2024-04-12T00:00:00"/>
        <d v="2024-04-19T00:00:00"/>
        <d v="2024-05-03T00:00:00"/>
        <d v="2024-05-17T00:00:00"/>
        <d v="2024-05-24T00:00:00"/>
        <d v="2024-05-31T00:00:00"/>
        <d v="2024-06-07T00:00:00"/>
        <d v="2024-06-21T00:00:00"/>
        <d v="2024-06-28T00:00:00"/>
        <d v="2024-07-05T00:00:00"/>
        <d v="2024-07-12T00:00:00"/>
        <d v="2024-07-19T00:00:00"/>
        <d v="2024-07-26T00:00:00"/>
        <d v="2024-08-02T00:00:00"/>
        <d v="2024-08-16T00:00:00"/>
        <d v="2024-08-30T00:00:00"/>
        <d v="2024-09-13T00:00:00"/>
        <d v="2024-09-20T00:00:00"/>
        <d v="2024-09-27T00:00:00"/>
        <d v="2024-10-04T00:00:00"/>
        <d v="2024-10-11T00:00:00"/>
        <d v="2024-10-18T00:00:00"/>
        <d v="2024-10-25T00:00:00"/>
        <d v="2024-11-01T00:00:00"/>
        <d v="2024-11-15T00:00:00"/>
        <d v="2024-11-29T00:00:00"/>
        <d v="2024-12-06T00:00:00"/>
        <d v="2024-12-13T00:00:00"/>
        <d v="2024-12-20T00:00:00"/>
        <d v="2024-12-27T00:00:00"/>
        <d v="2025-01-10T00:00:00"/>
        <d v="2025-01-17T00:00:00"/>
        <d v="2025-01-24T00:00:00"/>
        <d v="2025-01-31T00:00:00"/>
        <d v="2025-02-07T00:00:00"/>
        <d v="2025-02-14T00:00:00"/>
        <d v="2025-02-21T00:00:00"/>
        <d v="2025-03-07T00:00:00"/>
        <d v="2025-03-21T00:00:00"/>
        <d v="2025-03-28T00:00:00"/>
        <d v="2025-04-04T00:00:00"/>
        <d v="2025-04-11T00:00:00"/>
        <d v="2025-04-18T00:00:00"/>
        <d v="2025-05-02T00:00:00"/>
        <d v="2025-05-09T00:00:00"/>
        <d v="2025-05-16T00:00:00"/>
        <d v="2025-05-23T00:00:00"/>
        <d v="2025-05-30T00:00:00"/>
        <d v="2025-06-06T00:00:00"/>
        <d v="2025-06-13T00:00:00"/>
        <d v="2025-06-20T00:00:00"/>
        <d v="2025-07-04T00:00:00"/>
        <d v="2025-07-11T00:00:00"/>
        <d v="2025-07-18T00:00:00"/>
        <d v="2025-07-25T00:00:00"/>
        <d v="2025-08-01T00:00:00"/>
        <d v="2025-08-22T00:00:00"/>
        <d v="2025-09-05T00:00:00"/>
        <d v="2025-09-12T00:00:00"/>
        <d v="2025-09-19T00:00:00"/>
        <d v="2025-11-21T00:00:00"/>
        <d v="2025-11-28T00:00:00"/>
        <d v="2025-12-05T00:00:00"/>
        <d v="2025-12-12T00:00:00"/>
        <d v="2026-01-02T00:00:00"/>
        <d v="2026-01-16T00:00:00"/>
        <d v="2026-02-06T00:00:00"/>
        <d v="2026-02-13T00:00:00"/>
        <d v="2026-02-27T00:00:00"/>
        <d v="2026-03-06T00:00:00"/>
        <d v="2026-03-13T00:00:00"/>
        <d v="2026-03-20T00:00:00"/>
        <d v="2026-03-27T00:00:00"/>
        <d v="2026-04-03T00:00:00"/>
        <d v="2026-04-10T00:00:00"/>
        <d v="2026-04-17T00:00:00"/>
        <d v="2026-04-24T00:00:00"/>
        <d v="2026-05-01T00:00:00"/>
        <d v="2026-05-22T00:00:00"/>
        <d v="2026-05-29T00:00:00"/>
        <d v="2026-06-12T00:00:00"/>
        <d v="2026-06-19T00:00:00"/>
        <d v="2026-06-26T00:00:00"/>
        <d v="2026-07-03T00:00:00"/>
        <d v="2026-07-10T00:00:00"/>
        <d v="2026-07-17T00:00:00"/>
        <d v="2026-07-24T00:00:00"/>
        <d v="2026-07-31T00:00:00"/>
        <d v="2026-08-07T00:00:00"/>
        <d v="2026-08-14T00:00:00"/>
        <d v="2026-08-21T00:00:00"/>
        <d v="2026-08-28T00:00:00"/>
        <d v="2026-09-04T00:00:00"/>
        <d v="2026-09-11T00:00:00"/>
        <d v="2026-09-18T00:00:00"/>
        <d v="2026-09-25T00:00:00"/>
        <d v="2026-10-02T00:00:00"/>
        <d v="2026-10-09T00:00:00"/>
        <d v="2026-10-16T00:00:00"/>
        <d v="2026-10-23T00:00:00"/>
        <d v="2026-10-30T00:00:00"/>
        <d v="2026-11-06T00:00:00"/>
        <d v="2026-11-20T00:00:00"/>
        <d v="2026-11-27T00:00:00"/>
        <d v="2026-12-04T00:00:00"/>
        <d v="2026-12-11T00:00:00"/>
        <d v="2026-12-18T00:00:00"/>
        <d v="2027-01-01T00:00:00"/>
        <d v="2027-01-08T00:00:00"/>
        <d v="2027-01-15T00:00:00"/>
        <d v="2027-01-22T00:00:00"/>
        <d v="2027-02-05T00:00:00"/>
        <d v="2027-02-12T00:00:00"/>
        <d v="2027-02-19T00:00:00"/>
        <d v="2027-02-26T00:00:00"/>
        <d v="2027-03-12T00:00:00"/>
        <d v="2027-03-19T00:00:00"/>
        <d v="2027-03-26T00:00:00"/>
        <d v="2027-04-02T00:00:00"/>
        <d v="2027-04-16T00:00:00"/>
        <d v="2027-05-21T00:00:00"/>
        <d v="2027-06-25T00:00:00"/>
        <d v="2027-07-23T00:00:00"/>
        <d v="2027-08-20T00:00:00"/>
        <d v="2027-10-22T00:00:00"/>
        <d v="2027-10-29T00:00:00"/>
        <d v="2027-11-05T00:00:00"/>
        <d v="2027-11-12T00:00:00"/>
        <d v="2027-12-10T00:00:00"/>
        <d v="2027-12-31T00:00:00"/>
        <d v="2028-01-07T00:00:00"/>
        <d v="2028-01-21T00:00:00"/>
        <d v="2028-02-04T00:00:00"/>
        <d v="2028-02-18T00:00:00"/>
        <d v="2028-02-25T00:00:00"/>
        <d v="2028-06-23T00:00:00"/>
      </sharedItems>
    </cacheField>
    <cacheField name="[KPI_GRAPH].[WeekEnding (Month)].[WeekEnding (Month)]" caption="WeekEnding (Month)" numFmtId="0" hierarchy="31" level="1">
      <sharedItems count="13">
        <s v=""/>
        <s v="Dec"/>
        <s v="Jan"/>
        <s v="Feb"/>
        <s v="Mar"/>
        <s v="Apr"/>
        <s v="May"/>
        <s v="Jun"/>
        <s v="Jul"/>
        <s v="Aug"/>
        <s v="Sep"/>
        <s v="Oct"/>
        <s v="Nov"/>
      </sharedItems>
    </cacheField>
    <cacheField name="[KPI_GRAPH].[WeekEnding (Quarter)].[WeekEnding (Quarter)]" caption="WeekEnding (Quarter)" numFmtId="0" hierarchy="30" level="1">
      <sharedItems count="5">
        <s v="Qtr0"/>
        <s v="Qtr4"/>
        <s v="Qtr1"/>
        <s v="Qtr2"/>
        <s v="Qtr3"/>
      </sharedItems>
    </cacheField>
    <cacheField name="[KPI_GRAPH].[WeekEnding (Year)].[WeekEnding (Year)]" caption="WeekEnding (Year)" numFmtId="0" hierarchy="29" level="1">
      <sharedItems count="7">
        <s v=""/>
        <s v="2023"/>
        <s v="2024"/>
        <s v="2025"/>
        <s v="2026"/>
        <s v="2027"/>
        <s v="2028"/>
      </sharedItems>
    </cacheField>
    <cacheField name="[KPI_GRAPH].[Type].[Type]" caption="Type" numFmtId="0" hierarchy="23" level="1">
      <sharedItems count="3">
        <s v="Actual"/>
        <s v="Forecast"/>
        <s v="Plan"/>
      </sharedItems>
    </cacheField>
    <cacheField name="[KPI_GRAPH].[GROUP_ID_B].[GROUP_ID_B]" caption="GROUP_ID_B" numFmtId="0" hierarchy="2" level="1">
      <sharedItems containsSemiMixedTypes="0" containsNonDate="0" containsString="0"/>
    </cacheField>
    <cacheField name="[KPI_GRAPH].[GROUP_ID_C].[GROUP_ID_C]" caption="GROUP_ID_C" numFmtId="0" hierarchy="3" level="1">
      <sharedItems containsSemiMixedTypes="0" containsNonDate="0" containsString="0"/>
    </cacheField>
    <cacheField name="[KPI_GRAPH].[GROUP_ID_F].[GROUP_ID_F]" caption="GROUP_ID_F" numFmtId="0" hierarchy="4" level="1">
      <sharedItems containsSemiMixedTypes="0" containsNonDate="0" containsString="0"/>
    </cacheField>
    <cacheField name="[KPI_GRAPH].[GROUP_ID_G].[GROUP_ID_G]" caption="GROUP_ID_G" numFmtId="0" hierarchy="5" level="1">
      <sharedItems containsSemiMixedTypes="0" containsNonDate="0" containsString="0"/>
    </cacheField>
    <cacheField name="[KPI_GRAPH].[StepName].[StepName]" caption="StepName" numFmtId="0" hierarchy="24" level="1">
      <sharedItems containsSemiMixedTypes="0" containsNonDate="0" containsString="0"/>
    </cacheField>
    <cacheField name="[Measures].[Distinct Count of Value]" caption="Distinct Count of Value" numFmtId="0" hierarchy="40" level="32767"/>
  </cacheFields>
  <cacheHierarchies count="41">
    <cacheHierarchy uniqueName="[KPI_GRAPH].[Package ID]" caption="Package ID" attribute="1" defaultMemberUniqueName="[KPI_GRAPH].[Package ID].[All]" allUniqueName="[KPI_GRAPH].[Package ID].[All]" dimensionUniqueName="[KPI_GRAPH]" displayFolder="" count="0" memberValueDatatype="130" unbalanced="0"/>
    <cacheHierarchy uniqueName="[KPI_GRAPH].[Description]" caption="Description" attribute="1" defaultMemberUniqueName="[KPI_GRAPH].[Description].[All]" allUniqueName="[KPI_GRAPH].[Description].[All]" dimensionUniqueName="[KPI_GRAPH]" displayFolder="" count="0" memberValueDatatype="130" unbalanced="0"/>
    <cacheHierarchy uniqueName="[KPI_GRAPH].[GROUP_ID_B]" caption="GROUP_ID_B" attribute="1" defaultMemberUniqueName="[KPI_GRAPH].[GROUP_ID_B].[All]" allUniqueName="[KPI_GRAPH].[GROUP_ID_B].[All]" dimensionUniqueName="[KPI_GRAPH]" displayFolder="" count="2" memberValueDatatype="130" unbalanced="0">
      <fieldsUsage count="2">
        <fieldUsage x="-1"/>
        <fieldUsage x="5"/>
      </fieldsUsage>
    </cacheHierarchy>
    <cacheHierarchy uniqueName="[KPI_GRAPH].[GROUP_ID_C]" caption="GROUP_ID_C" attribute="1" defaultMemberUniqueName="[KPI_GRAPH].[GROUP_ID_C].[All]" allUniqueName="[KPI_GRAPH].[GROUP_ID_C].[All]" dimensionUniqueName="[KPI_GRAPH]" displayFolder="" count="2" memberValueDatatype="130" unbalanced="0">
      <fieldsUsage count="2">
        <fieldUsage x="-1"/>
        <fieldUsage x="6"/>
      </fieldsUsage>
    </cacheHierarchy>
    <cacheHierarchy uniqueName="[KPI_GRAPH].[GROUP_ID_F]" caption="GROUP_ID_F" attribute="1" defaultMemberUniqueName="[KPI_GRAPH].[GROUP_ID_F].[All]" allUniqueName="[KPI_GRAPH].[GROUP_ID_F].[All]" dimensionUniqueName="[KPI_GRAPH]" displayFolder="" count="2" memberValueDatatype="130" unbalanced="0">
      <fieldsUsage count="2">
        <fieldUsage x="-1"/>
        <fieldUsage x="7"/>
      </fieldsUsage>
    </cacheHierarchy>
    <cacheHierarchy uniqueName="[KPI_GRAPH].[GROUP_ID_G]" caption="GROUP_ID_G" attribute="1" defaultMemberUniqueName="[KPI_GRAPH].[GROUP_ID_G].[All]" allUniqueName="[KPI_GRAPH].[GROUP_ID_G].[All]" dimensionUniqueName="[KPI_GRAPH]" displayFolder="" count="2" memberValueDatatype="130" unbalanced="0">
      <fieldsUsage count="2">
        <fieldUsage x="-1"/>
        <fieldUsage x="8"/>
      </fieldsUsage>
    </cacheHierarchy>
    <cacheHierarchy uniqueName="[KPI_GRAPH].[GROUP_ID_H]" caption="GROUP_ID_H" attribute="1" defaultMemberUniqueName="[KPI_GRAPH].[GROUP_ID_H].[All]" allUniqueName="[KPI_GRAPH].[GROUP_ID_H].[All]" dimensionUniqueName="[KPI_GRAPH]" displayFolder="" count="0" memberValueDatatype="130" unbalanced="0"/>
    <cacheHierarchy uniqueName="[KPI_GRAPH].[GROUP_ID_I]" caption="GROUP_ID_I" attribute="1" defaultMemberUniqueName="[KPI_GRAPH].[GROUP_ID_I].[All]" allUniqueName="[KPI_GRAPH].[GROUP_ID_I].[All]" dimensionUniqueName="[KPI_GRAPH]" displayFolder="" count="0" memberValueDatatype="130" unbalanced="0"/>
    <cacheHierarchy uniqueName="[KPI_GRAPH].[GROUP_ID_J]" caption="GROUP_ID_J" attribute="1" defaultMemberUniqueName="[KPI_GRAPH].[GROUP_ID_J].[All]" allUniqueName="[KPI_GRAPH].[GROUP_ID_J].[All]" dimensionUniqueName="[KPI_GRAPH]" displayFolder="" count="0" memberValueDatatype="130" unbalanced="0"/>
    <cacheHierarchy uniqueName="[KPI_GRAPH].[Status]" caption="Status" attribute="1" defaultMemberUniqueName="[KPI_GRAPH].[Status].[All]" allUniqueName="[KPI_GRAPH].[Status].[All]" dimensionUniqueName="[KPI_GRAPH]" displayFolder="" count="0" memberValueDatatype="130" unbalanced="0"/>
    <cacheHierarchy uniqueName="[KPI_GRAPH].[Proj1]" caption="Proj1" attribute="1" defaultMemberUniqueName="[KPI_GRAPH].[Proj1].[All]" allUniqueName="[KPI_GRAPH].[Proj1].[All]" dimensionUniqueName="[KPI_GRAPH]" displayFolder="" count="0" memberValueDatatype="130" unbalanced="0"/>
    <cacheHierarchy uniqueName="[KPI_GRAPH].[Proj2]" caption="Proj2" attribute="1" defaultMemberUniqueName="[KPI_GRAPH].[Proj2].[All]" allUniqueName="[KPI_GRAPH].[Proj2].[All]" dimensionUniqueName="[KPI_GRAPH]" displayFolder="" count="0" memberValueDatatype="130" unbalanced="0"/>
    <cacheHierarchy uniqueName="[KPI_GRAPH].[Proj3]" caption="Proj3" attribute="1" defaultMemberUniqueName="[KPI_GRAPH].[Proj3].[All]" allUniqueName="[KPI_GRAPH].[Proj3].[All]" dimensionUniqueName="[KPI_GRAPH]" displayFolder="" count="0" memberValueDatatype="130" unbalanced="0"/>
    <cacheHierarchy uniqueName="[KPI_GRAPH].[Proj4]" caption="Proj4" attribute="1" defaultMemberUniqueName="[KPI_GRAPH].[Proj4].[All]" allUniqueName="[KPI_GRAPH].[Proj4].[All]" dimensionUniqueName="[KPI_GRAPH]" displayFolder="" count="0" memberValueDatatype="130" unbalanced="0"/>
    <cacheHierarchy uniqueName="[KPI_GRAPH].[Proj5]" caption="Proj5" attribute="1" defaultMemberUniqueName="[KPI_GRAPH].[Proj5].[All]" allUniqueName="[KPI_GRAPH].[Proj5].[All]" dimensionUniqueName="[KPI_GRAPH]" displayFolder="" count="0" memberValueDatatype="130" unbalanced="0"/>
    <cacheHierarchy uniqueName="[KPI_GRAPH].[Budget]" caption="Budget" attribute="1" defaultMemberUniqueName="[KPI_GRAPH].[Budget].[All]" allUniqueName="[KPI_GRAPH].[Budget].[All]" dimensionUniqueName="[KPI_GRAPH]" displayFolder="" count="0" memberValueDatatype="130" unbalanced="0"/>
    <cacheHierarchy uniqueName="[KPI_GRAPH].[Award]" caption="Award" attribute="1" defaultMemberUniqueName="[KPI_GRAPH].[Award].[All]" allUniqueName="[KPI_GRAPH].[Award].[All]" dimensionUniqueName="[KPI_GRAPH]" displayFolder="" count="0" memberValueDatatype="130" unbalanced="0"/>
    <cacheHierarchy uniqueName="[KPI_GRAPH].[Gain/Loss]" caption="Gain/Loss" attribute="1" defaultMemberUniqueName="[KPI_GRAPH].[Gain/Loss].[All]" allUniqueName="[KPI_GRAPH].[Gain/Loss].[All]" dimensionUniqueName="[KPI_GRAPH]" displayFolder="" count="0" memberValueDatatype="130" unbalanced="0"/>
    <cacheHierarchy uniqueName="[KPI_GRAPH].[ATP No.]" caption="ATP No." attribute="1" defaultMemberUniqueName="[KPI_GRAPH].[ATP No.].[All]" allUniqueName="[KPI_GRAPH].[ATP No.].[All]" dimensionUniqueName="[KPI_GRAPH]" displayFolder="" count="0" memberValueDatatype="130" unbalanced="0"/>
    <cacheHierarchy uniqueName="[KPI_GRAPH].[Subcon Name]" caption="Subcon Name" attribute="1" defaultMemberUniqueName="[KPI_GRAPH].[Subcon Name].[All]" allUniqueName="[KPI_GRAPH].[Subcon Name].[All]" dimensionUniqueName="[KPI_GRAPH]" displayFolder="" count="0" memberValueDatatype="130" unbalanced="0"/>
    <cacheHierarchy uniqueName="[KPI_GRAPH].[Notes]" caption="Notes" attribute="1" defaultMemberUniqueName="[KPI_GRAPH].[Notes].[All]" allUniqueName="[KPI_GRAPH].[Notes].[All]" dimensionUniqueName="[KPI_GRAPH]" displayFolder="" count="0" memberValueDatatype="130" unbalanced="0"/>
    <cacheHierarchy uniqueName="[KPI_GRAPH].[Attribute]" caption="Attribute" attribute="1" defaultMemberUniqueName="[KPI_GRAPH].[Attribute].[All]" allUniqueName="[KPI_GRAPH].[Attribute].[All]" dimensionUniqueName="[KPI_GRAPH]" displayFolder="" count="0" memberValueDatatype="130" unbalanced="0"/>
    <cacheHierarchy uniqueName="[KPI_GRAPH].[Value]" caption="Value" attribute="1" time="1" defaultMemberUniqueName="[KPI_GRAPH].[Value].[All]" allUniqueName="[KPI_GRAPH].[Value].[All]" dimensionUniqueName="[KPI_GRAPH]" displayFolder="" count="0" memberValueDatatype="7" unbalanced="0"/>
    <cacheHierarchy uniqueName="[KPI_GRAPH].[Type]" caption="Type" attribute="1" defaultMemberUniqueName="[KPI_GRAPH].[Type].[All]" allUniqueName="[KPI_GRAPH].[Type].[All]" dimensionUniqueName="[KPI_GRAPH]" displayFolder="" count="2" memberValueDatatype="130" unbalanced="0">
      <fieldsUsage count="2">
        <fieldUsage x="-1"/>
        <fieldUsage x="4"/>
      </fieldsUsage>
    </cacheHierarchy>
    <cacheHierarchy uniqueName="[KPI_GRAPH].[StepName]" caption="StepName" attribute="1" defaultMemberUniqueName="[KPI_GRAPH].[StepName].[All]" allUniqueName="[KPI_GRAPH].[StepName].[All]" dimensionUniqueName="[KPI_GRAPH]" displayFolder="" count="2" memberValueDatatype="130" unbalanced="0">
      <fieldsUsage count="2">
        <fieldUsage x="-1"/>
        <fieldUsage x="9"/>
      </fieldsUsage>
    </cacheHierarchy>
    <cacheHierarchy uniqueName="[KPI_GRAPH].[WeekEnding]" caption="WeekEnding" attribute="1" time="1" defaultMemberUniqueName="[KPI_GRAPH].[WeekEnding].[All]" allUniqueName="[KPI_GRAPH].[WeekEnding].[All]" dimensionUniqueName="[KPI_GRAPH]" displayFolder="" count="2" memberValueDatatype="7" unbalanced="0">
      <fieldsUsage count="2">
        <fieldUsage x="-1"/>
        <fieldUsage x="0"/>
      </fieldsUsage>
    </cacheHierarchy>
    <cacheHierarchy uniqueName="[KPI_GRAPH].[Value (Year)]" caption="Value (Year)" attribute="1" defaultMemberUniqueName="[KPI_GRAPH].[Value (Year)].[All]" allUniqueName="[KPI_GRAPH].[Value (Year)].[All]" dimensionUniqueName="[KPI_GRAPH]" displayFolder="" count="0" memberValueDatatype="130" unbalanced="0"/>
    <cacheHierarchy uniqueName="[KPI_GRAPH].[Value (Quarter)]" caption="Value (Quarter)" attribute="1" defaultMemberUniqueName="[KPI_GRAPH].[Value (Quarter)].[All]" allUniqueName="[KPI_GRAPH].[Value (Quarter)].[All]" dimensionUniqueName="[KPI_GRAPH]" displayFolder="" count="0" memberValueDatatype="130" unbalanced="0"/>
    <cacheHierarchy uniqueName="[KPI_GRAPH].[Value (Month)]" caption="Value (Month)" attribute="1" defaultMemberUniqueName="[KPI_GRAPH].[Value (Month)].[All]" allUniqueName="[KPI_GRAPH].[Value (Month)].[All]" dimensionUniqueName="[KPI_GRAPH]" displayFolder="" count="0" memberValueDatatype="130" unbalanced="0"/>
    <cacheHierarchy uniqueName="[KPI_GRAPH].[WeekEnding (Year)]" caption="WeekEnding (Year)" attribute="1" defaultMemberUniqueName="[KPI_GRAPH].[WeekEnding (Year)].[All]" allUniqueName="[KPI_GRAPH].[WeekEnding (Year)].[All]" dimensionUniqueName="[KPI_GRAPH]" displayFolder="" count="2" memberValueDatatype="130" unbalanced="0">
      <fieldsUsage count="2">
        <fieldUsage x="-1"/>
        <fieldUsage x="3"/>
      </fieldsUsage>
    </cacheHierarchy>
    <cacheHierarchy uniqueName="[KPI_GRAPH].[WeekEnding (Quarter)]" caption="WeekEnding (Quarter)" attribute="1" defaultMemberUniqueName="[KPI_GRAPH].[WeekEnding (Quarter)].[All]" allUniqueName="[KPI_GRAPH].[WeekEnding (Quarter)].[All]" dimensionUniqueName="[KPI_GRAPH]" displayFolder="" count="2" memberValueDatatype="130" unbalanced="0">
      <fieldsUsage count="2">
        <fieldUsage x="-1"/>
        <fieldUsage x="2"/>
      </fieldsUsage>
    </cacheHierarchy>
    <cacheHierarchy uniqueName="[KPI_GRAPH].[WeekEnding (Month)]" caption="WeekEnding (Month)" attribute="1" defaultMemberUniqueName="[KPI_GRAPH].[WeekEnding (Month)].[All]" allUniqueName="[KPI_GRAPH].[WeekEnding (Month)].[All]" dimensionUniqueName="[KPI_GRAPH]" displayFolder="" count="2" memberValueDatatype="130" unbalanced="0">
      <fieldsUsage count="2">
        <fieldUsage x="-1"/>
        <fieldUsage x="1"/>
      </fieldsUsage>
    </cacheHierarchy>
    <cacheHierarchy uniqueName="[KPI_GRAPH].[Value (Month Index)]" caption="Value (Month Index)" attribute="1" defaultMemberUniqueName="[KPI_GRAPH].[Value (Month Index)].[All]" allUniqueName="[KPI_GRAPH].[Value (Month Index)].[All]" dimensionUniqueName="[KPI_GRAPH]" displayFolder="" count="0" memberValueDatatype="20" unbalanced="0" hidden="1"/>
    <cacheHierarchy uniqueName="[KPI_GRAPH].[WeekEnding (Month Index)]" caption="WeekEnding (Month Index)" attribute="1" defaultMemberUniqueName="[KPI_GRAPH].[WeekEnding (Month Index)].[All]" allUniqueName="[KPI_GRAPH].[WeekEnding (Month Index)].[All]" dimensionUniqueName="[KPI_GRAPH]" displayFolder="" count="0" memberValueDatatype="20" unbalanced="0" hidden="1"/>
    <cacheHierarchy uniqueName="[Measures].[__XL_Count KPI_GRAPH]" caption="__XL_Count KPI_GRAPH" measure="1" displayFolder="" measureGroup="KPI_GRAPH" count="0" hidden="1"/>
    <cacheHierarchy uniqueName="[Measures].[__No measures defined]" caption="__No measures defined" measure="1" displayFolder="" count="0" hidden="1"/>
    <cacheHierarchy uniqueName="[Measures].[Count of Package ID]" caption="Count of Package ID" measure="1" displayFolder="" measureGroup="KPI_GRAPH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GROUP_ID_H]" caption="Count of GROUP_ID_H" measure="1" displayFolder="" measureGroup="KPI_GRAPH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Value]" caption="Count of Value" measure="1" displayFolder="" measureGroup="KPI_GRAPH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Distinct Count of Package ID]" caption="Distinct Count of Package ID" measure="1" displayFolder="" measureGroup="KPI_GRAPH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Value]" caption="Distinct Count of Value" measure="1" displayFolder="" measureGroup="KPI_GRAPH" count="0" oneField="1" hidden="1">
      <fieldsUsage count="1">
        <fieldUsage x="10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</cacheHierarchies>
  <kpis count="0"/>
  <dimensions count="2">
    <dimension name="KPI_GRAPH" uniqueName="[KPI_GRAPH]" caption="KPI_GRAPH"/>
    <dimension measure="1" name="Measures" uniqueName="[Measures]" caption="Measures"/>
  </dimensions>
  <measureGroups count="1">
    <measureGroup name="KPI_GRAPH" caption="KPI_GRAPH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22153277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ozien, Mina" refreshedDate="45526.515818749998" backgroundQuery="1" createdVersion="8" refreshedVersion="8" minRefreshableVersion="3" recordCount="0" supportSubquery="1" supportAdvancedDrill="1" xr:uid="{1B8F29BB-19E2-4100-84A2-F43BBBC669B4}">
  <cacheSource type="external" connectionId="7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KPI_GRAPH].[StepName].[StepName]" caption="StepName" numFmtId="0" hierarchy="24" level="1">
      <sharedItems count="12">
        <s v="01 | Receipt of Design Documentation issued for tender"/>
        <s v="02 | Tender Documents completed"/>
        <s v="03 | Tender Documents Internal Approval"/>
        <s v="04 | Tender Documents External Approval"/>
        <s v="05 | Out to Tender"/>
        <s v="06 | Return of Tender"/>
        <s v="07 | Tender Evaluation &amp; Recommendation Complete"/>
        <s v="08 | Recommendation Internal Approval"/>
        <s v="09 | Recommendation External Approval"/>
        <s v="10 | Place Order / Contract Execution"/>
        <s v="11 | Lead Time"/>
        <s v="12 | Start On Site"/>
      </sharedItems>
    </cacheField>
    <cacheField name="[KPI_GRAPH].[Type].[Type]" caption="Type" numFmtId="0" hierarchy="23" level="1">
      <sharedItems count="2">
        <s v="Actual"/>
        <s v="Plan"/>
      </sharedItems>
    </cacheField>
    <cacheField name="[Measures].[Distinct Count of Package ID]" caption="Distinct Count of Package ID" numFmtId="0" hierarchy="39" level="32767"/>
  </cacheFields>
  <cacheHierarchies count="41">
    <cacheHierarchy uniqueName="[KPI_GRAPH].[Package ID]" caption="Package ID" attribute="1" defaultMemberUniqueName="[KPI_GRAPH].[Package ID].[All]" allUniqueName="[KPI_GRAPH].[Package ID].[All]" dimensionUniqueName="[KPI_GRAPH]" displayFolder="" count="0" memberValueDatatype="130" unbalanced="0"/>
    <cacheHierarchy uniqueName="[KPI_GRAPH].[Description]" caption="Description" attribute="1" defaultMemberUniqueName="[KPI_GRAPH].[Description].[All]" allUniqueName="[KPI_GRAPH].[Description].[All]" dimensionUniqueName="[KPI_GRAPH]" displayFolder="" count="0" memberValueDatatype="130" unbalanced="0"/>
    <cacheHierarchy uniqueName="[KPI_GRAPH].[GROUP_ID_B]" caption="GROUP_ID_B" attribute="1" defaultMemberUniqueName="[KPI_GRAPH].[GROUP_ID_B].[All]" allUniqueName="[KPI_GRAPH].[GROUP_ID_B].[All]" dimensionUniqueName="[KPI_GRAPH]" displayFolder="" count="0" memberValueDatatype="130" unbalanced="0"/>
    <cacheHierarchy uniqueName="[KPI_GRAPH].[GROUP_ID_C]" caption="GROUP_ID_C" attribute="1" defaultMemberUniqueName="[KPI_GRAPH].[GROUP_ID_C].[All]" allUniqueName="[KPI_GRAPH].[GROUP_ID_C].[All]" dimensionUniqueName="[KPI_GRAPH]" displayFolder="" count="0" memberValueDatatype="130" unbalanced="0"/>
    <cacheHierarchy uniqueName="[KPI_GRAPH].[GROUP_ID_F]" caption="GROUP_ID_F" attribute="1" defaultMemberUniqueName="[KPI_GRAPH].[GROUP_ID_F].[All]" allUniqueName="[KPI_GRAPH].[GROUP_ID_F].[All]" dimensionUniqueName="[KPI_GRAPH]" displayFolder="" count="0" memberValueDatatype="130" unbalanced="0"/>
    <cacheHierarchy uniqueName="[KPI_GRAPH].[GROUP_ID_G]" caption="GROUP_ID_G" attribute="1" defaultMemberUniqueName="[KPI_GRAPH].[GROUP_ID_G].[All]" allUniqueName="[KPI_GRAPH].[GROUP_ID_G].[All]" dimensionUniqueName="[KPI_GRAPH]" displayFolder="" count="0" memberValueDatatype="130" unbalanced="0"/>
    <cacheHierarchy uniqueName="[KPI_GRAPH].[GROUP_ID_H]" caption="GROUP_ID_H" attribute="1" defaultMemberUniqueName="[KPI_GRAPH].[GROUP_ID_H].[All]" allUniqueName="[KPI_GRAPH].[GROUP_ID_H].[All]" dimensionUniqueName="[KPI_GRAPH]" displayFolder="" count="0" memberValueDatatype="130" unbalanced="0"/>
    <cacheHierarchy uniqueName="[KPI_GRAPH].[GROUP_ID_I]" caption="GROUP_ID_I" attribute="1" defaultMemberUniqueName="[KPI_GRAPH].[GROUP_ID_I].[All]" allUniqueName="[KPI_GRAPH].[GROUP_ID_I].[All]" dimensionUniqueName="[KPI_GRAPH]" displayFolder="" count="0" memberValueDatatype="130" unbalanced="0"/>
    <cacheHierarchy uniqueName="[KPI_GRAPH].[GROUP_ID_J]" caption="GROUP_ID_J" attribute="1" defaultMemberUniqueName="[KPI_GRAPH].[GROUP_ID_J].[All]" allUniqueName="[KPI_GRAPH].[GROUP_ID_J].[All]" dimensionUniqueName="[KPI_GRAPH]" displayFolder="" count="0" memberValueDatatype="130" unbalanced="0"/>
    <cacheHierarchy uniqueName="[KPI_GRAPH].[Status]" caption="Status" attribute="1" defaultMemberUniqueName="[KPI_GRAPH].[Status].[All]" allUniqueName="[KPI_GRAPH].[Status].[All]" dimensionUniqueName="[KPI_GRAPH]" displayFolder="" count="0" memberValueDatatype="130" unbalanced="0"/>
    <cacheHierarchy uniqueName="[KPI_GRAPH].[Proj1]" caption="Proj1" attribute="1" defaultMemberUniqueName="[KPI_GRAPH].[Proj1].[All]" allUniqueName="[KPI_GRAPH].[Proj1].[All]" dimensionUniqueName="[KPI_GRAPH]" displayFolder="" count="0" memberValueDatatype="130" unbalanced="0"/>
    <cacheHierarchy uniqueName="[KPI_GRAPH].[Proj2]" caption="Proj2" attribute="1" defaultMemberUniqueName="[KPI_GRAPH].[Proj2].[All]" allUniqueName="[KPI_GRAPH].[Proj2].[All]" dimensionUniqueName="[KPI_GRAPH]" displayFolder="" count="0" memberValueDatatype="130" unbalanced="0"/>
    <cacheHierarchy uniqueName="[KPI_GRAPH].[Proj3]" caption="Proj3" attribute="1" defaultMemberUniqueName="[KPI_GRAPH].[Proj3].[All]" allUniqueName="[KPI_GRAPH].[Proj3].[All]" dimensionUniqueName="[KPI_GRAPH]" displayFolder="" count="0" memberValueDatatype="130" unbalanced="0"/>
    <cacheHierarchy uniqueName="[KPI_GRAPH].[Proj4]" caption="Proj4" attribute="1" defaultMemberUniqueName="[KPI_GRAPH].[Proj4].[All]" allUniqueName="[KPI_GRAPH].[Proj4].[All]" dimensionUniqueName="[KPI_GRAPH]" displayFolder="" count="0" memberValueDatatype="130" unbalanced="0"/>
    <cacheHierarchy uniqueName="[KPI_GRAPH].[Proj5]" caption="Proj5" attribute="1" defaultMemberUniqueName="[KPI_GRAPH].[Proj5].[All]" allUniqueName="[KPI_GRAPH].[Proj5].[All]" dimensionUniqueName="[KPI_GRAPH]" displayFolder="" count="0" memberValueDatatype="130" unbalanced="0"/>
    <cacheHierarchy uniqueName="[KPI_GRAPH].[Budget]" caption="Budget" attribute="1" defaultMemberUniqueName="[KPI_GRAPH].[Budget].[All]" allUniqueName="[KPI_GRAPH].[Budget].[All]" dimensionUniqueName="[KPI_GRAPH]" displayFolder="" count="0" memberValueDatatype="130" unbalanced="0"/>
    <cacheHierarchy uniqueName="[KPI_GRAPH].[Award]" caption="Award" attribute="1" defaultMemberUniqueName="[KPI_GRAPH].[Award].[All]" allUniqueName="[KPI_GRAPH].[Award].[All]" dimensionUniqueName="[KPI_GRAPH]" displayFolder="" count="0" memberValueDatatype="130" unbalanced="0"/>
    <cacheHierarchy uniqueName="[KPI_GRAPH].[Gain/Loss]" caption="Gain/Loss" attribute="1" defaultMemberUniqueName="[KPI_GRAPH].[Gain/Loss].[All]" allUniqueName="[KPI_GRAPH].[Gain/Loss].[All]" dimensionUniqueName="[KPI_GRAPH]" displayFolder="" count="0" memberValueDatatype="130" unbalanced="0"/>
    <cacheHierarchy uniqueName="[KPI_GRAPH].[ATP No.]" caption="ATP No." attribute="1" defaultMemberUniqueName="[KPI_GRAPH].[ATP No.].[All]" allUniqueName="[KPI_GRAPH].[ATP No.].[All]" dimensionUniqueName="[KPI_GRAPH]" displayFolder="" count="0" memberValueDatatype="130" unbalanced="0"/>
    <cacheHierarchy uniqueName="[KPI_GRAPH].[Subcon Name]" caption="Subcon Name" attribute="1" defaultMemberUniqueName="[KPI_GRAPH].[Subcon Name].[All]" allUniqueName="[KPI_GRAPH].[Subcon Name].[All]" dimensionUniqueName="[KPI_GRAPH]" displayFolder="" count="0" memberValueDatatype="130" unbalanced="0"/>
    <cacheHierarchy uniqueName="[KPI_GRAPH].[Notes]" caption="Notes" attribute="1" defaultMemberUniqueName="[KPI_GRAPH].[Notes].[All]" allUniqueName="[KPI_GRAPH].[Notes].[All]" dimensionUniqueName="[KPI_GRAPH]" displayFolder="" count="0" memberValueDatatype="130" unbalanced="0"/>
    <cacheHierarchy uniqueName="[KPI_GRAPH].[Attribute]" caption="Attribute" attribute="1" defaultMemberUniqueName="[KPI_GRAPH].[Attribute].[All]" allUniqueName="[KPI_GRAPH].[Attribute].[All]" dimensionUniqueName="[KPI_GRAPH]" displayFolder="" count="0" memberValueDatatype="130" unbalanced="0"/>
    <cacheHierarchy uniqueName="[KPI_GRAPH].[Value]" caption="Value" attribute="1" time="1" defaultMemberUniqueName="[KPI_GRAPH].[Value].[All]" allUniqueName="[KPI_GRAPH].[Value].[All]" dimensionUniqueName="[KPI_GRAPH]" displayFolder="" count="0" memberValueDatatype="7" unbalanced="0"/>
    <cacheHierarchy uniqueName="[KPI_GRAPH].[Type]" caption="Type" attribute="1" defaultMemberUniqueName="[KPI_GRAPH].[Type].[All]" allUniqueName="[KPI_GRAPH].[Type].[All]" dimensionUniqueName="[KPI_GRAPH]" displayFolder="" count="2" memberValueDatatype="130" unbalanced="0">
      <fieldsUsage count="2">
        <fieldUsage x="-1"/>
        <fieldUsage x="1"/>
      </fieldsUsage>
    </cacheHierarchy>
    <cacheHierarchy uniqueName="[KPI_GRAPH].[StepName]" caption="StepName" attribute="1" defaultMemberUniqueName="[KPI_GRAPH].[StepName].[All]" allUniqueName="[KPI_GRAPH].[StepName].[All]" dimensionUniqueName="[KPI_GRAPH]" displayFolder="" count="2" memberValueDatatype="130" unbalanced="0">
      <fieldsUsage count="2">
        <fieldUsage x="-1"/>
        <fieldUsage x="0"/>
      </fieldsUsage>
    </cacheHierarchy>
    <cacheHierarchy uniqueName="[KPI_GRAPH].[WeekEnding]" caption="WeekEnding" attribute="1" time="1" defaultMemberUniqueName="[KPI_GRAPH].[WeekEnding].[All]" allUniqueName="[KPI_GRAPH].[WeekEnding].[All]" dimensionUniqueName="[KPI_GRAPH]" displayFolder="" count="0" memberValueDatatype="7" unbalanced="0"/>
    <cacheHierarchy uniqueName="[KPI_GRAPH].[Value (Year)]" caption="Value (Year)" attribute="1" defaultMemberUniqueName="[KPI_GRAPH].[Value (Year)].[All]" allUniqueName="[KPI_GRAPH].[Value (Year)].[All]" dimensionUniqueName="[KPI_GRAPH]" displayFolder="" count="0" memberValueDatatype="130" unbalanced="0"/>
    <cacheHierarchy uniqueName="[KPI_GRAPH].[Value (Quarter)]" caption="Value (Quarter)" attribute="1" defaultMemberUniqueName="[KPI_GRAPH].[Value (Quarter)].[All]" allUniqueName="[KPI_GRAPH].[Value (Quarter)].[All]" dimensionUniqueName="[KPI_GRAPH]" displayFolder="" count="0" memberValueDatatype="130" unbalanced="0"/>
    <cacheHierarchy uniqueName="[KPI_GRAPH].[Value (Month)]" caption="Value (Month)" attribute="1" defaultMemberUniqueName="[KPI_GRAPH].[Value (Month)].[All]" allUniqueName="[KPI_GRAPH].[Value (Month)].[All]" dimensionUniqueName="[KPI_GRAPH]" displayFolder="" count="0" memberValueDatatype="130" unbalanced="0"/>
    <cacheHierarchy uniqueName="[KPI_GRAPH].[WeekEnding (Year)]" caption="WeekEnding (Year)" attribute="1" defaultMemberUniqueName="[KPI_GRAPH].[WeekEnding (Year)].[All]" allUniqueName="[KPI_GRAPH].[WeekEnding (Year)].[All]" dimensionUniqueName="[KPI_GRAPH]" displayFolder="" count="0" memberValueDatatype="130" unbalanced="0"/>
    <cacheHierarchy uniqueName="[KPI_GRAPH].[WeekEnding (Quarter)]" caption="WeekEnding (Quarter)" attribute="1" defaultMemberUniqueName="[KPI_GRAPH].[WeekEnding (Quarter)].[All]" allUniqueName="[KPI_GRAPH].[WeekEnding (Quarter)].[All]" dimensionUniqueName="[KPI_GRAPH]" displayFolder="" count="0" memberValueDatatype="130" unbalanced="0"/>
    <cacheHierarchy uniqueName="[KPI_GRAPH].[WeekEnding (Month)]" caption="WeekEnding (Month)" attribute="1" defaultMemberUniqueName="[KPI_GRAPH].[WeekEnding (Month)].[All]" allUniqueName="[KPI_GRAPH].[WeekEnding (Month)].[All]" dimensionUniqueName="[KPI_GRAPH]" displayFolder="" count="0" memberValueDatatype="130" unbalanced="0"/>
    <cacheHierarchy uniqueName="[KPI_GRAPH].[Value (Month Index)]" caption="Value (Month Index)" attribute="1" defaultMemberUniqueName="[KPI_GRAPH].[Value (Month Index)].[All]" allUniqueName="[KPI_GRAPH].[Value (Month Index)].[All]" dimensionUniqueName="[KPI_GRAPH]" displayFolder="" count="0" memberValueDatatype="20" unbalanced="0" hidden="1"/>
    <cacheHierarchy uniqueName="[KPI_GRAPH].[WeekEnding (Month Index)]" caption="WeekEnding (Month Index)" attribute="1" defaultMemberUniqueName="[KPI_GRAPH].[WeekEnding (Month Index)].[All]" allUniqueName="[KPI_GRAPH].[WeekEnding (Month Index)].[All]" dimensionUniqueName="[KPI_GRAPH]" displayFolder="" count="0" memberValueDatatype="20" unbalanced="0" hidden="1"/>
    <cacheHierarchy uniqueName="[Measures].[__XL_Count KPI_GRAPH]" caption="__XL_Count KPI_GRAPH" measure="1" displayFolder="" measureGroup="KPI_GRAPH" count="0" hidden="1"/>
    <cacheHierarchy uniqueName="[Measures].[__No measures defined]" caption="__No measures defined" measure="1" displayFolder="" count="0" hidden="1"/>
    <cacheHierarchy uniqueName="[Measures].[Count of Package ID]" caption="Count of Package ID" measure="1" displayFolder="" measureGroup="KPI_GRAPH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GROUP_ID_H]" caption="Count of GROUP_ID_H" measure="1" displayFolder="" measureGroup="KPI_GRAPH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Value]" caption="Count of Value" measure="1" displayFolder="" measureGroup="KPI_GRAPH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Distinct Count of Package ID]" caption="Distinct Count of Package ID" measure="1" displayFolder="" measureGroup="KPI_GRAPH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Value]" caption="Distinct Count of Value" measure="1" displayFolder="" measureGroup="KPI_GRAPH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</cacheHierarchies>
  <kpis count="0"/>
  <dimensions count="2">
    <dimension name="KPI_GRAPH" uniqueName="[KPI_GRAPH]" caption="KPI_GRAPH"/>
    <dimension measure="1" name="Measures" uniqueName="[Measures]" caption="Measures"/>
  </dimensions>
  <measureGroups count="1">
    <measureGroup name="KPI_GRAPH" caption="KPI_GRAPH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125044473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4B8B4E-B6C5-4848-9FEC-FA06566AB4A8}" name="PivotChar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D15" firstHeaderRow="1" firstDataRow="2" firstDataCol="1"/>
  <pivotFields count="3">
    <pivotField axis="axisRow" allDrilled="1" subtotalTop="0" showAll="0" sortType="descending" defaultSubtotal="0" defaultAttributeDrillState="1">
      <items count="12"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Col" allDrilled="1" subtotalTop="0" showAll="0" dataSourceSort="1" defaultSubtotal="0" defaultAttributeDrillState="1">
      <items count="2">
        <item s="1" x="0"/>
        <item s="1" x="1"/>
      </items>
    </pivotField>
    <pivotField dataField="1" subtotalTop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Distinct Count of Package ID" fld="2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chartFormats count="2"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Distinct Count of Package ID"/>
    <pivotHierarchy dragToData="1"/>
  </pivotHierarchies>
  <rowHierarchiesUsage count="1">
    <rowHierarchyUsage hierarchyUsage="24"/>
  </rowHierarchiesUsage>
  <colHierarchiesUsage count="1">
    <colHierarchyUsage hierarchyUsage="2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3" columnCount="3" cacheId="1250444738">
        <x15:pivotRow count="3">
          <x15:c t="e">
            <x15:v/>
          </x15:c>
          <x15:c>
            <x15:v>14</x15:v>
          </x15:c>
          <x15:c>
            <x15:v>14</x15:v>
          </x15:c>
        </x15:pivotRow>
        <x15:pivotRow count="3">
          <x15:c t="e">
            <x15:v/>
          </x15:c>
          <x15:c>
            <x15:v>16</x15:v>
          </x15:c>
          <x15:c>
            <x15:v>16</x15:v>
          </x15:c>
        </x15:pivotRow>
        <x15:pivotRow count="3">
          <x15:c t="e">
            <x15:v/>
          </x15:c>
          <x15:c>
            <x15:v>16</x15:v>
          </x15:c>
          <x15:c>
            <x15:v>16</x15:v>
          </x15:c>
        </x15:pivotRow>
        <x15:pivotRow count="3">
          <x15:c t="e">
            <x15:v/>
          </x15:c>
          <x15:c>
            <x15:v>16</x15:v>
          </x15:c>
          <x15:c>
            <x15:v>16</x15:v>
          </x15:c>
        </x15:pivotRow>
        <x15:pivotRow count="3">
          <x15:c t="e">
            <x15:v/>
          </x15:c>
          <x15:c>
            <x15:v>16</x15:v>
          </x15:c>
          <x15:c>
            <x15:v>16</x15:v>
          </x15:c>
        </x15:pivotRow>
        <x15:pivotRow count="3">
          <x15:c t="e">
            <x15:v/>
          </x15:c>
          <x15:c>
            <x15:v>16</x15:v>
          </x15:c>
          <x15:c>
            <x15:v>16</x15:v>
          </x15:c>
        </x15:pivotRow>
        <x15:pivotRow count="3">
          <x15:c t="e">
            <x15:v/>
          </x15:c>
          <x15:c>
            <x15:v>16</x15:v>
          </x15:c>
          <x15:c>
            <x15:v>16</x15:v>
          </x15:c>
        </x15:pivotRow>
        <x15:pivotRow count="3">
          <x15:c t="e">
            <x15:v/>
          </x15:c>
          <x15:c>
            <x15:v>16</x15:v>
          </x15:c>
          <x15:c>
            <x15:v>16</x15:v>
          </x15:c>
        </x15:pivotRow>
        <x15:pivotRow count="3">
          <x15:c>
            <x15:v>1</x15:v>
          </x15:c>
          <x15:c>
            <x15:v>16</x15:v>
          </x15:c>
          <x15:c>
            <x15:v>16</x15:v>
          </x15:c>
        </x15:pivotRow>
        <x15:pivotRow count="3">
          <x15:c>
            <x15:v>1</x15:v>
          </x15:c>
          <x15:c>
            <x15:v>16</x15:v>
          </x15:c>
          <x15:c>
            <x15:v>16</x15:v>
          </x15:c>
        </x15:pivotRow>
        <x15:pivotRow count="3">
          <x15:c>
            <x15:v>1</x15:v>
          </x15:c>
          <x15:c>
            <x15:v>16</x15:v>
          </x15:c>
          <x15:c>
            <x15:v>16</x15:v>
          </x15:c>
        </x15:pivotRow>
        <x15:pivotRow count="3">
          <x15:c>
            <x15:v>4</x15:v>
          </x15:c>
          <x15:c>
            <x15:v>16</x15:v>
          </x15:c>
          <x15:c>
            <x15:v>16</x15:v>
          </x15:c>
        </x15:pivotRow>
        <x15:pivotRow count="3">
          <x15:c>
            <x15:v>4</x15:v>
          </x15:c>
          <x15:c>
            <x15:v>16</x15:v>
          </x15:c>
          <x15:c>
            <x15:v>16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KPI_GRAPH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933B2B-E764-43D1-B34B-75ACDF8E14B0}" name="PivotChar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7:E84" firstHeaderRow="1" firstDataRow="2" firstDataCol="1" rowPageCount="5" colPageCount="1"/>
  <pivotFields count="11">
    <pivotField axis="axisRow" allDrilled="1" subtotalTop="0" showAll="0" dataSourceSort="1" defaultSubtotal="0" defaultAttributeDrillState="1">
      <items count="1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</items>
    </pivotField>
    <pivotField axis="axisRow" allDrilled="1" subtotalTop="0" showAll="0" dataSourceSort="1" defaultSubtotal="0">
      <items count="13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</items>
    </pivotField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Col" allDrilled="1" subtotalTop="0" showAll="0" dataSourceSort="1" defaultSubtotal="0" defaultAttributeDrillState="1">
      <items count="3">
        <item x="0"/>
        <item x="1"/>
        <item x="2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4">
    <field x="3"/>
    <field x="2"/>
    <field x="1"/>
    <field x="0"/>
  </rowFields>
  <rowItems count="76">
    <i>
      <x/>
    </i>
    <i r="1">
      <x/>
    </i>
    <i r="2">
      <x/>
    </i>
    <i>
      <x v="1"/>
    </i>
    <i r="1">
      <x v="1"/>
    </i>
    <i r="2">
      <x v="1"/>
    </i>
    <i>
      <x v="2"/>
    </i>
    <i r="1">
      <x v="2"/>
    </i>
    <i r="2">
      <x v="2"/>
    </i>
    <i r="2">
      <x v="3"/>
    </i>
    <i r="2">
      <x v="4"/>
    </i>
    <i r="1">
      <x v="3"/>
    </i>
    <i r="2">
      <x v="5"/>
    </i>
    <i r="2">
      <x v="6"/>
    </i>
    <i r="2">
      <x v="7"/>
    </i>
    <i r="1">
      <x v="4"/>
    </i>
    <i r="2">
      <x v="8"/>
    </i>
    <i r="2">
      <x v="9"/>
    </i>
    <i r="2">
      <x v="10"/>
    </i>
    <i r="1">
      <x v="1"/>
    </i>
    <i r="2">
      <x v="11"/>
    </i>
    <i r="2">
      <x v="12"/>
    </i>
    <i r="2">
      <x v="1"/>
    </i>
    <i>
      <x v="3"/>
    </i>
    <i r="1">
      <x v="2"/>
    </i>
    <i r="2">
      <x v="2"/>
    </i>
    <i r="2">
      <x v="3"/>
    </i>
    <i r="2">
      <x v="4"/>
    </i>
    <i r="1">
      <x v="3"/>
    </i>
    <i r="2">
      <x v="5"/>
    </i>
    <i r="2">
      <x v="6"/>
    </i>
    <i r="2">
      <x v="7"/>
    </i>
    <i r="1">
      <x v="4"/>
    </i>
    <i r="2">
      <x v="8"/>
    </i>
    <i r="2">
      <x v="9"/>
    </i>
    <i r="2">
      <x v="10"/>
    </i>
    <i r="1">
      <x v="1"/>
    </i>
    <i r="2">
      <x v="1"/>
    </i>
    <i>
      <x v="4"/>
    </i>
    <i r="1">
      <x v="2"/>
    </i>
    <i r="2">
      <x v="2"/>
    </i>
    <i r="2">
      <x v="3"/>
    </i>
    <i r="2">
      <x v="4"/>
    </i>
    <i r="1">
      <x v="3"/>
    </i>
    <i r="2">
      <x v="5"/>
    </i>
    <i r="2">
      <x v="6"/>
    </i>
    <i r="2">
      <x v="7"/>
    </i>
    <i r="1">
      <x v="4"/>
    </i>
    <i r="2">
      <x v="8"/>
    </i>
    <i r="2">
      <x v="9"/>
    </i>
    <i r="2">
      <x v="10"/>
    </i>
    <i r="1">
      <x v="1"/>
    </i>
    <i r="2">
      <x v="11"/>
    </i>
    <i r="2">
      <x v="12"/>
    </i>
    <i r="2">
      <x v="1"/>
    </i>
    <i>
      <x v="5"/>
    </i>
    <i r="1">
      <x v="2"/>
    </i>
    <i r="2">
      <x v="2"/>
    </i>
    <i r="2">
      <x v="3"/>
    </i>
    <i r="2">
      <x v="4"/>
    </i>
    <i r="1">
      <x v="3"/>
    </i>
    <i r="2">
      <x v="5"/>
    </i>
    <i r="2">
      <x v="6"/>
    </i>
    <i r="1">
      <x v="4"/>
    </i>
    <i r="2">
      <x v="8"/>
    </i>
    <i r="2">
      <x v="9"/>
    </i>
    <i r="1">
      <x v="1"/>
    </i>
    <i r="2">
      <x v="12"/>
    </i>
    <i r="2">
      <x v="1"/>
    </i>
    <i>
      <x v="6"/>
    </i>
    <i r="1">
      <x v="2"/>
    </i>
    <i r="2">
      <x v="2"/>
    </i>
    <i r="2">
      <x v="3"/>
    </i>
    <i r="1">
      <x v="3"/>
    </i>
    <i r="2">
      <x v="7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pageFields count="5">
    <pageField fld="5" hier="2" name="[KPI_GRAPH].[GROUP_ID_B].[All]" cap="All"/>
    <pageField fld="6" hier="3" name="[KPI_GRAPH].[GROUP_ID_C].[All]" cap="All"/>
    <pageField fld="9" hier="24" name="[KPI_GRAPH].[StepName].[All]" cap="All"/>
    <pageField fld="7" hier="4" name="[KPI_GRAPH].[GROUP_ID_F].[All]" cap="All"/>
    <pageField fld="8" hier="5" name="[KPI_GRAPH].[GROUP_ID_G].[All]" cap="All"/>
  </pageFields>
  <dataFields count="1">
    <dataField name="Distinct Count of Value" fld="10" subtotal="count" baseField="3" baseItem="0">
      <extLst>
        <ext xmlns:x15="http://schemas.microsoft.com/office/spreadsheetml/2010/11/main" uri="{FABC7310-3BB5-11E1-824E-6D434824019B}">
          <x15:dataField isCountDistinct="1"/>
        </ext>
      </extLst>
    </dataField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Distinct Count of Value"/>
  </pivotHierarchies>
  <rowHierarchiesUsage count="4">
    <rowHierarchyUsage hierarchyUsage="29"/>
    <rowHierarchyUsage hierarchyUsage="30"/>
    <rowHierarchyUsage hierarchyUsage="31"/>
    <rowHierarchyUsage hierarchyUsage="25"/>
  </rowHierarchiesUsage>
  <colHierarchiesUsage count="1">
    <colHierarchyUsage hierarchyUsage="2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6" columnCount="4" cacheId="221532771"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>
            <x15:v>1</x15:v>
          </x15:c>
          <x15:c>
            <x15:v>1</x15:v>
          </x15:c>
          <x15:c>
            <x15:v>1</x15:v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 t="e">
            <x15:v/>
          </x15:c>
          <x15:c>
            <x15:v>1</x15:v>
          </x15:c>
          <x15:c>
            <x15:v>1</x15:v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>
            <x15:v>1</x15:v>
          </x15:c>
          <x15:c>
            <x15:v>2</x15:v>
          </x15:c>
          <x15:c>
            <x15:v>1</x15:v>
          </x15:c>
          <x15:c>
            <x15:v>3</x15:v>
          </x15:c>
        </x15:pivotRow>
        <x15:pivotRow count="4">
          <x15:c>
            <x15:v>1</x15:v>
          </x15:c>
          <x15:c>
            <x15:v>4</x15:v>
          </x15:c>
          <x15:c>
            <x15:v>3</x15:v>
          </x15:c>
          <x15:c>
            <x15:v>6</x15:v>
          </x15:c>
        </x15:pivotRow>
        <x15:pivotRow count="4">
          <x15:c>
            <x15:v>1</x15:v>
          </x15:c>
          <x15:c>
            <x15:v>7</x15:v>
          </x15:c>
          <x15:c>
            <x15:v>1</x15:v>
          </x15:c>
          <x15:c>
            <x15:v>7</x15:v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>
            <x15:v>5</x15:v>
          </x15:c>
          <x15:c>
            <x15:v>2</x15:v>
          </x15:c>
          <x15:c>
            <x15:v>6</x15:v>
          </x15:c>
        </x15:pivotRow>
        <x15:pivotRow count="4">
          <x15:c t="e">
            <x15:v/>
          </x15:c>
          <x15:c>
            <x15:v>5</x15:v>
          </x15:c>
          <x15:c>
            <x15:v>3</x15:v>
          </x15:c>
          <x15:c>
            <x15:v>8</x15:v>
          </x15:c>
        </x15:pivotRow>
        <x15:pivotRow count="4">
          <x15:c>
            <x15:v>1</x15:v>
          </x15:c>
          <x15:c>
            <x15:v>5</x15:v>
          </x15:c>
          <x15:c t="e">
            <x15:v/>
          </x15:c>
          <x15:c>
            <x15:v>5</x15:v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>
            <x15:v>3</x15:v>
          </x15:c>
          <x15:c>
            <x15:v>1</x15:v>
          </x15:c>
          <x15:c>
            <x15:v>3</x15:v>
          </x15:c>
        </x15:pivotRow>
        <x15:pivotRow count="4">
          <x15:c t="e">
            <x15:v/>
          </x15:c>
          <x15:c>
            <x15:v>8</x15:v>
          </x15:c>
          <x15:c>
            <x15:v>4</x15:v>
          </x15:c>
          <x15:c>
            <x15:v>8</x15:v>
          </x15:c>
        </x15:pivotRow>
        <x15:pivotRow count="4">
          <x15:c t="e">
            <x15:v/>
          </x15:c>
          <x15:c>
            <x15:v>3</x15:v>
          </x15:c>
          <x15:c>
            <x15:v>2</x15:v>
          </x15:c>
          <x15:c>
            <x15:v>3</x15:v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>
            <x15:v>6</x15:v>
          </x15:c>
          <x15:c>
            <x15:v>6</x15:v>
          </x15:c>
          <x15:c>
            <x15:v>8</x15:v>
          </x15:c>
        </x15:pivotRow>
        <x15:pivotRow count="4">
          <x15:c t="e">
            <x15:v/>
          </x15:c>
          <x15:c>
            <x15:v>7</x15:v>
          </x15:c>
          <x15:c>
            <x15:v>6</x15:v>
          </x15:c>
          <x15:c>
            <x15:v>7</x15:v>
          </x15:c>
        </x15:pivotRow>
        <x15:pivotRow count="4">
          <x15:c t="e">
            <x15:v/>
          </x15:c>
          <x15:c>
            <x15:v>3</x15:v>
          </x15:c>
          <x15:c>
            <x15:v>3</x15:v>
          </x15:c>
          <x15:c>
            <x15:v>5</x15:v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>
            <x15:v>5</x15:v>
          </x15:c>
          <x15:c>
            <x15:v>7</x15:v>
          </x15:c>
          <x15:c>
            <x15:v>8</x15:v>
          </x15:c>
        </x15:pivotRow>
        <x15:pivotRow count="4">
          <x15:c t="e">
            <x15:v/>
          </x15:c>
          <x15:c>
            <x15:v>2</x15:v>
          </x15:c>
          <x15:c>
            <x15:v>4</x15:v>
          </x15:c>
          <x15:c>
            <x15:v>4</x15:v>
          </x15:c>
        </x15:pivotRow>
        <x15:pivotRow count="4">
          <x15:c t="e">
            <x15:v/>
          </x15:c>
          <x15:c t="e">
            <x15:v/>
          </x15:c>
          <x15:c>
            <x15:v>3</x15:v>
          </x15:c>
          <x15:c>
            <x15:v>3</x15:v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>
            <x15:v>3</x15:v>
          </x15:c>
          <x15:c>
            <x15:v>4</x15:v>
          </x15:c>
          <x15:c>
            <x15:v>5</x15:v>
          </x15:c>
        </x15:pivotRow>
        <x15:pivotRow count="4">
          <x15:c t="e">
            <x15:v/>
          </x15:c>
          <x15:c>
            <x15:v>5</x15:v>
          </x15:c>
          <x15:c>
            <x15:v>9</x15:v>
          </x15:c>
          <x15:c>
            <x15:v>10</x15:v>
          </x15:c>
        </x15:pivotRow>
        <x15:pivotRow count="4">
          <x15:c t="e">
            <x15:v/>
          </x15:c>
          <x15:c>
            <x15:v>1</x15:v>
          </x15:c>
          <x15:c>
            <x15:v>7</x15:v>
          </x15:c>
          <x15:c>
            <x15:v>7</x15:v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>
            <x15:v>2</x15:v>
          </x15:c>
          <x15:c>
            <x15:v>4</x15:v>
          </x15:c>
          <x15:c>
            <x15:v>4</x15:v>
          </x15:c>
        </x15:pivotRow>
        <x15:pivotRow count="4">
          <x15:c t="e">
            <x15:v/>
          </x15:c>
          <x15:c>
            <x15:v>2</x15:v>
          </x15:c>
          <x15:c>
            <x15:v>3</x15:v>
          </x15:c>
          <x15:c>
            <x15:v>3</x15:v>
          </x15:c>
        </x15:pivotRow>
        <x15:pivotRow count="4">
          <x15:c t="e">
            <x15:v/>
          </x15:c>
          <x15:c>
            <x15:v>2</x15:v>
          </x15:c>
          <x15:c>
            <x15:v>4</x15:v>
          </x15:c>
          <x15:c>
            <x15:v>4</x15:v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>
            <x15:v>4</x15:v>
          </x15:c>
          <x15:c t="e">
            <x15:v/>
          </x15:c>
          <x15:c>
            <x15:v>4</x15:v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>
            <x15:v>1</x15:v>
          </x15:c>
          <x15:c>
            <x15:v>1</x15:v>
          </x15:c>
          <x15:c>
            <x15:v>2</x15:v>
          </x15:c>
        </x15:pivotRow>
        <x15:pivotRow count="4">
          <x15:c t="e">
            <x15:v/>
          </x15:c>
          <x15:c>
            <x15:v>2</x15:v>
          </x15:c>
          <x15:c>
            <x15:v>2</x15:v>
          </x15:c>
          <x15:c>
            <x15:v>4</x15:v>
          </x15:c>
        </x15:pivotRow>
        <x15:pivotRow count="4">
          <x15:c t="e">
            <x15:v/>
          </x15:c>
          <x15:c>
            <x15:v>3</x15:v>
          </x15:c>
          <x15:c>
            <x15:v>3</x15:v>
          </x15:c>
          <x15:c>
            <x15:v>5</x15:v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>
            <x15:v>3</x15:v>
          </x15:c>
          <x15:c>
            <x15:v>3</x15:v>
          </x15:c>
          <x15:c>
            <x15:v>5</x15:v>
          </x15:c>
        </x15:pivotRow>
        <x15:pivotRow count="4">
          <x15:c t="e">
            <x15:v/>
          </x15:c>
          <x15:c>
            <x15:v>2</x15:v>
          </x15:c>
          <x15:c>
            <x15:v>1</x15:v>
          </x15:c>
          <x15:c>
            <x15:v>3</x15:v>
          </x15:c>
        </x15:pivotRow>
        <x15:pivotRow count="4">
          <x15:c t="e">
            <x15:v/>
          </x15:c>
          <x15:c>
            <x15:v>2</x15:v>
          </x15:c>
          <x15:c>
            <x15:v>3</x15:v>
          </x15:c>
          <x15:c>
            <x15:v>3</x15:v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>
            <x15:v>4</x15:v>
          </x15:c>
          <x15:c>
            <x15:v>3</x15:v>
          </x15:c>
          <x15:c>
            <x15:v>6</x15:v>
          </x15:c>
        </x15:pivotRow>
        <x15:pivotRow count="4">
          <x15:c t="e">
            <x15:v/>
          </x15:c>
          <x15:c>
            <x15:v>7</x15:v>
          </x15:c>
          <x15:c>
            <x15:v>5</x15:v>
          </x15:c>
          <x15:c>
            <x15:v>7</x15:v>
          </x15:c>
        </x15:pivotRow>
        <x15:pivotRow count="4">
          <x15:c t="e">
            <x15:v/>
          </x15:c>
          <x15:c>
            <x15:v>6</x15:v>
          </x15:c>
          <x15:c>
            <x15:v>7</x15:v>
          </x15:c>
          <x15:c>
            <x15:v>7</x15:v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>
            <x15:v>6</x15:v>
          </x15:c>
          <x15:c>
            <x15:v>9</x15:v>
          </x15:c>
          <x15:c>
            <x15:v>9</x15:v>
          </x15:c>
        </x15:pivotRow>
        <x15:pivotRow count="4">
          <x15:c t="e">
            <x15:v/>
          </x15:c>
          <x15:c>
            <x15:v>6</x15:v>
          </x15:c>
          <x15:c>
            <x15:v>6</x15:v>
          </x15:c>
          <x15:c>
            <x15:v>6</x15:v>
          </x15:c>
        </x15:pivotRow>
        <x15:pivotRow count="4">
          <x15:c t="e">
            <x15:v/>
          </x15:c>
          <x15:c>
            <x15:v>6</x15:v>
          </x15:c>
          <x15:c>
            <x15:v>6</x15:v>
          </x15:c>
          <x15:c>
            <x15:v>6</x15:v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>
            <x15:v>5</x15:v>
          </x15:c>
          <x15:c>
            <x15:v>7</x15:v>
          </x15:c>
          <x15:c>
            <x15:v>7</x15:v>
          </x15:c>
        </x15:pivotRow>
        <x15:pivotRow count="4">
          <x15:c t="e">
            <x15:v/>
          </x15:c>
          <x15:c>
            <x15:v>2</x15:v>
          </x15:c>
          <x15:c>
            <x15:v>3</x15:v>
          </x15:c>
          <x15:c>
            <x15:v>3</x15:v>
          </x15:c>
        </x15:pivotRow>
        <x15:pivotRow count="4">
          <x15:c t="e">
            <x15:v/>
          </x15:c>
          <x15:c>
            <x15:v>3</x15:v>
          </x15:c>
          <x15:c>
            <x15:v>3</x15:v>
          </x15:c>
          <x15:c>
            <x15:v>3</x15:v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>
            <x15:v>2</x15:v>
          </x15:c>
          <x15:c>
            <x15:v>2</x15:v>
          </x15:c>
          <x15:c>
            <x15:v>2</x15:v>
          </x15:c>
        </x15:pivotRow>
        <x15:pivotRow count="4">
          <x15:c t="e">
            <x15:v/>
          </x15:c>
          <x15:c>
            <x15:v>1</x15:v>
          </x15:c>
          <x15:c>
            <x15:v>1</x15:v>
          </x15:c>
          <x15:c>
            <x15:v>2</x15:v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>
            <x15:v>1</x15:v>
          </x15:c>
          <x15:c>
            <x15:v>1</x15:v>
          </x15:c>
          <x15:c>
            <x15:v>1</x15:v>
          </x15:c>
        </x15:pivotRow>
        <x15:pivotRow count="4">
          <x15:c t="e">
            <x15:v/>
          </x15:c>
          <x15:c>
            <x15:v>1</x15:v>
          </x15:c>
          <x15:c>
            <x15:v>1</x15:v>
          </x15:c>
          <x15:c>
            <x15:v>1</x15:v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>
            <x15:v>4</x15:v>
          </x15:c>
          <x15:c t="e">
            <x15:v/>
          </x15:c>
          <x15:c>
            <x15:v>4</x15:v>
          </x15:c>
        </x15:pivotRow>
        <x15:pivotRow count="4">
          <x15:c t="e">
            <x15:v/>
          </x15:c>
          <x15:c>
            <x15:v>1</x15:v>
          </x15:c>
          <x15:c t="e">
            <x15:v/>
          </x15:c>
          <x15:c>
            <x15:v>1</x15:v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>
            <x15:v>2</x15:v>
          </x15:c>
          <x15:c t="e">
            <x15:v/>
          </x15:c>
          <x15:c>
            <x15:v>2</x15:v>
          </x15:c>
        </x15:pivotRow>
        <x15:pivotRow count="4">
          <x15:c t="e">
            <x15:v/>
          </x15:c>
          <x15:c>
            <x15:v>3</x15:v>
          </x15:c>
          <x15:c t="e">
            <x15:v/>
          </x15:c>
          <x15:c>
            <x15:v>3</x15:v>
          </x15:c>
        </x15:pivotRow>
        <x15:pivotRow count="4"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4">
          <x15:c t="e">
            <x15:v/>
          </x15:c>
          <x15:c>
            <x15:v>1</x15:v>
          </x15:c>
          <x15:c t="e">
            <x15:v/>
          </x15:c>
          <x15:c>
            <x15:v>1</x15:v>
          </x15:c>
        </x15:pivotRow>
        <x15:pivotRow count="4">
          <x15:c>
            <x15:v>4</x15:v>
          </x15:c>
          <x15:c>
            <x15:v>159</x15:v>
          </x15:c>
          <x15:c>
            <x15:v>146</x15:v>
          </x15:c>
          <x15:c>
            <x15:v>216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KPI_GRAPH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8571B4-EF98-40E7-AD76-359B4819390A}" name="PivotChar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69" firstHeaderRow="1" firstDataRow="2" firstDataCol="1" rowPageCount="2" colPageCount="1"/>
  <pivotFields count="8"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>
      <items count="13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</items>
    </pivotField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</pivotFields>
  <rowFields count="4">
    <field x="6"/>
    <field x="5"/>
    <field x="4"/>
    <field x="3"/>
  </rowFields>
  <rowItems count="64">
    <i>
      <x/>
    </i>
    <i r="1">
      <x/>
    </i>
    <i r="2">
      <x/>
    </i>
    <i>
      <x v="1"/>
    </i>
    <i r="1">
      <x v="1"/>
    </i>
    <i r="2">
      <x v="1"/>
    </i>
    <i>
      <x v="2"/>
    </i>
    <i r="1">
      <x v="2"/>
    </i>
    <i r="2">
      <x v="2"/>
    </i>
    <i r="2">
      <x v="3"/>
    </i>
    <i r="2">
      <x v="4"/>
    </i>
    <i r="1">
      <x v="3"/>
    </i>
    <i r="2">
      <x v="5"/>
    </i>
    <i r="2">
      <x v="6"/>
    </i>
    <i r="1">
      <x v="4"/>
    </i>
    <i r="2">
      <x v="7"/>
    </i>
    <i r="2">
      <x v="8"/>
    </i>
    <i r="2">
      <x v="9"/>
    </i>
    <i r="1">
      <x v="1"/>
    </i>
    <i r="2">
      <x v="10"/>
    </i>
    <i r="2">
      <x v="11"/>
    </i>
    <i r="2">
      <x v="1"/>
    </i>
    <i>
      <x v="3"/>
    </i>
    <i r="1">
      <x v="2"/>
    </i>
    <i r="2">
      <x v="2"/>
    </i>
    <i r="2">
      <x v="3"/>
    </i>
    <i r="2">
      <x v="4"/>
    </i>
    <i r="1">
      <x v="3"/>
    </i>
    <i r="2">
      <x v="5"/>
    </i>
    <i r="2">
      <x v="6"/>
    </i>
    <i r="2">
      <x v="12"/>
    </i>
    <i r="1">
      <x v="4"/>
    </i>
    <i r="2">
      <x v="7"/>
    </i>
    <i r="2">
      <x v="8"/>
    </i>
    <i r="2">
      <x v="9"/>
    </i>
    <i>
      <x v="4"/>
    </i>
    <i r="1">
      <x v="2"/>
    </i>
    <i r="2">
      <x v="2"/>
    </i>
    <i r="2">
      <x v="3"/>
    </i>
    <i r="2">
      <x v="4"/>
    </i>
    <i r="1">
      <x v="3"/>
    </i>
    <i r="2">
      <x v="5"/>
    </i>
    <i r="2">
      <x v="6"/>
    </i>
    <i r="2">
      <x v="12"/>
    </i>
    <i r="1">
      <x v="4"/>
    </i>
    <i r="2">
      <x v="7"/>
    </i>
    <i r="2">
      <x v="8"/>
    </i>
    <i r="2">
      <x v="9"/>
    </i>
    <i r="1">
      <x v="1"/>
    </i>
    <i r="2">
      <x v="10"/>
    </i>
    <i r="2">
      <x v="11"/>
    </i>
    <i r="2">
      <x v="1"/>
    </i>
    <i>
      <x v="5"/>
    </i>
    <i r="1">
      <x v="2"/>
    </i>
    <i r="2">
      <x v="2"/>
    </i>
    <i r="2">
      <x v="3"/>
    </i>
    <i r="2">
      <x v="4"/>
    </i>
    <i r="1">
      <x v="3"/>
    </i>
    <i r="2">
      <x v="5"/>
    </i>
    <i r="2">
      <x v="6"/>
    </i>
    <i r="1">
      <x v="4"/>
    </i>
    <i r="2">
      <x v="7"/>
    </i>
    <i r="2">
      <x v="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2">
    <pageField fld="1" hier="23" name="[KPI_GRAPH].[Type].&amp;[Plan]" cap="Plan"/>
    <pageField fld="0" hier="24" name="[KPI_GRAPH].[StepName].[All]" cap="All"/>
  </pageFields>
  <dataFields count="1">
    <dataField name="Distinct Count of Package ID" fld="7" subtotal="count" baseField="6" baseItem="0">
      <extLst>
        <ext xmlns:x15="http://schemas.microsoft.com/office/spreadsheetml/2010/11/main" uri="{FABC7310-3BB5-11E1-824E-6D434824019B}">
          <x15:dataField isCountDistinct="1"/>
        </ext>
      </extLst>
    </dataField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KPI_GRAPH].[Type].&amp;[Plan]"/>
      </members>
    </pivotHierarchy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Distinct Count of Package ID"/>
    <pivotHierarchy dragToData="1"/>
  </pivotHierarchies>
  <rowHierarchiesUsage count="4">
    <rowHierarchyUsage hierarchyUsage="29"/>
    <rowHierarchyUsage hierarchyUsage="30"/>
    <rowHierarchyUsage hierarchyUsage="31"/>
    <rowHierarchyUsage hierarchyUsage="25"/>
  </rowHierarchiesUsage>
  <colHierarchiesUsage count="1">
    <colHierarchyUsage hierarchyUsage="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64" columnCount="5" cacheId="2116973789">
        <x15:pivotRow count="5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5">
          <x15:c t="e">
            <x15:v/>
          </x15:c>
          <x15:c>
            <x15:v>2</x15:v>
          </x15:c>
          <x15:c t="e">
            <x15:v/>
          </x15:c>
          <x15:c t="e">
            <x15:v/>
          </x15:c>
          <x15:c>
            <x15:v>2</x15:v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5">
          <x15:c>
            <x15:v>1</x15:v>
          </x15:c>
          <x15:c t="e">
            <x15:v/>
          </x15:c>
          <x15:c t="e">
            <x15:v/>
          </x15:c>
          <x15:c t="e">
            <x15:v/>
          </x15:c>
          <x15:c>
            <x15:v>1</x15:v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5">
          <x15:c>
            <x15:v>1</x15:v>
          </x15:c>
          <x15:c t="e">
            <x15:v/>
          </x15:c>
          <x15:c t="e">
            <x15:v/>
          </x15:c>
          <x15:c t="e">
            <x15:v/>
          </x15:c>
          <x15:c>
            <x15:v>1</x15:v>
          </x15:c>
        </x15:pivotRow>
        <x15:pivotRow count="5">
          <x15:c>
            <x15:v>1</x15:v>
          </x15:c>
          <x15:c t="e">
            <x15:v/>
          </x15:c>
          <x15:c t="e">
            <x15:v/>
          </x15:c>
          <x15:c t="e">
            <x15:v/>
          </x15:c>
          <x15:c>
            <x15:v>1</x15:v>
          </x15:c>
        </x15:pivotRow>
        <x15:pivotRow count="5">
          <x15:c>
            <x15:v>1</x15:v>
          </x15:c>
          <x15:c t="e">
            <x15:v/>
          </x15:c>
          <x15:c t="e">
            <x15:v/>
          </x15:c>
          <x15:c t="e">
            <x15:v/>
          </x15:c>
          <x15:c>
            <x15:v>1</x15:v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5">
          <x15:c>
            <x15:v>1</x15:v>
          </x15:c>
          <x15:c t="e">
            <x15:v/>
          </x15:c>
          <x15:c t="e">
            <x15:v/>
          </x15:c>
          <x15:c t="e">
            <x15:v/>
          </x15:c>
          <x15:c>
            <x15:v>1</x15:v>
          </x15:c>
        </x15:pivotRow>
        <x15:pivotRow count="5">
          <x15:c>
            <x15:v>1</x15:v>
          </x15:c>
          <x15:c t="e">
            <x15:v/>
          </x15:c>
          <x15:c t="e">
            <x15:v/>
          </x15:c>
          <x15:c t="e">
            <x15:v/>
          </x15:c>
          <x15:c>
            <x15:v>1</x15:v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>
            <x15:v>1</x15:v>
          </x15:c>
          <x15:c>
            <x15:v>1</x15:v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>
            <x15:v>1</x15:v>
          </x15:c>
          <x15:c>
            <x15:v>1</x15:v>
          </x15:c>
        </x15:pivotRow>
        <x15:pivotRow count="5">
          <x15:c t="e">
            <x15:v/>
          </x15:c>
          <x15:c t="e">
            <x15:v/>
          </x15:c>
          <x15:c>
            <x15:v>1</x15:v>
          </x15:c>
          <x15:c>
            <x15:v>1</x15:v>
          </x15:c>
          <x15:c>
            <x15:v>2</x15:v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5">
          <x15:c>
            <x15:v>1</x15:v>
          </x15:c>
          <x15:c t="e">
            <x15:v/>
          </x15:c>
          <x15:c>
            <x15:v>1</x15:v>
          </x15:c>
          <x15:c>
            <x15:v>1</x15:v>
          </x15:c>
          <x15:c>
            <x15:v>3</x15:v>
          </x15:c>
        </x15:pivotRow>
        <x15:pivotRow count="5">
          <x15:c>
            <x15:v>1</x15:v>
          </x15:c>
          <x15:c t="e">
            <x15:v/>
          </x15:c>
          <x15:c>
            <x15:v>1</x15:v>
          </x15:c>
          <x15:c>
            <x15:v>1</x15:v>
          </x15:c>
          <x15:c>
            <x15:v>3</x15:v>
          </x15:c>
        </x15:pivotRow>
        <x15:pivotRow count="5">
          <x15:c>
            <x15:v>1</x15:v>
          </x15:c>
          <x15:c t="e">
            <x15:v/>
          </x15:c>
          <x15:c>
            <x15:v>1</x15:v>
          </x15:c>
          <x15:c t="e">
            <x15:v/>
          </x15:c>
          <x15:c>
            <x15:v>2</x15:v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5">
          <x15:c>
            <x15:v>1</x15:v>
          </x15:c>
          <x15:c t="e">
            <x15:v/>
          </x15:c>
          <x15:c>
            <x15:v>2</x15:v>
          </x15:c>
          <x15:c t="e">
            <x15:v/>
          </x15:c>
          <x15:c>
            <x15:v>3</x15:v>
          </x15:c>
        </x15:pivotRow>
        <x15:pivotRow count="5">
          <x15:c>
            <x15:v>1</x15:v>
          </x15:c>
          <x15:c t="e">
            <x15:v/>
          </x15:c>
          <x15:c>
            <x15:v>1</x15:v>
          </x15:c>
          <x15:c t="e">
            <x15:v/>
          </x15:c>
          <x15:c>
            <x15:v>2</x15:v>
          </x15:c>
        </x15:pivotRow>
        <x15:pivotRow count="5">
          <x15:c>
            <x15:v>2</x15:v>
          </x15:c>
          <x15:c t="e">
            <x15:v/>
          </x15:c>
          <x15:c>
            <x15:v>1</x15:v>
          </x15:c>
          <x15:c t="e">
            <x15:v/>
          </x15:c>
          <x15:c>
            <x15:v>3</x15:v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5">
          <x15:c>
            <x15:v>2</x15:v>
          </x15:c>
          <x15:c t="e">
            <x15:v/>
          </x15:c>
          <x15:c>
            <x15:v>1</x15:v>
          </x15:c>
          <x15:c>
            <x15:v>1</x15:v>
          </x15:c>
          <x15:c>
            <x15:v>4</x15:v>
          </x15:c>
        </x15:pivotRow>
        <x15:pivotRow count="5">
          <x15:c>
            <x15:v>2</x15:v>
          </x15:c>
          <x15:c t="e">
            <x15:v/>
          </x15:c>
          <x15:c>
            <x15:v>1</x15:v>
          </x15:c>
          <x15:c>
            <x15:v>2</x15:v>
          </x15:c>
          <x15:c>
            <x15:v>5</x15:v>
          </x15:c>
        </x15:pivotRow>
        <x15:pivotRow count="5">
          <x15:c>
            <x15:v>2</x15:v>
          </x15:c>
          <x15:c t="e">
            <x15:v/>
          </x15:c>
          <x15:c>
            <x15:v>2</x15:v>
          </x15:c>
          <x15:c>
            <x15:v>1</x15:v>
          </x15:c>
          <x15:c>
            <x15:v>5</x15:v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5">
          <x15:c>
            <x15:v>2</x15:v>
          </x15:c>
          <x15:c t="e">
            <x15:v/>
          </x15:c>
          <x15:c t="e">
            <x15:v/>
          </x15:c>
          <x15:c>
            <x15:v>1</x15:v>
          </x15:c>
          <x15:c>
            <x15:v>3</x15:v>
          </x15:c>
        </x15:pivotRow>
        <x15:pivotRow count="5">
          <x15:c>
            <x15:v>1</x15:v>
          </x15:c>
          <x15:c t="e">
            <x15:v/>
          </x15:c>
          <x15:c t="e">
            <x15:v/>
          </x15:c>
          <x15:c>
            <x15:v>1</x15:v>
          </x15:c>
          <x15:c>
            <x15:v>2</x15:v>
          </x15:c>
        </x15:pivotRow>
        <x15:pivotRow count="5">
          <x15:c>
            <x15:v>1</x15:v>
          </x15:c>
          <x15:c t="e">
            <x15:v/>
          </x15:c>
          <x15:c t="e">
            <x15:v/>
          </x15:c>
          <x15:c>
            <x15:v>1</x15:v>
          </x15:c>
          <x15:c>
            <x15:v>2</x15:v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5">
          <x15:c>
            <x15:v>1</x15:v>
          </x15:c>
          <x15:c t="e">
            <x15:v/>
          </x15:c>
          <x15:c t="e">
            <x15:v/>
          </x15:c>
          <x15:c t="e">
            <x15:v/>
          </x15:c>
          <x15:c>
            <x15:v>1</x15:v>
          </x15:c>
        </x15:pivotRow>
        <x15:pivotRow count="5">
          <x15:c>
            <x15:v>2</x15:v>
          </x15:c>
          <x15:c t="e">
            <x15:v/>
          </x15:c>
          <x15:c t="e">
            <x15:v/>
          </x15:c>
          <x15:c t="e">
            <x15:v/>
          </x15:c>
          <x15:c>
            <x15:v>2</x15:v>
          </x15:c>
        </x15:pivotRow>
        <x15:pivotRow count="5">
          <x15:c>
            <x15:v>1</x15:v>
          </x15:c>
          <x15:c t="e">
            <x15:v/>
          </x15:c>
          <x15:c t="e">
            <x15:v/>
          </x15:c>
          <x15:c>
            <x15:v>1</x15:v>
          </x15:c>
          <x15:c>
            <x15:v>2</x15:v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5">
          <x15:c>
            <x15:v>1</x15:v>
          </x15:c>
          <x15:c t="e">
            <x15:v/>
          </x15:c>
          <x15:c>
            <x15:v>1</x15:v>
          </x15:c>
          <x15:c t="e">
            <x15:v/>
          </x15:c>
          <x15:c>
            <x15:v>2</x15:v>
          </x15:c>
        </x15:pivotRow>
        <x15:pivotRow count="5">
          <x15:c>
            <x15:v>1</x15:v>
          </x15:c>
          <x15:c t="e">
            <x15:v/>
          </x15:c>
          <x15:c t="e">
            <x15:v/>
          </x15:c>
          <x15:c t="e">
            <x15:v/>
          </x15:c>
          <x15:c>
            <x15:v>1</x15:v>
          </x15:c>
        </x15:pivotRow>
        <x15:pivotRow count="5">
          <x15:c>
            <x15:v>1</x15:v>
          </x15:c>
          <x15:c t="e">
            <x15:v/>
          </x15:c>
          <x15:c t="e">
            <x15:v/>
          </x15:c>
          <x15:c t="e">
            <x15:v/>
          </x15:c>
          <x15:c>
            <x15:v>1</x15:v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5">
          <x15:c>
            <x15:v>1</x15:v>
          </x15:c>
          <x15:c t="e">
            <x15:v/>
          </x15:c>
          <x15:c t="e">
            <x15:v/>
          </x15:c>
          <x15:c>
            <x15:v>1</x15:v>
          </x15:c>
          <x15:c>
            <x15:v>2</x15:v>
          </x15:c>
        </x15:pivotRow>
        <x15:pivotRow count="5">
          <x15:c>
            <x15:v>1</x15:v>
          </x15:c>
          <x15:c t="e">
            <x15:v/>
          </x15:c>
          <x15:c t="e">
            <x15:v/>
          </x15:c>
          <x15:c>
            <x15:v>1</x15:v>
          </x15:c>
          <x15:c>
            <x15:v>2</x15:v>
          </x15:c>
        </x15:pivotRow>
        <x15:pivotRow count="5">
          <x15:c>
            <x15:v>1</x15:v>
          </x15:c>
          <x15:c t="e">
            <x15:v/>
          </x15:c>
          <x15:c>
            <x15:v>2</x15:v>
          </x15:c>
          <x15:c>
            <x15:v>1</x15:v>
          </x15:c>
          <x15:c>
            <x15:v>4</x15:v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5">
          <x15:c>
            <x15:v>1</x15:v>
          </x15:c>
          <x15:c t="e">
            <x15:v/>
          </x15:c>
          <x15:c>
            <x15:v>2</x15:v>
          </x15:c>
          <x15:c>
            <x15:v>1</x15:v>
          </x15:c>
          <x15:c>
            <x15:v>4</x15:v>
          </x15:c>
        </x15:pivotRow>
        <x15:pivotRow count="5">
          <x15:c>
            <x15:v>1</x15:v>
          </x15:c>
          <x15:c t="e">
            <x15:v/>
          </x15:c>
          <x15:c>
            <x15:v>2</x15:v>
          </x15:c>
          <x15:c>
            <x15:v>2</x15:v>
          </x15:c>
          <x15:c>
            <x15:v>5</x15:v>
          </x15:c>
        </x15:pivotRow>
        <x15:pivotRow count="5">
          <x15:c>
            <x15:v>1</x15:v>
          </x15:c>
          <x15:c t="e">
            <x15:v/>
          </x15:c>
          <x15:c>
            <x15:v>2</x15:v>
          </x15:c>
          <x15:c>
            <x15:v>1</x15:v>
          </x15:c>
          <x15:c>
            <x15:v>4</x15:v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5">
          <x15:c t="e">
            <x15:v/>
          </x15:c>
          <x15:c t="e">
            <x15:v/>
          </x15:c>
          <x15:c>
            <x15:v>2</x15:v>
          </x15:c>
          <x15:c>
            <x15:v>1</x15:v>
          </x15:c>
          <x15:c>
            <x15:v>3</x15:v>
          </x15:c>
        </x15:pivotRow>
        <x15:pivotRow count="5">
          <x15:c>
            <x15:v>1</x15:v>
          </x15:c>
          <x15:c t="e">
            <x15:v/>
          </x15:c>
          <x15:c t="e">
            <x15:v/>
          </x15:c>
          <x15:c>
            <x15:v>1</x15:v>
          </x15:c>
          <x15:c>
            <x15:v>2</x15:v>
          </x15:c>
        </x15:pivotRow>
        <x15:pivotRow count="5">
          <x15:c>
            <x15:v>1</x15:v>
          </x15:c>
          <x15:c t="e">
            <x15:v/>
          </x15:c>
          <x15:c t="e">
            <x15:v/>
          </x15:c>
          <x15:c>
            <x15:v>1</x15:v>
          </x15:c>
          <x15:c>
            <x15:v>2</x15:v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>
            <x15:v>2</x15:v>
          </x15:c>
          <x15:c>
            <x15:v>2</x15:v>
          </x15:c>
        </x15:pivotRow>
        <x15:pivotRow count="5">
          <x15:c t="e">
            <x15:v/>
          </x15:c>
          <x15:c t="e">
            <x15:v/>
          </x15:c>
          <x15:c>
            <x15:v>1</x15:v>
          </x15:c>
          <x15:c t="e">
            <x15:v/>
          </x15:c>
          <x15:c>
            <x15:v>1</x15:v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 t="e">
            <x15:v/>
          </x15:c>
          <x15:c t="e">
            <x15:v/>
          </x15:c>
        </x15:pivotRow>
        <x15:pivotRow count="5">
          <x15:c t="e">
            <x15:v/>
          </x15:c>
          <x15:c t="e">
            <x15:v/>
          </x15:c>
          <x15:c t="e">
            <x15:v/>
          </x15:c>
          <x15:c>
            <x15:v>1</x15:v>
          </x15:c>
          <x15:c>
            <x15:v>1</x15:v>
          </x15:c>
        </x15:pivotRow>
        <x15:pivotRow count="5">
          <x15:c t="e">
            <x15:v/>
          </x15:c>
          <x15:c t="e">
            <x15:v/>
          </x15:c>
          <x15:c>
            <x15:v>1</x15:v>
          </x15:c>
          <x15:c t="e">
            <x15:v/>
          </x15:c>
          <x15:c>
            <x15:v>1</x15:v>
          </x15:c>
        </x15:pivotRow>
        <x15:pivotRow count="5">
          <x15:c>
            <x15:v>6</x15:v>
          </x15:c>
          <x15:c>
            <x15:v>2</x15:v>
          </x15:c>
          <x15:c>
            <x15:v>4</x15:v>
          </x15:c>
          <x15:c>
            <x15:v>4</x15:v>
          </x15:c>
          <x15:c>
            <x15:v>16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KPI_GRAPH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C228BABD-9D07-4E35-8173-DC5A9BF6B3C3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StepName.1" tableColumnId="1"/>
      <queryTableField id="2" name="StepName.2" tableColumnId="2"/>
      <queryTableField id="3" dataBound="0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177ABECA-8FD2-41EE-B7BF-D3AA9D63F1D7}" autoFormatId="16" applyNumberFormats="0" applyBorderFormats="0" applyFontFormats="0" applyPatternFormats="0" applyAlignmentFormats="0" applyWidthHeightFormats="0">
  <queryTableRefresh nextId="18">
    <queryTableFields count="13">
      <queryTableField id="1" name="Package ID" tableColumnId="1"/>
      <queryTableField id="2" name="Description " tableColumnId="2"/>
      <queryTableField id="3" name="GROUP_ID_B.1" tableColumnId="3"/>
      <queryTableField id="4" name="GROUP_ID_C.1" tableColumnId="4"/>
      <queryTableField id="5" name="GROUP_ID_F.1" tableColumnId="5"/>
      <queryTableField id="6" name="GROUP_ID_G.1" tableColumnId="6"/>
      <queryTableField id="7" name="GROUP_ID_H.1" tableColumnId="7"/>
      <queryTableField id="8" name="GROUP_ID_I.1" tableColumnId="8"/>
      <queryTableField id="9" name="GROUP_ID_J.1" tableColumnId="9"/>
      <queryTableField id="11" name="Status2" tableColumnId="11"/>
      <queryTableField id="10" name="Budget" tableColumnId="10"/>
      <queryTableField id="16" name="Award" tableColumnId="13"/>
      <queryTableField id="12" name="Notes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B2E7363-BE15-4373-A34C-C22EED453EF5}" autoFormatId="16" applyNumberFormats="0" applyBorderFormats="0" applyFontFormats="0" applyPatternFormats="0" applyAlignmentFormats="0" applyWidthHeightFormats="0">
  <queryTableRefresh nextId="8">
    <queryTableFields count="7">
      <queryTableField id="1" name="Package ID" tableColumnId="1"/>
      <queryTableField id="2" name="StepID" tableColumnId="2"/>
      <queryTableField id="3" name="Plan" tableColumnId="3"/>
      <queryTableField id="4" name="Forecast" tableColumnId="4"/>
      <queryTableField id="5" name="Actual" tableColumnId="5"/>
      <queryTableField id="6" name="Package Description" tableColumnId="6"/>
      <queryTableField id="7" name="StepName" tableColumnId="7"/>
    </queryTableFields>
  </queryTableRefresh>
</queryTable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EB49E7-9D4A-40A7-AC1E-DB25D3934885}" name="tblProcRegister" displayName="tblProcRegister" ref="B12:CB293" totalsRowShown="0" headerRowDxfId="185" dataDxfId="183" headerRowBorderDxfId="184" tableBorderDxfId="182" totalsRowBorderDxfId="181">
  <autoFilter ref="B12:CB293" xr:uid="{00000000-0009-0000-0100-000001000000}"/>
  <sortState xmlns:xlrd2="http://schemas.microsoft.com/office/spreadsheetml/2017/richdata2" ref="B13:CB293">
    <sortCondition ref="B12:B293"/>
  </sortState>
  <tableColumns count="79">
    <tableColumn id="1" xr3:uid="{4A05E633-8F09-4E2F-BBDC-721A6670769A}" name="Package ID" dataDxfId="180"/>
    <tableColumn id="2" xr3:uid="{37FAF38F-9E83-4D9E-AD1B-608D6C3BA8DD}" name="Description " dataDxfId="179"/>
    <tableColumn id="17" xr3:uid="{84E21707-E277-4D4D-A38E-9F40671FA6CA}" name="GROUP_ID_B" dataDxfId="178" dataCellStyle="Normal 2"/>
    <tableColumn id="12" xr3:uid="{B23CAEB1-021C-4283-A11B-840E3576C45F}" name="GROUP_ID_C" dataDxfId="177" dataCellStyle="Normal 2"/>
    <tableColumn id="11" xr3:uid="{BC0872BB-3CCE-4C14-B937-1ADF5E69F24D}" name="GROUP_ID_F" dataDxfId="176" dataCellStyle="Normal 2"/>
    <tableColumn id="6" xr3:uid="{2E12DFF0-760E-4C3D-A438-A438AD7523E5}" name="GROUP_ID_G" dataDxfId="175" dataCellStyle="Normal 2"/>
    <tableColumn id="16" xr3:uid="{9982056D-B0E3-4F1D-9AE0-4E1C4E6E8FE4}" name="GROUP_ID_H" dataDxfId="174" dataCellStyle="Normal 2"/>
    <tableColumn id="7" xr3:uid="{D4100395-3AAC-4B51-86F0-A6CB4EC7D63E}" name="GROUP_ID_I" dataDxfId="173" dataCellStyle="Normal 2"/>
    <tableColumn id="8" xr3:uid="{3675C7F4-FAC1-4AE3-95B1-5EE2C90B556B}" name="GROUP_ID_J" dataDxfId="172" dataCellStyle="Normal 2"/>
    <tableColumn id="191" xr3:uid="{B8227E31-FB73-49E4-BCA5-F5240F158615}" name="Status" dataDxfId="171" dataCellStyle="Normal 2"/>
    <tableColumn id="20" xr3:uid="{68954BDD-42BA-4193-B4D8-A585F0A5840E}" name="Proj1" dataDxfId="170" dataCellStyle="Normal 2"/>
    <tableColumn id="21" xr3:uid="{59F45972-0665-41E9-BBD7-A7B467EE73DE}" name="Proj2" dataDxfId="169" dataCellStyle="Normal 2"/>
    <tableColumn id="22" xr3:uid="{74224F4E-6D34-4DC2-9CB8-1A8599352C47}" name="Proj3" dataDxfId="168" dataCellStyle="Normal 2"/>
    <tableColumn id="19" xr3:uid="{A00C102A-6D71-4F4C-AD58-243F44911C0B}" name="Proj4" dataDxfId="167" dataCellStyle="Normal 2"/>
    <tableColumn id="15" xr3:uid="{B782BF16-831C-42D5-BF4A-C2BEFF7556F5}" name="Proj5" dataDxfId="166" dataCellStyle="Normal 2"/>
    <tableColumn id="10" xr3:uid="{E1543460-7375-491B-B08E-83BB51D3E50F}" name="Budget" dataDxfId="165"/>
    <tableColumn id="23" xr3:uid="{54DA100D-C9EC-45F3-9B0C-CEE0242015F0}" name="Award" dataDxfId="164" dataCellStyle="Normal 2"/>
    <tableColumn id="24" xr3:uid="{0D14C884-8D12-4F88-B3D6-645D09B7061B}" name="Gain/Loss" dataDxfId="163" dataCellStyle="Normal 2">
      <calculatedColumnFormula>IF(tblProcRegister[[#This Row],[Award]]&lt;&gt;"",tblProcRegister[[#This Row],[Budget]]-tblProcRegister[[#This Row],[Award]],"")</calculatedColumnFormula>
    </tableColumn>
    <tableColumn id="14" xr3:uid="{04900A5A-1598-456F-8A24-DDDF56C4DDBA}" name="ATP No." dataDxfId="162"/>
    <tableColumn id="25" xr3:uid="{FD4BE0A5-BDC9-4FCE-9586-C5A26D668B3D}" name="Subcon Name" dataDxfId="161" dataCellStyle="Comma 2"/>
    <tableColumn id="174" xr3:uid="{290EDAC8-8D2D-4AB6-850A-F579E8AEDC02}" name="Notes" dataDxfId="160" dataCellStyle="Comma 2"/>
    <tableColumn id="76" xr3:uid="{6F7F57C8-54F0-4A85-B68B-F76C9F9BCDF3}" name="S01" dataDxfId="159" dataCellStyle="Comma 2">
      <calculatedColumnFormula>IF(AB13="","",WORKDAY.INTL(AB13,Z13*-1,1,Holidays[Date]))</calculatedColumnFormula>
    </tableColumn>
    <tableColumn id="77" xr3:uid="{1EA3C54B-0FA1-4028-85CC-F12CAB3986A1}" name="S02" dataDxfId="158" dataCellStyle="Comma 2">
      <calculatedColumnFormula>IF(Y13="",IF(W13&gt;$C$8,W13,$C$8),Y13)</calculatedColumnFormula>
    </tableColumn>
    <tableColumn id="78" xr3:uid="{142DC0E2-87CD-490A-BFF7-485D1C6E5C7B}" name="S03" dataDxfId="157" dataCellStyle="Comma 2"/>
    <tableColumn id="79" xr3:uid="{E988A4EC-122D-4EDC-9BD2-BB45602AA791}" name="S04" dataDxfId="156" dataCellStyle="Comma 2"/>
    <tableColumn id="175" xr3:uid="{0C59F68D-210F-48C9-87DB-A8CB3AD26C94}" name="S05" dataDxfId="155" dataCellStyle="Comma 2"/>
    <tableColumn id="81" xr3:uid="{DF430823-305E-473C-B9B6-F4A5D41BB3F1}" name="S06" dataDxfId="154" dataCellStyle="Comma 2">
      <calculatedColumnFormula>IF(AG13="","",WORKDAY.INTL(AG13,AE13*-1,1,Holidays[Date]))</calculatedColumnFormula>
    </tableColumn>
    <tableColumn id="82" xr3:uid="{7D3587B6-05E4-4F65-88F5-09071E5E78A1}" name="S07" dataDxfId="153" dataCellStyle="Comma 2">
      <calculatedColumnFormula>IFERROR(IF(AD13="",WORKDAY.INTL(X13,AA13,1,Holidays[Date]),AD13),"")</calculatedColumnFormula>
    </tableColumn>
    <tableColumn id="83" xr3:uid="{FD008A3B-6DEC-4868-983E-99BF5C811A6D}" name="S08" dataDxfId="152" dataCellStyle="Comma 2"/>
    <tableColumn id="84" xr3:uid="{12BB19AD-81DA-423F-8823-CE3FBDB25D37}" name="S09" dataDxfId="151" dataCellStyle="Comma 2"/>
    <tableColumn id="176" xr3:uid="{A72E76AA-CB17-49F0-ACD5-A2A47616F719}" name="S10" dataDxfId="150" dataCellStyle="Comma 2"/>
    <tableColumn id="86" xr3:uid="{AE3EA0FC-4950-4279-BD0B-1A6870049F28}" name="S11" dataDxfId="149" dataCellStyle="Comma 2">
      <calculatedColumnFormula>IF(AL13="","",WORKDAY.INTL(AL13,AJ13*-1,1,Holidays[Date]))</calculatedColumnFormula>
    </tableColumn>
    <tableColumn id="87" xr3:uid="{AA59CB75-64EE-436B-86BB-87D3B83C9C00}" name="S12" dataDxfId="148" dataCellStyle="Comma 2">
      <calculatedColumnFormula>IFERROR(IF(AI13="",WORKDAY.INTL(AC13,AF13,1,Holidays[Date]),AI13),"")</calculatedColumnFormula>
    </tableColumn>
    <tableColumn id="88" xr3:uid="{2BA48FCC-1AE2-4CD2-92BA-2A0C2996DF25}" name="S13" dataDxfId="147" dataCellStyle="Comma 2"/>
    <tableColumn id="89" xr3:uid="{9BC6FD3A-E69F-42A8-97FB-65F0408A475D}" name="S14" dataDxfId="146" dataCellStyle="Comma 2"/>
    <tableColumn id="177" xr3:uid="{C1365094-A8C8-41F9-8709-913435C1ACD8}" name="S15" dataDxfId="145" dataCellStyle="Comma 2"/>
    <tableColumn id="91" xr3:uid="{220AD66F-9868-44C6-A421-CC37CAFBACCF}" name="S16" dataDxfId="144" dataCellStyle="Comma 2">
      <calculatedColumnFormula>IF(AQ13="","",WORKDAY.INTL(AQ13,AO13*-1,1,Holidays[Date]))</calculatedColumnFormula>
    </tableColumn>
    <tableColumn id="92" xr3:uid="{3FCF790D-D60F-4323-AD5A-6088E8875C99}" name="S17" dataDxfId="143" dataCellStyle="Comma 2">
      <calculatedColumnFormula>IFERROR(IF(AN13="",WORKDAY.INTL(AH13,AK13,1,Holidays[Date]),AN13),"")</calculatedColumnFormula>
    </tableColumn>
    <tableColumn id="93" xr3:uid="{4C305223-8393-49BC-A6D2-4A0218C38C56}" name="S18" dataDxfId="142" dataCellStyle="Comma 2"/>
    <tableColumn id="94" xr3:uid="{1A1DEC49-AD95-4561-ACF4-1639000D1A48}" name="S19" dataDxfId="141" dataCellStyle="Comma 2"/>
    <tableColumn id="178" xr3:uid="{1FE773FB-5442-42DA-96CD-B1FEEEC949D1}" name="S20" dataDxfId="140" dataCellStyle="Comma 2"/>
    <tableColumn id="96" xr3:uid="{E3809A68-8AA2-4D12-9CD7-BE753F610B68}" name="S21" dataDxfId="139" dataCellStyle="Comma 2">
      <calculatedColumnFormula>IF(AV13="","",WORKDAY.INTL(AV13,AT13*-1,1,Holidays[Date]))</calculatedColumnFormula>
    </tableColumn>
    <tableColumn id="97" xr3:uid="{6EFD2D60-C4F6-49D5-81F9-3641E9BA0667}" name="S22" dataDxfId="138" dataCellStyle="Comma 2">
      <calculatedColumnFormula>IFERROR(IF(AS13="",WORKDAY.INTL(AM13,AP13,1,Holidays[Date]),AS13),"")</calculatedColumnFormula>
    </tableColumn>
    <tableColumn id="98" xr3:uid="{868B185D-E979-4413-80D7-8590120E95CF}" name="S23" dataDxfId="137" dataCellStyle="Comma 2"/>
    <tableColumn id="99" xr3:uid="{37D96A2B-05B2-4EC4-9838-6B92A1D36FAB}" name="S24" dataDxfId="136" dataCellStyle="Comma 2"/>
    <tableColumn id="179" xr3:uid="{8CB333C2-18AD-4DB6-BFC6-9225326EE275}" name="S25" dataDxfId="135" dataCellStyle="Comma 2"/>
    <tableColumn id="101" xr3:uid="{0977E109-0527-4B2E-A856-07373EEF1DF9}" name="S26" dataDxfId="134" dataCellStyle="Comma 2">
      <calculatedColumnFormula>IF(BA13="","",WORKDAY.INTL(BA13,AY13*-1,1,Holidays[Date]))</calculatedColumnFormula>
    </tableColumn>
    <tableColumn id="102" xr3:uid="{A086C06A-9C62-49FF-93EB-ACA6FE3472FB}" name="S27" dataDxfId="133" dataCellStyle="Comma 2">
      <calculatedColumnFormula>IFERROR(IF(AX13="",WORKDAY.INTL(AR13,AU13,1,Holidays[Date]),AX13),"")</calculatedColumnFormula>
    </tableColumn>
    <tableColumn id="103" xr3:uid="{B22DE011-32F8-4E07-973E-35F77BE3C2E0}" name="S28" dataDxfId="132" dataCellStyle="Comma 2"/>
    <tableColumn id="104" xr3:uid="{B6FFD64E-69BD-4CE4-8479-D8AA7CFEFA9A}" name="S29" dataDxfId="131" dataCellStyle="Comma 2"/>
    <tableColumn id="180" xr3:uid="{EA8F15C7-9CA2-44D8-BA9B-34FCCF46B655}" name="S30" dataDxfId="130" dataCellStyle="Comma 2"/>
    <tableColumn id="106" xr3:uid="{BD160174-02EE-4719-BA53-8B736DE5D40E}" name="S31" dataDxfId="129" dataCellStyle="Comma 2">
      <calculatedColumnFormula>IF(BF13="","",WORKDAY.INTL(BF13,BD13*-1,1,Holidays[Date]))</calculatedColumnFormula>
    </tableColumn>
    <tableColumn id="107" xr3:uid="{F5AEF934-F98C-4C1C-8F7A-5E724CFCB603}" name="S32" dataDxfId="128" dataCellStyle="Comma 2">
      <calculatedColumnFormula>IFERROR(IF(BC13="",WORKDAY.INTL(AW13,AZ13,1,Holidays[Date]),BC13),"")</calculatedColumnFormula>
    </tableColumn>
    <tableColumn id="108" xr3:uid="{0E80C814-33EE-4AA7-9F8C-15C3F3FDDDB1}" name="S33" dataDxfId="127" dataCellStyle="Comma 2"/>
    <tableColumn id="109" xr3:uid="{3263BA7A-326F-4D79-971F-13DE016B0F28}" name="S34" dataDxfId="126" dataCellStyle="Comma 2"/>
    <tableColumn id="181" xr3:uid="{1522B917-A1CB-4A08-B537-0D6ACCB1C251}" name="S35" dataDxfId="125" dataCellStyle="Comma 2"/>
    <tableColumn id="111" xr3:uid="{3F4CC3AF-4E4F-491C-8F78-507AE02FC6F4}" name="S36" dataDxfId="124" dataCellStyle="Comma 2">
      <calculatedColumnFormula>IF(BK13="","",WORKDAY.INTL(BK13,BI13*-1,1,Holidays[Date]))</calculatedColumnFormula>
    </tableColumn>
    <tableColumn id="112" xr3:uid="{89DADDA5-F188-4F00-A188-5B3CC32BCF05}" name="S37" dataDxfId="123" dataCellStyle="Comma 2">
      <calculatedColumnFormula>IFERROR(IF(BH13="",WORKDAY.INTL(BB13,BE13,1,Holidays[Date]),BH13),"")</calculatedColumnFormula>
    </tableColumn>
    <tableColumn id="113" xr3:uid="{66032E87-3B87-46C3-9AC5-CA0F3EE8EB2C}" name="S38" dataDxfId="122" dataCellStyle="Comma 2"/>
    <tableColumn id="114" xr3:uid="{70902022-4842-46AF-BB4C-812B9916AB71}" name="S39" dataDxfId="121" dataCellStyle="Comma 2"/>
    <tableColumn id="182" xr3:uid="{0F0B3482-610D-4588-82C6-5275EEC44B94}" name="S40" dataDxfId="120" dataCellStyle="Comma 2"/>
    <tableColumn id="116" xr3:uid="{C4F6E90C-B962-4A44-8F95-54CAF6EFBB59}" name="S41" dataDxfId="119" dataCellStyle="Comma 2">
      <calculatedColumnFormula>IF(BP13="","",WORKDAY.INTL(BP13,BN13*-1,1,Holidays[Date]))</calculatedColumnFormula>
    </tableColumn>
    <tableColumn id="117" xr3:uid="{EDB1AFFE-52DF-46E7-B930-7E47D683DF12}" name="S42" dataDxfId="118" dataCellStyle="Comma 2">
      <calculatedColumnFormula>IFERROR(IF(BM13="",WORKDAY.INTL(BG13,BJ13,1,Holidays[Date]),BM13),"")</calculatedColumnFormula>
    </tableColumn>
    <tableColumn id="118" xr3:uid="{C4999901-2136-4983-ACFC-05E4A4CA167C}" name="S43" dataDxfId="117" dataCellStyle="Comma 2"/>
    <tableColumn id="120" xr3:uid="{286E3E7A-DE27-4892-9681-C2BCD5D11D08}" name="S45" dataDxfId="116" dataCellStyle="Comma 2"/>
    <tableColumn id="183" xr3:uid="{DF64FDBD-9C25-4690-885E-2304A948DBF8}" name="S452" dataDxfId="115" dataCellStyle="Comma 2"/>
    <tableColumn id="121" xr3:uid="{E53E4E12-53BC-4E34-BAF5-48414CC428D2}" name="S46" dataDxfId="114" dataCellStyle="Comma 2">
      <calculatedColumnFormula>IF(BU13="","",WORKDAY.INTL(BU13,BS13*-1,1,Holidays[Date]))</calculatedColumnFormula>
    </tableColumn>
    <tableColumn id="122" xr3:uid="{C16D64A5-8990-4662-AE42-91593BFFB921}" name="S47" dataDxfId="113" dataCellStyle="Comma 2">
      <calculatedColumnFormula>IFERROR(IF(BR13="",WORKDAY.INTL(BL13,BO13,1,Holidays[Date]),BR13),"")</calculatedColumnFormula>
    </tableColumn>
    <tableColumn id="123" xr3:uid="{4556FD8A-1B6F-4708-B1FB-8B536F6AB099}" name="S48" dataDxfId="112" dataCellStyle="Comma 2"/>
    <tableColumn id="124" xr3:uid="{9B9B5958-7107-4D70-8655-976F032E76A6}" name="S49" dataDxfId="111" dataCellStyle="Comma 2"/>
    <tableColumn id="184" xr3:uid="{D34434D7-EAE5-4E17-B171-B27FF2610AA8}" name="S50" dataDxfId="110" dataCellStyle="Comma 2"/>
    <tableColumn id="126" xr3:uid="{5E7A467A-6F1A-4FCB-A07B-3613B9BD1E3A}" name="S51" dataDxfId="109" dataCellStyle="Comma 2">
      <calculatedColumnFormula>IF(BZ13="","",WORKDAY.INTL(BZ13,BX13*-1,1,Holidays[Date]))</calculatedColumnFormula>
    </tableColumn>
    <tableColumn id="127" xr3:uid="{C84F93E3-854E-4504-B75C-5DAA18249E1A}" name="S52" dataDxfId="108" dataCellStyle="Comma 2">
      <calculatedColumnFormula>IFERROR(IF(BW13="",WORKDAY.INTL(BQ13,BT13,1,Holidays[Date]),BW13),"")</calculatedColumnFormula>
    </tableColumn>
    <tableColumn id="128" xr3:uid="{1C2134B8-158F-4B9B-AC1B-C1E614435647}" name="S53" dataDxfId="107" dataCellStyle="Comma 2"/>
    <tableColumn id="129" xr3:uid="{3C13ABDC-54AE-41A0-B00E-677234EE000E}" name="S54" dataDxfId="106" dataCellStyle="Comma 2"/>
    <tableColumn id="185" xr3:uid="{4E826F94-ACAB-4D04-96BB-FB6CD43F7F6B}" name="S55" dataDxfId="105" dataCellStyle="Comma 2"/>
    <tableColumn id="131" xr3:uid="{4D04448A-C703-4D3F-9E43-731C28F3C94E}" name="S56" dataDxfId="104" dataCellStyle="Comma 2"/>
    <tableColumn id="132" xr3:uid="{5FDF4DFA-D7E2-410F-8E09-D56698789D89}" name="S57" dataDxfId="103" dataCellStyle="Comma 2">
      <calculatedColumnFormula>IFERROR(IF(CB13="",WORKDAY.INTL(BV13,BY13,1,Holidays[Date]),CB13),"")</calculatedColumnFormula>
    </tableColumn>
    <tableColumn id="133" xr3:uid="{514C1645-51B2-44B9-9FFF-FAFD08B1997D}" name="S58" dataDxfId="102" dataCellStyle="Comma 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D2E61EE-10F0-4224-9617-5AC69A2897EE}" name="tblAREA" displayName="tblAREA" ref="B10:D13" totalsRowShown="0" headerRowDxfId="84" dataDxfId="82" headerRowBorderDxfId="83" tableBorderDxfId="81" totalsRowBorderDxfId="80">
  <autoFilter ref="B10:D13" xr:uid="{3D2E61EE-10F0-4224-9617-5AC69A2897EE}"/>
  <tableColumns count="3">
    <tableColumn id="1" xr3:uid="{2A9AF650-6D5F-451D-9E1F-073E5387F3C4}" name="ID" dataDxfId="79"/>
    <tableColumn id="2" xr3:uid="{D6590244-2B4D-44E5-AB5C-B49F0ED73296}" name="Description" dataDxfId="78"/>
    <tableColumn id="3" xr3:uid="{E9DCFB12-CA14-491D-8712-E21E08A3768A}" name="ID|Desc" dataDxfId="77">
      <calculatedColumnFormula>tblAREA[[#This Row],[ID]]&amp;" | "&amp;tblAREA[[#This Row],[Description]]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F58347-E143-4781-A5A0-8A47D20120FA}" name="tblDiscipline" displayName="tblDiscipline" ref="F10:H34" totalsRowShown="0" headerRowDxfId="76" dataDxfId="74" headerRowBorderDxfId="75" tableBorderDxfId="73" totalsRowBorderDxfId="72">
  <autoFilter ref="F10:H34" xr:uid="{CDF58347-E143-4781-A5A0-8A47D20120FA}"/>
  <tableColumns count="3">
    <tableColumn id="1" xr3:uid="{53B1B31C-7310-4926-B057-4FB1397106E3}" name="ID" dataDxfId="71"/>
    <tableColumn id="2" xr3:uid="{7BA98D9E-33A9-4351-88DB-B05FCBF4D40B}" name="Description" dataDxfId="70"/>
    <tableColumn id="3" xr3:uid="{248CB45E-5CBD-48DC-953F-CA4EED2FA636}" name="ID|Desc" dataDxfId="69">
      <calculatedColumnFormula>tblDiscipline[[#This Row],[ID]]&amp;" | "&amp;tblDiscipline[[#This Row],[Description]]</calculatedColumnFormula>
    </tableColumn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9CA226-323E-4740-9D29-A7646D0D4D62}" name="tblPackageOwner" displayName="tblPackageOwner" ref="J10:L21" totalsRowShown="0" headerRowDxfId="68" dataDxfId="66" headerRowBorderDxfId="67" tableBorderDxfId="65" totalsRowBorderDxfId="64">
  <autoFilter ref="J10:L21" xr:uid="{969CA226-323E-4740-9D29-A7646D0D4D62}"/>
  <tableColumns count="3">
    <tableColumn id="1" xr3:uid="{448C1E9E-391C-4C30-BDC3-383BF29BA0C2}" name="ID" dataDxfId="63"/>
    <tableColumn id="2" xr3:uid="{A6BC3079-08D1-41B7-8E23-A35416D49D69}" name="Description" dataDxfId="62"/>
    <tableColumn id="3" xr3:uid="{43D459A5-E0A9-47DF-BD02-E0A9F10E4A62}" name="ID|Desc" dataDxfId="61">
      <calculatedColumnFormula>tblPackageOwner[[#This Row],[ID]]&amp;" | "&amp;tblPackageOwner[[#This Row],[Description]]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9419E2-8844-4B52-B11B-9677E6745F91}" name="tblProcurementOwner" displayName="tblProcurementOwner" ref="N10:P16" totalsRowShown="0" headerRowDxfId="60" dataDxfId="58" headerRowBorderDxfId="59" tableBorderDxfId="57" totalsRowBorderDxfId="56">
  <autoFilter ref="N10:P16" xr:uid="{BF9419E2-8844-4B52-B11B-9677E6745F91}"/>
  <tableColumns count="3">
    <tableColumn id="1" xr3:uid="{F554F515-60A3-4FFA-8EE7-7D1DEDA8C8CB}" name="ID" dataDxfId="55"/>
    <tableColumn id="2" xr3:uid="{B58C9C60-2B47-407A-BE37-FACB74E1FF98}" name="Description" dataDxfId="54"/>
    <tableColumn id="3" xr3:uid="{EB421E00-CA2D-49DD-9274-3CF95A6EECD0}" name="ID|Desc" dataDxfId="53">
      <calculatedColumnFormula>tblProcurementOwner[[#This Row],[ID]]&amp;" | "&amp;tblProcurementOwner[[#This Row],[Description]]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47863DB-C687-4AE9-B4E9-2FA326F892F4}" name="tblComercialOwner" displayName="tblComercialOwner" ref="R10:T16" totalsRowShown="0" headerRowDxfId="52" dataDxfId="50" headerRowBorderDxfId="51" tableBorderDxfId="49" totalsRowBorderDxfId="48">
  <autoFilter ref="R10:T16" xr:uid="{147863DB-C687-4AE9-B4E9-2FA326F892F4}"/>
  <tableColumns count="3">
    <tableColumn id="1" xr3:uid="{D769B163-1A8C-42F4-85FB-6E7110D838DC}" name="ID" dataDxfId="47"/>
    <tableColumn id="2" xr3:uid="{F78786C7-8B88-4532-B1A7-18B435FD8FC7}" name="Description" dataDxfId="46"/>
    <tableColumn id="3" xr3:uid="{0A232FE6-B02E-4AE8-8CCB-001DAD5777D3}" name="ID|Desc" dataDxfId="45">
      <calculatedColumnFormula>tblComercialOwner[[#This Row],[ID]]&amp;" | "&amp;tblComercialOwner[[#This Row],[Description]]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6315408-D5EC-4362-9E7E-D0A62B2678BE}" name="tblContractType" displayName="tblContractType" ref="V10:X26" totalsRowShown="0" headerRowDxfId="44" dataDxfId="42" headerRowBorderDxfId="43" tableBorderDxfId="41" totalsRowBorderDxfId="40">
  <autoFilter ref="V10:X26" xr:uid="{96315408-D5EC-4362-9E7E-D0A62B2678BE}"/>
  <tableColumns count="3">
    <tableColumn id="1" xr3:uid="{A78E4810-F3E7-45BD-B782-5DE433732768}" name="ID" dataDxfId="39"/>
    <tableColumn id="2" xr3:uid="{5B5318AB-101A-4545-B75E-D649A6DC2B4D}" name="Description" dataDxfId="38"/>
    <tableColumn id="3" xr3:uid="{B63A3EC9-692A-4EF3-B02B-1E85FE85A596}" name="ID|Desc" dataDxfId="37">
      <calculatedColumnFormula>tblContractType[[#This Row],[ID]]&amp;" | "&amp;tblContractType[[#This Row],[Description]]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908F52-3970-4F09-8218-0A1AAEEE7466}" name="tblContractCategory" displayName="tblContractCategory" ref="Z10:AB13" totalsRowShown="0" headerRowDxfId="36" dataDxfId="34" headerRowBorderDxfId="35" tableBorderDxfId="33" totalsRowBorderDxfId="32">
  <autoFilter ref="Z10:AB13" xr:uid="{89908F52-3970-4F09-8218-0A1AAEEE7466}"/>
  <tableColumns count="3">
    <tableColumn id="1" xr3:uid="{1C39C85C-8BC4-4323-9AC0-BAE8910E317B}" name="ID" dataDxfId="31"/>
    <tableColumn id="2" xr3:uid="{77F96BB5-524C-4664-B671-93F2F6EB7249}" name="Description" dataDxfId="30"/>
    <tableColumn id="3" xr3:uid="{DDDFA3D4-CE2C-4BA1-9BA3-C2F28CABA823}" name="ID|Desc" dataDxfId="29">
      <calculatedColumnFormula>tblContractCategory[[#This Row],[ID]]&amp;" | "&amp;tblContractCategory[[#This Row],[Description]]</calculatedColumnFormula>
    </tableColumn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9794783-7EE3-4F3E-9309-66AED3029957}" name="Holidays" displayName="Holidays" ref="AF6:AH420" totalsRowShown="0" headerRowDxfId="28" dataDxfId="27">
  <autoFilter ref="AF6:AH420" xr:uid="{19794783-7EE3-4F3E-9309-66AED3029957}"/>
  <tableColumns count="3">
    <tableColumn id="1" xr3:uid="{BF92A33D-A0CB-4A04-B04E-8E1BD6B301E8}" name="Date" dataDxfId="26"/>
    <tableColumn id="2" xr3:uid="{42248689-1730-4E22-A51D-4521335D7521}" name="Holiday" dataDxfId="25"/>
    <tableColumn id="3" xr3:uid="{753A357F-0F48-4EC0-AF7C-2A20C8E6E242}" name="AustraliaState" dataDxfId="24"/>
  </tableColumns>
  <tableStyleInfo name="TableStyleLight9" showFirstColumn="0" showLastColumn="0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DDF4041-CA60-4ED5-8FEA-A2788FFF9449}" name="tblStepsName" displayName="tblStepsName" ref="BB1:BD139" totalsRowShown="0" headerRowDxfId="23" dataDxfId="22">
  <autoFilter ref="BB1:BD139" xr:uid="{1DDF4041-CA60-4ED5-8FEA-A2788FFF9449}"/>
  <tableColumns count="3">
    <tableColumn id="1" xr3:uid="{74C73C44-6441-4F50-AB8F-65E2E29BA8FF}" name="ColumnName" dataDxfId="21">
      <calculatedColumnFormula>AY2</calculatedColumnFormula>
    </tableColumn>
    <tableColumn id="2" xr3:uid="{412A4D52-D0B2-438F-A54D-1287FE44391F}" name="Type" dataDxfId="20">
      <calculatedColumnFormula>AZ2</calculatedColumnFormula>
    </tableColumn>
    <tableColumn id="3" xr3:uid="{0CFAACC7-89C9-4D4A-AF92-57079F3667A8}" name="StepName" dataDxfId="19">
      <calculatedColumnFormula>BA2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93FCFCF-5BF8-48BA-9103-871B35124558}" name="qryPreviousVersion" displayName="qryPreviousVersion" ref="CT4:CT5" totalsRowShown="0" headerRowDxfId="18" dataDxfId="17">
  <autoFilter ref="CT4:CT5" xr:uid="{B93FCFCF-5BF8-48BA-9103-871B35124558}"/>
  <tableColumns count="1">
    <tableColumn id="1" xr3:uid="{DDAC2FFA-EB40-4346-936B-9D9356B8A505}" name="Changes" dataDxfId="1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2BD4E7E-5560-4B40-82AC-234EE60849E6}" name="PRISM_UPLOAD_EVENTS" displayName="PRISM_UPLOAD_EVENTS" ref="A1:C13" tableType="queryTable" totalsRowShown="0">
  <autoFilter ref="A1:C13" xr:uid="{B2BD4E7E-5560-4B40-82AC-234EE60849E6}"/>
  <tableColumns count="3">
    <tableColumn id="1" xr3:uid="{0053BCD1-A882-41E6-B976-2097714B9740}" uniqueName="1" name="StepName.1" queryTableFieldId="1" dataDxfId="15"/>
    <tableColumn id="2" xr3:uid="{F9838237-0B69-4331-8A0B-2D3A1ED74ECB}" uniqueName="2" name="StepName.2" queryTableFieldId="2" dataDxfId="14"/>
    <tableColumn id="3" xr3:uid="{15580A45-955E-4CBF-A82B-E89AFAB37D31}" uniqueName="3" name="Upper" queryTableFieldId="3" dataDxfId="13"/>
  </tableColumns>
  <tableStyleInfo name="TableStyleLight11" showFirstColumn="0" showLastColumn="0" showRowStripes="1" showColumnStripes="1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5376365E-204B-4874-BDA8-98BD3FA8D8D7}" name="tblUpperTitle" displayName="tblUpperTitle" ref="L1:L5" totalsRowShown="0">
  <autoFilter ref="L1:L5" xr:uid="{5376365E-204B-4874-BDA8-98BD3FA8D8D7}"/>
  <tableColumns count="1">
    <tableColumn id="1" xr3:uid="{9642DB79-ADF5-4FED-AEE5-D713105CA7BF}" name="Upper Title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F3774B4-49C8-41C8-AE37-9D677F6A8E3B}" name="PRISM_UPLOAD_CONTRACT" displayName="PRISM_UPLOAD_CONTRACT" ref="A1:M17" tableType="queryTable" totalsRowShown="0">
  <autoFilter ref="A1:M17" xr:uid="{8F3774B4-49C8-41C8-AE37-9D677F6A8E3B}"/>
  <tableColumns count="13">
    <tableColumn id="1" xr3:uid="{30E58281-FAF6-48E4-948A-AFC5E3872E06}" uniqueName="1" name="Package ID" queryTableFieldId="1"/>
    <tableColumn id="2" xr3:uid="{E6E3AEFE-16B7-475E-BEE5-32AB69CAB480}" uniqueName="2" name="Description " queryTableFieldId="2"/>
    <tableColumn id="3" xr3:uid="{7F8006DE-B028-49DA-9693-6F85BE319A8A}" uniqueName="3" name="GROUP_ID_B.1" queryTableFieldId="3" dataDxfId="12"/>
    <tableColumn id="4" xr3:uid="{35C5CBFD-4C8B-4CEB-AA6F-5CD360A516BD}" uniqueName="4" name="GROUP_ID_C.1" queryTableFieldId="4" dataDxfId="11"/>
    <tableColumn id="5" xr3:uid="{0A9C0576-AD9C-4EC3-B407-893B1AC6FA29}" uniqueName="5" name="GROUP_ID_F.1" queryTableFieldId="5" dataDxfId="10"/>
    <tableColumn id="6" xr3:uid="{EB9A34A1-C1C5-4AEA-84BF-E39EA34B5FEC}" uniqueName="6" name="GROUP_ID_G.1" queryTableFieldId="6" dataDxfId="9"/>
    <tableColumn id="7" xr3:uid="{53CCF629-86AA-4FFB-8B0D-9DD90BBC08C2}" uniqueName="7" name="GROUP_ID_H.1" queryTableFieldId="7" dataDxfId="8"/>
    <tableColumn id="8" xr3:uid="{1417A754-887A-42B5-8194-48D3713C9132}" uniqueName="8" name="GROUP_ID_I.1" queryTableFieldId="8" dataDxfId="7"/>
    <tableColumn id="9" xr3:uid="{0F325073-9079-499E-84B7-F6369E989A09}" uniqueName="9" name="GROUP_ID_J.1" queryTableFieldId="9" dataDxfId="6"/>
    <tableColumn id="11" xr3:uid="{718BB3B5-1A13-416F-9558-4741AA56FC73}" uniqueName="11" name="Status2" queryTableFieldId="11"/>
    <tableColumn id="10" xr3:uid="{4CBC7A76-5846-4B2D-BBEE-D9668344CBA8}" uniqueName="10" name="Budget" queryTableFieldId="10" dataDxfId="5" dataCellStyle="Currency"/>
    <tableColumn id="13" xr3:uid="{09F12AE1-F0A1-45A2-84D1-5EE1FD46A3FF}" uniqueName="13" name="Award" queryTableFieldId="16" dataCellStyle="Currency"/>
    <tableColumn id="12" xr3:uid="{7DF7FB95-28E1-48F3-B7A8-36AB87514689}" uniqueName="12" name="Notes" queryTableFieldId="12"/>
  </tableColumns>
  <tableStyleInfo name="TableStyleLight11" showFirstColumn="0" showLastColumn="0" showRowStripes="1" showColumnStripes="1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08F6962-74A1-444C-885B-847F0905A631}" name="PRISM_UPLOAD_DATES" displayName="PRISM_UPLOAD_DATES" ref="A1:G193" tableType="queryTable" totalsRowShown="0">
  <autoFilter ref="A1:G193" xr:uid="{608F6962-74A1-444C-885B-847F0905A631}"/>
  <tableColumns count="7">
    <tableColumn id="1" xr3:uid="{9F9534DF-05D1-4213-B218-2F1BD21FD992}" uniqueName="1" name="Package ID" queryTableFieldId="1"/>
    <tableColumn id="2" xr3:uid="{5B9972D1-AD5D-446A-B093-60ABB27D30B6}" uniqueName="2" name="StepID" queryTableFieldId="2" dataDxfId="4"/>
    <tableColumn id="3" xr3:uid="{037D1021-0136-430C-A1C5-5C6A872B5CEB}" uniqueName="3" name="Plan" queryTableFieldId="3" dataDxfId="3"/>
    <tableColumn id="4" xr3:uid="{44B6DBBA-524E-4CBB-8B9A-A8F7A2C26BE6}" uniqueName="4" name="Forecast" queryTableFieldId="4" dataDxfId="2"/>
    <tableColumn id="5" xr3:uid="{CD8A5156-FACB-4B6B-8178-59F58A55673D}" uniqueName="5" name="Actual" queryTableFieldId="5" dataDxfId="1"/>
    <tableColumn id="6" xr3:uid="{6B825E71-9B7B-4A05-BA1D-4741D5F59AAD}" uniqueName="6" name="Package Description" queryTableFieldId="6"/>
    <tableColumn id="7" xr3:uid="{EBEBD6D0-299D-4D4C-A0FE-E2D874337652}" uniqueName="7" name="StepName" queryTableFieldId="7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DE96A-ADCE-442C-B00E-A1E99A898599}">
  <sheetPr codeName="Sheet1">
    <outlinePr summaryRight="0"/>
  </sheetPr>
  <dimension ref="A1:CB293"/>
  <sheetViews>
    <sheetView showGridLines="0" tabSelected="1" zoomScale="55" zoomScaleNormal="55" zoomScaleSheetLayoutView="85" zoomScalePageLayoutView="70" workbookViewId="0">
      <pane xSplit="3" ySplit="12" topLeftCell="AA13" activePane="bottomRight" state="frozen"/>
      <selection pane="topRight" activeCell="D1" sqref="D1"/>
      <selection pane="bottomLeft" activeCell="A14" sqref="A14"/>
      <selection pane="bottomRight" activeCell="BK10" sqref="BK10:BM10"/>
    </sheetView>
  </sheetViews>
  <sheetFormatPr defaultColWidth="8.54296875" defaultRowHeight="19" customHeight="1" x14ac:dyDescent="0.35"/>
  <cols>
    <col min="1" max="1" width="9.26953125" style="16" customWidth="1"/>
    <col min="2" max="2" width="19.36328125" style="16" customWidth="1"/>
    <col min="3" max="3" width="33.453125" style="17" customWidth="1"/>
    <col min="4" max="4" width="17.7265625" style="16" customWidth="1"/>
    <col min="5" max="5" width="23.08984375" style="16" customWidth="1"/>
    <col min="6" max="6" width="25.453125" style="16" customWidth="1"/>
    <col min="7" max="7" width="22.08984375" style="16" customWidth="1"/>
    <col min="8" max="8" width="21.54296875" style="16" customWidth="1"/>
    <col min="9" max="9" width="25.54296875" style="16" customWidth="1"/>
    <col min="10" max="10" width="19.54296875" style="16" customWidth="1"/>
    <col min="11" max="11" width="13.81640625" style="16" customWidth="1"/>
    <col min="12" max="16" width="23.26953125" style="16" hidden="1" customWidth="1"/>
    <col min="17" max="17" width="15.1796875" style="16" hidden="1" customWidth="1"/>
    <col min="18" max="18" width="18.26953125" style="16" hidden="1" customWidth="1"/>
    <col min="19" max="19" width="20" style="16" hidden="1" customWidth="1"/>
    <col min="20" max="20" width="17" style="16" hidden="1" customWidth="1"/>
    <col min="21" max="21" width="23.1796875" style="16" hidden="1" customWidth="1"/>
    <col min="22" max="22" width="34.453125" style="16" customWidth="1"/>
    <col min="23" max="23" width="13.1796875" style="16" bestFit="1" customWidth="1"/>
    <col min="24" max="24" width="13.1796875" style="16" customWidth="1"/>
    <col min="25" max="25" width="13.1796875" style="16" bestFit="1" customWidth="1"/>
    <col min="26" max="26" width="7.1796875" style="16" customWidth="1"/>
    <col min="27" max="27" width="8.1796875" style="16" customWidth="1"/>
    <col min="28" max="30" width="13.1796875" style="16" bestFit="1" customWidth="1"/>
    <col min="31" max="31" width="7.81640625" style="16" customWidth="1"/>
    <col min="32" max="32" width="8.26953125" style="16" customWidth="1"/>
    <col min="33" max="35" width="13.1796875" style="16" bestFit="1" customWidth="1"/>
    <col min="36" max="37" width="8.81640625" style="16" customWidth="1"/>
    <col min="38" max="40" width="13.1796875" style="16" bestFit="1" customWidth="1"/>
    <col min="41" max="41" width="9.54296875" style="16" customWidth="1"/>
    <col min="42" max="42" width="7.81640625" style="16" customWidth="1"/>
    <col min="43" max="45" width="13.1796875" style="16" bestFit="1" customWidth="1"/>
    <col min="46" max="46" width="9.1796875" style="16" customWidth="1"/>
    <col min="47" max="47" width="8.54296875" style="16" customWidth="1"/>
    <col min="48" max="50" width="13.1796875" style="16" bestFit="1" customWidth="1"/>
    <col min="51" max="51" width="8.81640625" style="16" customWidth="1"/>
    <col min="52" max="52" width="9.1796875" style="16" customWidth="1"/>
    <col min="53" max="55" width="13.1796875" style="16" bestFit="1" customWidth="1"/>
    <col min="56" max="56" width="9.453125" style="16" customWidth="1"/>
    <col min="57" max="57" width="7.7265625" style="16" customWidth="1"/>
    <col min="58" max="60" width="13.1796875" style="16" bestFit="1" customWidth="1"/>
    <col min="61" max="61" width="9.54296875" style="16" customWidth="1"/>
    <col min="62" max="62" width="9.1796875" style="16" customWidth="1"/>
    <col min="63" max="65" width="13.1796875" style="16" bestFit="1" customWidth="1"/>
    <col min="66" max="66" width="7.54296875" style="16" customWidth="1"/>
    <col min="67" max="67" width="7.81640625" style="16" customWidth="1"/>
    <col min="68" max="70" width="13.1796875" style="16" bestFit="1" customWidth="1"/>
    <col min="71" max="71" width="7.54296875" style="16" customWidth="1"/>
    <col min="72" max="72" width="6.7265625" style="16" customWidth="1"/>
    <col min="73" max="75" width="13.1796875" style="16" bestFit="1" customWidth="1"/>
    <col min="76" max="76" width="8.26953125" style="16" customWidth="1"/>
    <col min="77" max="77" width="9.1796875" style="16" customWidth="1"/>
    <col min="78" max="80" width="13.1796875" style="16" bestFit="1" customWidth="1"/>
    <col min="81" max="16384" width="8.54296875" style="16"/>
  </cols>
  <sheetData>
    <row r="1" spans="1:80" ht="18.75" customHeight="1" x14ac:dyDescent="0.35"/>
    <row r="2" spans="1:80" ht="19" customHeight="1" x14ac:dyDescent="0.35">
      <c r="B2" s="18"/>
      <c r="C2" s="19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</row>
    <row r="3" spans="1:80" ht="29.15" customHeight="1" x14ac:dyDescent="0.35">
      <c r="B3" s="20"/>
      <c r="C3" s="21" t="s">
        <v>66</v>
      </c>
      <c r="D3" s="21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</row>
    <row r="4" spans="1:80" ht="23.5" customHeight="1" x14ac:dyDescent="0.35">
      <c r="B4" s="20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</row>
    <row r="6" spans="1:80" ht="19" customHeight="1" x14ac:dyDescent="0.35">
      <c r="B6" s="23" t="s">
        <v>67</v>
      </c>
      <c r="C6" s="24" t="s">
        <v>67</v>
      </c>
      <c r="H6" s="25"/>
      <c r="I6" s="26"/>
    </row>
    <row r="7" spans="1:80" ht="19" customHeight="1" x14ac:dyDescent="0.35">
      <c r="B7" s="23" t="s">
        <v>39</v>
      </c>
      <c r="C7" s="24" t="s">
        <v>116</v>
      </c>
      <c r="D7" s="27"/>
      <c r="E7" s="27"/>
      <c r="F7" s="27"/>
      <c r="G7" s="27"/>
      <c r="H7" s="26"/>
      <c r="I7" s="25"/>
      <c r="J7" s="27"/>
      <c r="K7" s="27"/>
      <c r="L7" s="27"/>
      <c r="M7" s="27"/>
      <c r="N7" s="27"/>
      <c r="O7" s="27"/>
      <c r="P7" s="27"/>
    </row>
    <row r="8" spans="1:80" ht="19" customHeight="1" x14ac:dyDescent="0.35">
      <c r="B8" s="28" t="s">
        <v>244</v>
      </c>
      <c r="C8" s="29">
        <f ca="1">TODAY()</f>
        <v>46085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</row>
    <row r="9" spans="1:80" ht="14.5" customHeight="1" x14ac:dyDescent="0.35"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W9" s="31" t="str">
        <f>W10</f>
        <v>01 | Receipt of Design Documentation issued for tender</v>
      </c>
      <c r="X9" s="31" t="str">
        <f>W9</f>
        <v>01 | Receipt of Design Documentation issued for tender</v>
      </c>
      <c r="Y9" s="31" t="str">
        <f>W9</f>
        <v>01 | Receipt of Design Documentation issued for tender</v>
      </c>
      <c r="Z9" s="31" t="str">
        <f>W9</f>
        <v>01 | Receipt of Design Documentation issued for tender</v>
      </c>
      <c r="AA9" s="31" t="str">
        <f>W9</f>
        <v>01 | Receipt of Design Documentation issued for tender</v>
      </c>
      <c r="AB9" s="31" t="str">
        <f>AB10</f>
        <v>02 | Tender Documents completed</v>
      </c>
      <c r="AC9" s="31" t="str">
        <f>AB9</f>
        <v>02 | Tender Documents completed</v>
      </c>
      <c r="AD9" s="31" t="str">
        <f>AB9</f>
        <v>02 | Tender Documents completed</v>
      </c>
      <c r="AE9" s="31" t="str">
        <f>AB9</f>
        <v>02 | Tender Documents completed</v>
      </c>
      <c r="AF9" s="31" t="str">
        <f>AB9</f>
        <v>02 | Tender Documents completed</v>
      </c>
      <c r="AG9" s="31" t="str">
        <f>AG10</f>
        <v>03 | Tender Documents Internal Approval</v>
      </c>
      <c r="AH9" s="31" t="str">
        <f>AG9</f>
        <v>03 | Tender Documents Internal Approval</v>
      </c>
      <c r="AI9" s="31" t="str">
        <f>AG9</f>
        <v>03 | Tender Documents Internal Approval</v>
      </c>
      <c r="AJ9" s="31" t="str">
        <f>AG9</f>
        <v>03 | Tender Documents Internal Approval</v>
      </c>
      <c r="AK9" s="31" t="str">
        <f>AG9</f>
        <v>03 | Tender Documents Internal Approval</v>
      </c>
      <c r="AL9" s="31" t="str">
        <f>AL10</f>
        <v>04 | Tender Documents External Approval</v>
      </c>
      <c r="AM9" s="31" t="str">
        <f>AL9</f>
        <v>04 | Tender Documents External Approval</v>
      </c>
      <c r="AN9" s="31" t="str">
        <f>AL9</f>
        <v>04 | Tender Documents External Approval</v>
      </c>
      <c r="AO9" s="31" t="str">
        <f>AL9</f>
        <v>04 | Tender Documents External Approval</v>
      </c>
      <c r="AP9" s="31" t="str">
        <f>AL9</f>
        <v>04 | Tender Documents External Approval</v>
      </c>
      <c r="AQ9" s="31" t="str">
        <f>AQ10</f>
        <v>05 | Out to Tender</v>
      </c>
      <c r="AR9" s="31" t="str">
        <f>AQ9</f>
        <v>05 | Out to Tender</v>
      </c>
      <c r="AS9" s="31" t="str">
        <f>AQ9</f>
        <v>05 | Out to Tender</v>
      </c>
      <c r="AT9" s="31" t="str">
        <f>AQ9</f>
        <v>05 | Out to Tender</v>
      </c>
      <c r="AU9" s="31" t="str">
        <f>AQ9</f>
        <v>05 | Out to Tender</v>
      </c>
      <c r="AV9" s="31" t="str">
        <f>AV10</f>
        <v>06 | Return of Tender</v>
      </c>
      <c r="AW9" s="31" t="str">
        <f>AV9</f>
        <v>06 | Return of Tender</v>
      </c>
      <c r="AX9" s="31" t="str">
        <f>AV9</f>
        <v>06 | Return of Tender</v>
      </c>
      <c r="AY9" s="31" t="str">
        <f>AV9</f>
        <v>06 | Return of Tender</v>
      </c>
      <c r="AZ9" s="31" t="str">
        <f>AV9</f>
        <v>06 | Return of Tender</v>
      </c>
      <c r="BA9" s="31" t="str">
        <f>BA10</f>
        <v>07 | Tender Evaluation &amp; Recommendation Complete</v>
      </c>
      <c r="BB9" s="31" t="str">
        <f>BA9</f>
        <v>07 | Tender Evaluation &amp; Recommendation Complete</v>
      </c>
      <c r="BC9" s="31" t="str">
        <f>BA9</f>
        <v>07 | Tender Evaluation &amp; Recommendation Complete</v>
      </c>
      <c r="BD9" s="31" t="str">
        <f>BA9</f>
        <v>07 | Tender Evaluation &amp; Recommendation Complete</v>
      </c>
      <c r="BE9" s="31" t="str">
        <f>BA9</f>
        <v>07 | Tender Evaluation &amp; Recommendation Complete</v>
      </c>
      <c r="BF9" s="31" t="str">
        <f>BF10</f>
        <v>08 | Recommendation Internal Approval</v>
      </c>
      <c r="BG9" s="31" t="str">
        <f>BF9</f>
        <v>08 | Recommendation Internal Approval</v>
      </c>
      <c r="BH9" s="31" t="str">
        <f>BF9</f>
        <v>08 | Recommendation Internal Approval</v>
      </c>
      <c r="BI9" s="31" t="str">
        <f>BF9</f>
        <v>08 | Recommendation Internal Approval</v>
      </c>
      <c r="BJ9" s="31" t="str">
        <f>BF9</f>
        <v>08 | Recommendation Internal Approval</v>
      </c>
      <c r="BK9" s="31" t="str">
        <f>BK10</f>
        <v>09 | Recommendation External Approval</v>
      </c>
      <c r="BL9" s="31" t="str">
        <f>BK9</f>
        <v>09 | Recommendation External Approval</v>
      </c>
      <c r="BM9" s="31" t="str">
        <f>BK9</f>
        <v>09 | Recommendation External Approval</v>
      </c>
      <c r="BN9" s="31" t="str">
        <f>BK9</f>
        <v>09 | Recommendation External Approval</v>
      </c>
      <c r="BO9" s="31" t="str">
        <f>BK9</f>
        <v>09 | Recommendation External Approval</v>
      </c>
      <c r="BP9" s="31" t="str">
        <f>BP10</f>
        <v>10 | Place Order / Contract Execution</v>
      </c>
      <c r="BQ9" s="31" t="str">
        <f>BP9</f>
        <v>10 | Place Order / Contract Execution</v>
      </c>
      <c r="BR9" s="31" t="str">
        <f>BP9</f>
        <v>10 | Place Order / Contract Execution</v>
      </c>
      <c r="BS9" s="31" t="str">
        <f>BP9</f>
        <v>10 | Place Order / Contract Execution</v>
      </c>
      <c r="BT9" s="31" t="str">
        <f>BP9</f>
        <v>10 | Place Order / Contract Execution</v>
      </c>
      <c r="BU9" s="31" t="str">
        <f>BU10</f>
        <v>11 | Lead Time</v>
      </c>
      <c r="BV9" s="31" t="str">
        <f>BU9</f>
        <v>11 | Lead Time</v>
      </c>
      <c r="BW9" s="31" t="str">
        <f>BU9</f>
        <v>11 | Lead Time</v>
      </c>
      <c r="BX9" s="31" t="str">
        <f>BU9</f>
        <v>11 | Lead Time</v>
      </c>
      <c r="BY9" s="31" t="str">
        <f>BU9</f>
        <v>11 | Lead Time</v>
      </c>
      <c r="BZ9" s="31" t="str">
        <f>BZ10</f>
        <v>12 | Start On Site</v>
      </c>
      <c r="CA9" s="31" t="str">
        <f>BZ9</f>
        <v>12 | Start On Site</v>
      </c>
      <c r="CB9" s="31" t="str">
        <f>BZ9</f>
        <v>12 | Start On Site</v>
      </c>
    </row>
    <row r="10" spans="1:80" ht="30.65" customHeight="1" x14ac:dyDescent="0.35">
      <c r="B10" s="96" t="s">
        <v>45</v>
      </c>
      <c r="C10" s="97"/>
      <c r="D10" s="32" t="s">
        <v>17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4" t="s">
        <v>42</v>
      </c>
      <c r="R10" s="35"/>
      <c r="S10" s="35"/>
      <c r="T10" s="35"/>
      <c r="U10" s="36"/>
      <c r="V10" s="37" t="s">
        <v>334</v>
      </c>
      <c r="W10" s="90" t="s">
        <v>376</v>
      </c>
      <c r="X10" s="91"/>
      <c r="Y10" s="92"/>
      <c r="AB10" s="90" t="s">
        <v>377</v>
      </c>
      <c r="AC10" s="91"/>
      <c r="AD10" s="92"/>
      <c r="AG10" s="90" t="s">
        <v>378</v>
      </c>
      <c r="AH10" s="91"/>
      <c r="AI10" s="92"/>
      <c r="AL10" s="90" t="s">
        <v>379</v>
      </c>
      <c r="AM10" s="91"/>
      <c r="AN10" s="92"/>
      <c r="AQ10" s="90" t="s">
        <v>380</v>
      </c>
      <c r="AR10" s="91"/>
      <c r="AS10" s="92"/>
      <c r="AV10" s="90" t="s">
        <v>381</v>
      </c>
      <c r="AW10" s="91"/>
      <c r="AX10" s="92"/>
      <c r="BA10" s="90" t="s">
        <v>382</v>
      </c>
      <c r="BB10" s="91"/>
      <c r="BC10" s="92"/>
      <c r="BF10" s="90" t="s">
        <v>383</v>
      </c>
      <c r="BG10" s="91"/>
      <c r="BH10" s="92"/>
      <c r="BK10" s="90" t="s">
        <v>384</v>
      </c>
      <c r="BL10" s="91"/>
      <c r="BM10" s="92"/>
      <c r="BP10" s="90" t="s">
        <v>426</v>
      </c>
      <c r="BQ10" s="91"/>
      <c r="BR10" s="92"/>
      <c r="BU10" s="90" t="s">
        <v>427</v>
      </c>
      <c r="BV10" s="91"/>
      <c r="BW10" s="92"/>
      <c r="BZ10" s="93" t="s">
        <v>428</v>
      </c>
      <c r="CA10" s="94"/>
      <c r="CB10" s="95"/>
    </row>
    <row r="11" spans="1:80" ht="68.5" customHeight="1" x14ac:dyDescent="0.35">
      <c r="B11" s="38" t="s">
        <v>18</v>
      </c>
      <c r="C11" s="39" t="s">
        <v>19</v>
      </c>
      <c r="D11" s="40" t="s">
        <v>65</v>
      </c>
      <c r="E11" s="40" t="s">
        <v>32</v>
      </c>
      <c r="F11" s="40" t="s">
        <v>46</v>
      </c>
      <c r="G11" s="41" t="s">
        <v>47</v>
      </c>
      <c r="H11" s="40" t="s">
        <v>48</v>
      </c>
      <c r="I11" s="42" t="s">
        <v>49</v>
      </c>
      <c r="J11" s="42" t="s">
        <v>50</v>
      </c>
      <c r="K11" s="42" t="s">
        <v>413</v>
      </c>
      <c r="L11" s="42" t="s">
        <v>231</v>
      </c>
      <c r="M11" s="42" t="s">
        <v>232</v>
      </c>
      <c r="N11" s="42" t="s">
        <v>233</v>
      </c>
      <c r="O11" s="42" t="s">
        <v>234</v>
      </c>
      <c r="P11" s="42" t="s">
        <v>235</v>
      </c>
      <c r="Q11" s="43" t="s">
        <v>421</v>
      </c>
      <c r="R11" s="43" t="s">
        <v>238</v>
      </c>
      <c r="S11" s="44" t="s">
        <v>422</v>
      </c>
      <c r="T11" s="44" t="s">
        <v>241</v>
      </c>
      <c r="U11" s="43" t="s">
        <v>242</v>
      </c>
      <c r="V11" s="45" t="s">
        <v>41</v>
      </c>
      <c r="W11" s="46" t="s">
        <v>257</v>
      </c>
      <c r="X11" s="46" t="s">
        <v>258</v>
      </c>
      <c r="Y11" s="46" t="s">
        <v>40</v>
      </c>
      <c r="Z11" s="47" t="s">
        <v>374</v>
      </c>
      <c r="AA11" s="47" t="s">
        <v>375</v>
      </c>
      <c r="AB11" s="46" t="s">
        <v>257</v>
      </c>
      <c r="AC11" s="46" t="s">
        <v>258</v>
      </c>
      <c r="AD11" s="46" t="s">
        <v>40</v>
      </c>
      <c r="AE11" s="47" t="s">
        <v>374</v>
      </c>
      <c r="AF11" s="47" t="s">
        <v>375</v>
      </c>
      <c r="AG11" s="46" t="s">
        <v>257</v>
      </c>
      <c r="AH11" s="46" t="s">
        <v>258</v>
      </c>
      <c r="AI11" s="46" t="s">
        <v>40</v>
      </c>
      <c r="AJ11" s="47" t="s">
        <v>374</v>
      </c>
      <c r="AK11" s="47" t="s">
        <v>375</v>
      </c>
      <c r="AL11" s="46" t="s">
        <v>257</v>
      </c>
      <c r="AM11" s="46" t="s">
        <v>258</v>
      </c>
      <c r="AN11" s="46" t="s">
        <v>40</v>
      </c>
      <c r="AO11" s="47" t="s">
        <v>374</v>
      </c>
      <c r="AP11" s="47" t="s">
        <v>375</v>
      </c>
      <c r="AQ11" s="46" t="s">
        <v>257</v>
      </c>
      <c r="AR11" s="46" t="s">
        <v>258</v>
      </c>
      <c r="AS11" s="46" t="s">
        <v>40</v>
      </c>
      <c r="AT11" s="47" t="s">
        <v>374</v>
      </c>
      <c r="AU11" s="47" t="s">
        <v>375</v>
      </c>
      <c r="AV11" s="46" t="s">
        <v>257</v>
      </c>
      <c r="AW11" s="46" t="s">
        <v>258</v>
      </c>
      <c r="AX11" s="46" t="s">
        <v>40</v>
      </c>
      <c r="AY11" s="47" t="s">
        <v>374</v>
      </c>
      <c r="AZ11" s="47" t="s">
        <v>375</v>
      </c>
      <c r="BA11" s="46" t="s">
        <v>257</v>
      </c>
      <c r="BB11" s="46" t="s">
        <v>258</v>
      </c>
      <c r="BC11" s="46" t="s">
        <v>40</v>
      </c>
      <c r="BD11" s="47" t="s">
        <v>374</v>
      </c>
      <c r="BE11" s="47" t="s">
        <v>375</v>
      </c>
      <c r="BF11" s="46" t="s">
        <v>257</v>
      </c>
      <c r="BG11" s="46" t="s">
        <v>258</v>
      </c>
      <c r="BH11" s="46" t="s">
        <v>40</v>
      </c>
      <c r="BI11" s="47" t="s">
        <v>374</v>
      </c>
      <c r="BJ11" s="47" t="s">
        <v>375</v>
      </c>
      <c r="BK11" s="46" t="s">
        <v>257</v>
      </c>
      <c r="BL11" s="46" t="s">
        <v>258</v>
      </c>
      <c r="BM11" s="46" t="s">
        <v>40</v>
      </c>
      <c r="BN11" s="47" t="s">
        <v>374</v>
      </c>
      <c r="BO11" s="47" t="s">
        <v>375</v>
      </c>
      <c r="BP11" s="46" t="s">
        <v>257</v>
      </c>
      <c r="BQ11" s="46" t="s">
        <v>258</v>
      </c>
      <c r="BR11" s="46" t="s">
        <v>40</v>
      </c>
      <c r="BS11" s="47" t="s">
        <v>374</v>
      </c>
      <c r="BT11" s="47" t="s">
        <v>375</v>
      </c>
      <c r="BU11" s="46" t="s">
        <v>257</v>
      </c>
      <c r="BV11" s="46" t="s">
        <v>258</v>
      </c>
      <c r="BW11" s="46" t="s">
        <v>40</v>
      </c>
      <c r="BX11" s="47" t="s">
        <v>374</v>
      </c>
      <c r="BY11" s="47" t="s">
        <v>375</v>
      </c>
      <c r="BZ11" s="46" t="s">
        <v>257</v>
      </c>
      <c r="CA11" s="46" t="s">
        <v>258</v>
      </c>
      <c r="CB11" s="46" t="s">
        <v>40</v>
      </c>
    </row>
    <row r="12" spans="1:80" s="48" customFormat="1" ht="19" customHeight="1" x14ac:dyDescent="0.35">
      <c r="B12" s="49" t="s">
        <v>18</v>
      </c>
      <c r="C12" s="50" t="s">
        <v>21</v>
      </c>
      <c r="D12" s="51" t="s">
        <v>64</v>
      </c>
      <c r="E12" s="51" t="s">
        <v>63</v>
      </c>
      <c r="F12" s="51" t="s">
        <v>24</v>
      </c>
      <c r="G12" s="50" t="s">
        <v>43</v>
      </c>
      <c r="H12" s="50" t="s">
        <v>22</v>
      </c>
      <c r="I12" s="50" t="s">
        <v>31</v>
      </c>
      <c r="J12" s="50" t="s">
        <v>23</v>
      </c>
      <c r="K12" s="50" t="s">
        <v>413</v>
      </c>
      <c r="L12" s="50" t="s">
        <v>231</v>
      </c>
      <c r="M12" s="50" t="s">
        <v>232</v>
      </c>
      <c r="N12" s="50" t="s">
        <v>233</v>
      </c>
      <c r="O12" s="50" t="s">
        <v>234</v>
      </c>
      <c r="P12" s="50" t="s">
        <v>235</v>
      </c>
      <c r="Q12" s="52" t="s">
        <v>239</v>
      </c>
      <c r="R12" s="53" t="s">
        <v>240</v>
      </c>
      <c r="S12" s="53" t="s">
        <v>236</v>
      </c>
      <c r="T12" s="53" t="s">
        <v>237</v>
      </c>
      <c r="U12" s="54" t="s">
        <v>243</v>
      </c>
      <c r="V12" s="54" t="s">
        <v>41</v>
      </c>
      <c r="W12" s="54" t="s">
        <v>259</v>
      </c>
      <c r="X12" s="54" t="s">
        <v>260</v>
      </c>
      <c r="Y12" s="54" t="s">
        <v>261</v>
      </c>
      <c r="Z12" s="54" t="s">
        <v>262</v>
      </c>
      <c r="AA12" s="54" t="s">
        <v>263</v>
      </c>
      <c r="AB12" s="54" t="s">
        <v>264</v>
      </c>
      <c r="AC12" s="54" t="s">
        <v>265</v>
      </c>
      <c r="AD12" s="54" t="s">
        <v>266</v>
      </c>
      <c r="AE12" s="54" t="s">
        <v>267</v>
      </c>
      <c r="AF12" s="54" t="s">
        <v>268</v>
      </c>
      <c r="AG12" s="54" t="s">
        <v>269</v>
      </c>
      <c r="AH12" s="54" t="s">
        <v>270</v>
      </c>
      <c r="AI12" s="54" t="s">
        <v>271</v>
      </c>
      <c r="AJ12" s="54" t="s">
        <v>272</v>
      </c>
      <c r="AK12" s="54" t="s">
        <v>273</v>
      </c>
      <c r="AL12" s="54" t="s">
        <v>274</v>
      </c>
      <c r="AM12" s="54" t="s">
        <v>275</v>
      </c>
      <c r="AN12" s="54" t="s">
        <v>276</v>
      </c>
      <c r="AO12" s="54" t="s">
        <v>277</v>
      </c>
      <c r="AP12" s="54" t="s">
        <v>278</v>
      </c>
      <c r="AQ12" s="54" t="s">
        <v>279</v>
      </c>
      <c r="AR12" s="54" t="s">
        <v>280</v>
      </c>
      <c r="AS12" s="54" t="s">
        <v>281</v>
      </c>
      <c r="AT12" s="54" t="s">
        <v>282</v>
      </c>
      <c r="AU12" s="54" t="s">
        <v>283</v>
      </c>
      <c r="AV12" s="54" t="s">
        <v>284</v>
      </c>
      <c r="AW12" s="54" t="s">
        <v>285</v>
      </c>
      <c r="AX12" s="54" t="s">
        <v>286</v>
      </c>
      <c r="AY12" s="54" t="s">
        <v>287</v>
      </c>
      <c r="AZ12" s="54" t="s">
        <v>288</v>
      </c>
      <c r="BA12" s="54" t="s">
        <v>289</v>
      </c>
      <c r="BB12" s="54" t="s">
        <v>290</v>
      </c>
      <c r="BC12" s="54" t="s">
        <v>291</v>
      </c>
      <c r="BD12" s="54" t="s">
        <v>292</v>
      </c>
      <c r="BE12" s="54" t="s">
        <v>293</v>
      </c>
      <c r="BF12" s="54" t="s">
        <v>294</v>
      </c>
      <c r="BG12" s="54" t="s">
        <v>295</v>
      </c>
      <c r="BH12" s="54" t="s">
        <v>296</v>
      </c>
      <c r="BI12" s="54" t="s">
        <v>297</v>
      </c>
      <c r="BJ12" s="54" t="s">
        <v>298</v>
      </c>
      <c r="BK12" s="54" t="s">
        <v>299</v>
      </c>
      <c r="BL12" s="54" t="s">
        <v>300</v>
      </c>
      <c r="BM12" s="54" t="s">
        <v>301</v>
      </c>
      <c r="BN12" s="54" t="s">
        <v>302</v>
      </c>
      <c r="BO12" s="54" t="s">
        <v>373</v>
      </c>
      <c r="BP12" s="54" t="s">
        <v>303</v>
      </c>
      <c r="BQ12" s="54" t="s">
        <v>304</v>
      </c>
      <c r="BR12" s="54" t="s">
        <v>305</v>
      </c>
      <c r="BS12" s="54" t="s">
        <v>322</v>
      </c>
      <c r="BT12" s="54" t="s">
        <v>323</v>
      </c>
      <c r="BU12" s="54" t="s">
        <v>324</v>
      </c>
      <c r="BV12" s="54" t="s">
        <v>325</v>
      </c>
      <c r="BW12" s="54" t="s">
        <v>326</v>
      </c>
      <c r="BX12" s="54" t="s">
        <v>327</v>
      </c>
      <c r="BY12" s="54" t="s">
        <v>328</v>
      </c>
      <c r="BZ12" s="54" t="s">
        <v>329</v>
      </c>
      <c r="CA12" s="54" t="s">
        <v>330</v>
      </c>
      <c r="CB12" s="54" t="s">
        <v>331</v>
      </c>
    </row>
    <row r="13" spans="1:80" ht="19" customHeight="1" x14ac:dyDescent="0.35">
      <c r="A13" s="31"/>
      <c r="B13" s="76" t="s">
        <v>0</v>
      </c>
      <c r="C13" s="74" t="s">
        <v>27</v>
      </c>
      <c r="D13" s="8" t="s">
        <v>223</v>
      </c>
      <c r="E13" s="8" t="s">
        <v>224</v>
      </c>
      <c r="F13" s="8" t="s">
        <v>230</v>
      </c>
      <c r="G13" s="8" t="s">
        <v>205</v>
      </c>
      <c r="H13" s="8" t="s">
        <v>210</v>
      </c>
      <c r="I13" s="9" t="s">
        <v>214</v>
      </c>
      <c r="J13" s="8" t="s">
        <v>220</v>
      </c>
      <c r="K13" s="8" t="s">
        <v>414</v>
      </c>
      <c r="L13" s="8"/>
      <c r="M13" s="8"/>
      <c r="N13" s="8"/>
      <c r="O13" s="8"/>
      <c r="P13" s="8"/>
      <c r="Q13" s="2">
        <v>433546</v>
      </c>
      <c r="R13" s="2">
        <v>500000</v>
      </c>
      <c r="S13" s="88">
        <f>IF(tblProcRegister[[#This Row],[Award]]&lt;&gt;"",tblProcRegister[[#This Row],[Budget]]-tblProcRegister[[#This Row],[Award]],"")</f>
        <v>-66454</v>
      </c>
      <c r="T13" s="68"/>
      <c r="U13" s="68"/>
      <c r="V13" s="68"/>
      <c r="W13" s="77">
        <f>IF(AB13="","",WORKDAY.INTL(AB13,Z13*-1,1,Holidays[Date]))</f>
        <v>45735</v>
      </c>
      <c r="X13" s="77">
        <f t="shared" ref="X13:X75" si="0">IF(Y13="",IF(W13&gt;$C$8,W13,$C$8),Y13)</f>
        <v>45292</v>
      </c>
      <c r="Y13" s="78">
        <v>45292</v>
      </c>
      <c r="Z13" s="79">
        <v>15</v>
      </c>
      <c r="AA13" s="68">
        <v>15</v>
      </c>
      <c r="AB13" s="77">
        <f>IF(AG13="","",WORKDAY.INTL(AG13,AE13*-1,1,Holidays[Date]))</f>
        <v>45756</v>
      </c>
      <c r="AC13" s="77">
        <f>IFERROR(IF(AD13="",WORKDAY.INTL(X13,AA13,1,Holidays[Date]),AD13),"")</f>
        <v>45292</v>
      </c>
      <c r="AD13" s="78">
        <v>45292</v>
      </c>
      <c r="AE13" s="80">
        <v>5</v>
      </c>
      <c r="AF13" s="68">
        <v>5</v>
      </c>
      <c r="AG13" s="77">
        <f>IF(AL13="","",WORKDAY.INTL(AL13,AJ13*-1,1,Holidays[Date]))</f>
        <v>45763</v>
      </c>
      <c r="AH13" s="77">
        <f>IFERROR(IF(AI13="",WORKDAY.INTL(AC13,AF13,1,Holidays[Date]),AI13),"")</f>
        <v>45292</v>
      </c>
      <c r="AI13" s="78">
        <v>45292</v>
      </c>
      <c r="AJ13" s="80">
        <v>5</v>
      </c>
      <c r="AK13" s="68">
        <v>5</v>
      </c>
      <c r="AL13" s="77">
        <f>IF(AQ13="","",WORKDAY.INTL(AQ13,AO13*-1,1,Holidays[Date]))</f>
        <v>45775</v>
      </c>
      <c r="AM13" s="77">
        <f>IFERROR(IF(AN13="",WORKDAY.INTL(AH13,AK13,1,Holidays[Date]),AN13),"")</f>
        <v>45292</v>
      </c>
      <c r="AN13" s="78">
        <v>45292</v>
      </c>
      <c r="AO13" s="80">
        <v>5</v>
      </c>
      <c r="AP13" s="68">
        <v>10</v>
      </c>
      <c r="AQ13" s="77">
        <f>IF(AV13="","",WORKDAY.INTL(AV13,AT13*-1,1,Holidays[Date]))</f>
        <v>45783</v>
      </c>
      <c r="AR13" s="77">
        <f>IFERROR(IF(AS13="",WORKDAY.INTL(AM13,AP13,1,Holidays[Date]),AS13),"")</f>
        <v>45306</v>
      </c>
      <c r="AS13" s="78"/>
      <c r="AT13" s="80">
        <v>20</v>
      </c>
      <c r="AU13" s="68">
        <v>20</v>
      </c>
      <c r="AV13" s="77">
        <f>IF(BA13="","",WORKDAY.INTL(BA13,AY13*-1,1,Holidays[Date]))</f>
        <v>45812</v>
      </c>
      <c r="AW13" s="77">
        <f>IFERROR(IF(AX13="",WORKDAY.INTL(AR13,AU13,1,Holidays[Date]),AX13),"")</f>
        <v>45335</v>
      </c>
      <c r="AX13" s="78"/>
      <c r="AY13" s="80">
        <v>15</v>
      </c>
      <c r="AZ13" s="68">
        <v>15</v>
      </c>
      <c r="BA13" s="77">
        <f>IF(BF13="","",WORKDAY.INTL(BF13,BD13*-1,1,Holidays[Date]))</f>
        <v>45834</v>
      </c>
      <c r="BB13" s="77">
        <f>IFERROR(IF(BC13="",WORKDAY.INTL(AW13,AZ13,1,Holidays[Date]),BC13),"")</f>
        <v>45357</v>
      </c>
      <c r="BC13" s="78"/>
      <c r="BD13" s="80">
        <v>5</v>
      </c>
      <c r="BE13" s="68">
        <v>5</v>
      </c>
      <c r="BF13" s="77">
        <f>IF(BK13="","",WORKDAY.INTL(BK13,BI13*-1,1,Holidays[Date]))</f>
        <v>45841</v>
      </c>
      <c r="BG13" s="77">
        <f>IFERROR(IF(BH13="",WORKDAY.INTL(BB13,BE13,1,Holidays[Date]),BH13),"")</f>
        <v>45365</v>
      </c>
      <c r="BH13" s="78"/>
      <c r="BI13" s="80">
        <v>0</v>
      </c>
      <c r="BJ13" s="68">
        <v>10</v>
      </c>
      <c r="BK13" s="77">
        <f>IF(BP13="","",WORKDAY.INTL(BP13,BN13*-1,1,Holidays[Date]))</f>
        <v>45841</v>
      </c>
      <c r="BL13" s="77">
        <f>IFERROR(IF(BM13="",WORKDAY.INTL(BG13,BJ13,1,Holidays[Date]),BM13),"")</f>
        <v>45379</v>
      </c>
      <c r="BM13" s="78"/>
      <c r="BN13" s="80">
        <v>10</v>
      </c>
      <c r="BO13" s="68">
        <v>10</v>
      </c>
      <c r="BP13" s="77">
        <f>IF(BU13="","",WORKDAY.INTL(BU13,BS13*-1,1,Holidays[Date]))</f>
        <v>45855</v>
      </c>
      <c r="BQ13" s="77">
        <f>IFERROR(IF(BR13="",WORKDAY.INTL(BL13,BO13,1,Holidays[Date]),BR13),"")</f>
        <v>45397</v>
      </c>
      <c r="BR13" s="78"/>
      <c r="BS13" s="80">
        <v>3</v>
      </c>
      <c r="BT13" s="68">
        <v>3</v>
      </c>
      <c r="BU13" s="77">
        <f>IF(BZ13="","",WORKDAY.INTL(BZ13,BX13*-1,1,Holidays[Date]))</f>
        <v>45860</v>
      </c>
      <c r="BV13" s="77">
        <f>IFERROR(IF(BW13="",WORKDAY.INTL(BQ13,BT13,1,Holidays[Date]),BW13),"")</f>
        <v>45400</v>
      </c>
      <c r="BW13" s="78"/>
      <c r="BX13" s="80">
        <v>110</v>
      </c>
      <c r="BY13" s="68">
        <v>110</v>
      </c>
      <c r="BZ13" s="81">
        <v>46023</v>
      </c>
      <c r="CA13" s="77">
        <f>IFERROR(IF(CB13="",WORKDAY.INTL(BV13,BY13,1,Holidays[Date]),CB13),"")</f>
        <v>45567</v>
      </c>
      <c r="CB13" s="78"/>
    </row>
    <row r="14" spans="1:80" ht="19" customHeight="1" x14ac:dyDescent="0.35">
      <c r="A14" s="31"/>
      <c r="B14" s="76" t="s">
        <v>1</v>
      </c>
      <c r="C14" s="74" t="s">
        <v>28</v>
      </c>
      <c r="D14" s="8" t="s">
        <v>223</v>
      </c>
      <c r="E14" s="8" t="s">
        <v>224</v>
      </c>
      <c r="F14" s="8" t="s">
        <v>230</v>
      </c>
      <c r="G14" s="8" t="s">
        <v>205</v>
      </c>
      <c r="H14" s="8" t="s">
        <v>210</v>
      </c>
      <c r="I14" s="9" t="s">
        <v>215</v>
      </c>
      <c r="J14" s="8" t="s">
        <v>222</v>
      </c>
      <c r="K14" s="8" t="s">
        <v>414</v>
      </c>
      <c r="L14" s="8"/>
      <c r="M14" s="8"/>
      <c r="N14" s="8"/>
      <c r="O14" s="8"/>
      <c r="P14" s="8"/>
      <c r="Q14" s="2">
        <v>445830</v>
      </c>
      <c r="R14" s="2">
        <v>700000</v>
      </c>
      <c r="S14" s="88">
        <f>IF(tblProcRegister[[#This Row],[Award]]&lt;&gt;"",tblProcRegister[[#This Row],[Budget]]-tblProcRegister[[#This Row],[Award]],"")</f>
        <v>-254170</v>
      </c>
      <c r="T14" s="68"/>
      <c r="U14" s="68"/>
      <c r="V14" s="68"/>
      <c r="W14" s="77">
        <f>IF(AB14="","",WORKDAY.INTL(AB14,Z14*-1,1,Holidays[Date]))</f>
        <v>46079</v>
      </c>
      <c r="X14" s="77">
        <f t="shared" si="0"/>
        <v>45323</v>
      </c>
      <c r="Y14" s="78">
        <v>45323</v>
      </c>
      <c r="Z14" s="79">
        <v>15</v>
      </c>
      <c r="AA14" s="68">
        <v>10</v>
      </c>
      <c r="AB14" s="77">
        <f>IF(AG14="","",WORKDAY.INTL(AG14,AE14*-1,1,Holidays[Date]))</f>
        <v>46101</v>
      </c>
      <c r="AC14" s="77">
        <f>IFERROR(IF(AD14="",WORKDAY.INTL(X14,AA14,1,Holidays[Date]),AD14),"")</f>
        <v>45337</v>
      </c>
      <c r="AD14" s="78"/>
      <c r="AE14" s="80">
        <v>5</v>
      </c>
      <c r="AF14" s="68">
        <v>5</v>
      </c>
      <c r="AG14" s="77">
        <f>IF(AL14="","",WORKDAY.INTL(AL14,AJ14*-1,1,Holidays[Date]))</f>
        <v>46108</v>
      </c>
      <c r="AH14" s="77">
        <f>IFERROR(IF(AI14="",WORKDAY.INTL(AC14,AF14,1,Holidays[Date]),AI14),"")</f>
        <v>45344</v>
      </c>
      <c r="AI14" s="78"/>
      <c r="AJ14" s="80">
        <v>5</v>
      </c>
      <c r="AK14" s="68">
        <v>5</v>
      </c>
      <c r="AL14" s="77">
        <f>IF(AQ14="","",WORKDAY.INTL(AQ14,AO14*-1,1,Holidays[Date]))</f>
        <v>46119</v>
      </c>
      <c r="AM14" s="77">
        <f>IFERROR(IF(AN14="",WORKDAY.INTL(AH14,AK14,1,Holidays[Date]),AN14),"")</f>
        <v>45351</v>
      </c>
      <c r="AN14" s="78"/>
      <c r="AO14" s="80">
        <v>5</v>
      </c>
      <c r="AP14" s="68">
        <v>5</v>
      </c>
      <c r="AQ14" s="77">
        <f>IF(AV14="","",WORKDAY.INTL(AV14,AT14*-1,1,Holidays[Date]))</f>
        <v>46126</v>
      </c>
      <c r="AR14" s="77">
        <f>IFERROR(IF(AS14="",WORKDAY.INTL(AM14,AP14,1,Holidays[Date]),AS14),"")</f>
        <v>45359</v>
      </c>
      <c r="AS14" s="78"/>
      <c r="AT14" s="80">
        <v>20</v>
      </c>
      <c r="AU14" s="68">
        <v>20</v>
      </c>
      <c r="AV14" s="77">
        <f>IF(BA14="","",WORKDAY.INTL(BA14,AY14*-1,1,Holidays[Date]))</f>
        <v>46154</v>
      </c>
      <c r="AW14" s="77">
        <f>IFERROR(IF(AX14="",WORKDAY.INTL(AR14,AU14,1,Holidays[Date]),AX14),"")</f>
        <v>45392</v>
      </c>
      <c r="AX14" s="78"/>
      <c r="AY14" s="80">
        <v>15</v>
      </c>
      <c r="AZ14" s="68">
        <v>15</v>
      </c>
      <c r="BA14" s="77">
        <f>IF(BF14="","",WORKDAY.INTL(BF14,BD14*-1,1,Holidays[Date]))</f>
        <v>46176</v>
      </c>
      <c r="BB14" s="77">
        <f>IFERROR(IF(BC14="",WORKDAY.INTL(AW14,AZ14,1,Holidays[Date]),BC14),"")</f>
        <v>45414</v>
      </c>
      <c r="BC14" s="78"/>
      <c r="BD14" s="80">
        <v>5</v>
      </c>
      <c r="BE14" s="68">
        <v>5</v>
      </c>
      <c r="BF14" s="77">
        <f>IF(BK14="","",WORKDAY.INTL(BK14,BI14*-1,1,Holidays[Date]))</f>
        <v>46184</v>
      </c>
      <c r="BG14" s="77">
        <f>IFERROR(IF(BH14="",WORKDAY.INTL(BB14,BE14,1,Holidays[Date]),BH14),"")</f>
        <v>45422</v>
      </c>
      <c r="BH14" s="78"/>
      <c r="BI14" s="80">
        <v>10</v>
      </c>
      <c r="BJ14" s="68">
        <v>10</v>
      </c>
      <c r="BK14" s="77">
        <f>IF(BP14="","",WORKDAY.INTL(BP14,BN14*-1,1,Holidays[Date]))</f>
        <v>46198</v>
      </c>
      <c r="BL14" s="77">
        <f>IFERROR(IF(BM14="",WORKDAY.INTL(BG14,BJ14,1,Holidays[Date]),BM14),"")</f>
        <v>45436</v>
      </c>
      <c r="BM14" s="78"/>
      <c r="BN14" s="80">
        <v>10</v>
      </c>
      <c r="BO14" s="68">
        <v>10</v>
      </c>
      <c r="BP14" s="77">
        <f>IF(BU14="","",WORKDAY.INTL(BU14,BS14*-1,1,Holidays[Date]))</f>
        <v>46212</v>
      </c>
      <c r="BQ14" s="77">
        <f>IFERROR(IF(BR14="",WORKDAY.INTL(BL14,BO14,1,Holidays[Date]),BR14),"")</f>
        <v>45455</v>
      </c>
      <c r="BR14" s="78"/>
      <c r="BS14" s="80">
        <v>3</v>
      </c>
      <c r="BT14" s="68">
        <v>3</v>
      </c>
      <c r="BU14" s="77">
        <f>IF(BZ14="","",WORKDAY.INTL(BZ14,BX14*-1,1,Holidays[Date]))</f>
        <v>46217</v>
      </c>
      <c r="BV14" s="77">
        <f>IFERROR(IF(BW14="",WORKDAY.INTL(BQ14,BT14,1,Holidays[Date]),BW14),"")</f>
        <v>45460</v>
      </c>
      <c r="BW14" s="78"/>
      <c r="BX14" s="80">
        <v>150</v>
      </c>
      <c r="BY14" s="68">
        <v>150</v>
      </c>
      <c r="BZ14" s="81">
        <v>46433</v>
      </c>
      <c r="CA14" s="77">
        <f>IFERROR(IF(CB14="",WORKDAY.INTL(BV14,BY14,1,Holidays[Date]),CB14),"")</f>
        <v>45681</v>
      </c>
      <c r="CB14" s="78"/>
    </row>
    <row r="15" spans="1:80" ht="19" customHeight="1" x14ac:dyDescent="0.35">
      <c r="A15" s="31"/>
      <c r="B15" s="76" t="s">
        <v>2</v>
      </c>
      <c r="C15" s="74" t="s">
        <v>29</v>
      </c>
      <c r="D15" s="8" t="s">
        <v>223</v>
      </c>
      <c r="E15" s="8" t="s">
        <v>224</v>
      </c>
      <c r="F15" s="8" t="s">
        <v>230</v>
      </c>
      <c r="G15" s="8" t="s">
        <v>205</v>
      </c>
      <c r="H15" s="8" t="s">
        <v>210</v>
      </c>
      <c r="I15" s="9" t="s">
        <v>215</v>
      </c>
      <c r="J15" s="8" t="s">
        <v>222</v>
      </c>
      <c r="K15" s="8" t="s">
        <v>414</v>
      </c>
      <c r="L15" s="8"/>
      <c r="M15" s="8"/>
      <c r="N15" s="8"/>
      <c r="O15" s="8"/>
      <c r="P15" s="8"/>
      <c r="Q15" s="2">
        <v>47294</v>
      </c>
      <c r="R15" s="2"/>
      <c r="S15" s="88" t="str">
        <f>IF(tblProcRegister[[#This Row],[Award]]&lt;&gt;"",tblProcRegister[[#This Row],[Budget]]-tblProcRegister[[#This Row],[Award]],"")</f>
        <v/>
      </c>
      <c r="T15" s="68"/>
      <c r="U15" s="68"/>
      <c r="V15" s="68"/>
      <c r="W15" s="77">
        <f>IF(AB15="","",WORKDAY.INTL(AB15,Z15*-1,1,Holidays[Date]))</f>
        <v>45289</v>
      </c>
      <c r="X15" s="77">
        <f t="shared" si="0"/>
        <v>45352</v>
      </c>
      <c r="Y15" s="78">
        <v>45352</v>
      </c>
      <c r="Z15" s="79">
        <v>15</v>
      </c>
      <c r="AA15" s="68">
        <v>15</v>
      </c>
      <c r="AB15" s="77">
        <f>IF(AG15="","",WORKDAY.INTL(AG15,AE15*-1,1,Holidays[Date]))</f>
        <v>45313</v>
      </c>
      <c r="AC15" s="77">
        <f>IFERROR(IF(AD15="",WORKDAY.INTL(X15,AA15,1,Holidays[Date]),AD15),"")</f>
        <v>45377</v>
      </c>
      <c r="AD15" s="78"/>
      <c r="AE15" s="80">
        <v>5</v>
      </c>
      <c r="AF15" s="68">
        <v>10</v>
      </c>
      <c r="AG15" s="77">
        <f>IF(AL15="","",WORKDAY.INTL(AL15,AJ15*-1,1,Holidays[Date]))</f>
        <v>45321</v>
      </c>
      <c r="AH15" s="77">
        <f>IFERROR(IF(AI15="",WORKDAY.INTL(AC15,AF15,1,Holidays[Date]),AI15),"")</f>
        <v>45393</v>
      </c>
      <c r="AI15" s="78"/>
      <c r="AJ15" s="80">
        <v>5</v>
      </c>
      <c r="AK15" s="68">
        <v>10</v>
      </c>
      <c r="AL15" s="77">
        <f>IF(AQ15="","",WORKDAY.INTL(AQ15,AO15*-1,1,Holidays[Date]))</f>
        <v>45328</v>
      </c>
      <c r="AM15" s="77">
        <f>IFERROR(IF(AN15="",WORKDAY.INTL(AH15,AK15,1,Holidays[Date]),AN15),"")</f>
        <v>45408</v>
      </c>
      <c r="AN15" s="78"/>
      <c r="AO15" s="80">
        <v>5</v>
      </c>
      <c r="AP15" s="68">
        <v>10</v>
      </c>
      <c r="AQ15" s="77">
        <f>IF(AV15="","",WORKDAY.INTL(AV15,AT15*-1,1,Holidays[Date]))</f>
        <v>45335</v>
      </c>
      <c r="AR15" s="77">
        <f>IFERROR(IF(AS15="",WORKDAY.INTL(AM15,AP15,1,Holidays[Date]),AS15),"")</f>
        <v>45425</v>
      </c>
      <c r="AS15" s="78"/>
      <c r="AT15" s="80">
        <v>20</v>
      </c>
      <c r="AU15" s="68">
        <v>10</v>
      </c>
      <c r="AV15" s="77">
        <f>IF(BA15="","",WORKDAY.INTL(BA15,AY15*-1,1,Holidays[Date]))</f>
        <v>45365</v>
      </c>
      <c r="AW15" s="77">
        <f>IFERROR(IF(AX15="",WORKDAY.INTL(AR15,AU15,1,Holidays[Date]),AX15),"")</f>
        <v>45440</v>
      </c>
      <c r="AX15" s="78"/>
      <c r="AY15" s="80">
        <v>15</v>
      </c>
      <c r="AZ15" s="68">
        <v>15</v>
      </c>
      <c r="BA15" s="77">
        <f>IF(BF15="","",WORKDAY.INTL(BF15,BD15*-1,1,Holidays[Date]))</f>
        <v>45390</v>
      </c>
      <c r="BB15" s="77">
        <f>IFERROR(IF(BC15="",WORKDAY.INTL(AW15,AZ15,1,Holidays[Date]),BC15),"")</f>
        <v>45463</v>
      </c>
      <c r="BC15" s="78"/>
      <c r="BD15" s="80">
        <v>5</v>
      </c>
      <c r="BE15" s="68">
        <v>5</v>
      </c>
      <c r="BF15" s="77">
        <f>IF(BK15="","",WORKDAY.INTL(BK15,BI15*-1,1,Holidays[Date]))</f>
        <v>45397</v>
      </c>
      <c r="BG15" s="77">
        <f>IFERROR(IF(BH15="",WORKDAY.INTL(BB15,BE15,1,Holidays[Date]),BH15),"")</f>
        <v>45470</v>
      </c>
      <c r="BH15" s="78"/>
      <c r="BI15" s="80">
        <v>10</v>
      </c>
      <c r="BJ15" s="68">
        <v>10</v>
      </c>
      <c r="BK15" s="77">
        <f>IF(BP15="","",WORKDAY.INTL(BP15,BN15*-1,1,Holidays[Date]))</f>
        <v>45412</v>
      </c>
      <c r="BL15" s="77">
        <f>IFERROR(IF(BM15="",WORKDAY.INTL(BG15,BJ15,1,Holidays[Date]),BM15),"")</f>
        <v>45484</v>
      </c>
      <c r="BM15" s="78"/>
      <c r="BN15" s="80">
        <v>10</v>
      </c>
      <c r="BO15" s="68">
        <v>10</v>
      </c>
      <c r="BP15" s="77">
        <f>IF(BU15="","",WORKDAY.INTL(BU15,BS15*-1,1,Holidays[Date]))</f>
        <v>45427</v>
      </c>
      <c r="BQ15" s="77">
        <f>IFERROR(IF(BR15="",WORKDAY.INTL(BL15,BO15,1,Holidays[Date]),BR15),"")</f>
        <v>45498</v>
      </c>
      <c r="BR15" s="78"/>
      <c r="BS15" s="80">
        <v>3</v>
      </c>
      <c r="BT15" s="68">
        <v>3</v>
      </c>
      <c r="BU15" s="77">
        <f>IF(BZ15="","",WORKDAY.INTL(BZ15,BX15*-1,1,Holidays[Date]))</f>
        <v>45432</v>
      </c>
      <c r="BV15" s="77">
        <f>IFERROR(IF(BW15="",WORKDAY.INTL(BQ15,BT15,1,Holidays[Date]),BW15),"")</f>
        <v>45503</v>
      </c>
      <c r="BW15" s="78"/>
      <c r="BX15" s="80">
        <v>200</v>
      </c>
      <c r="BY15" s="68">
        <v>200</v>
      </c>
      <c r="BZ15" s="81">
        <v>45732</v>
      </c>
      <c r="CA15" s="77">
        <f>IFERROR(IF(CB15="",WORKDAY.INTL(BV15,BY15,1,Holidays[Date]),CB15),"")</f>
        <v>45805</v>
      </c>
      <c r="CB15" s="78"/>
    </row>
    <row r="16" spans="1:80" ht="19" customHeight="1" x14ac:dyDescent="0.35">
      <c r="A16" s="31"/>
      <c r="B16" s="76" t="s">
        <v>3</v>
      </c>
      <c r="C16" s="74" t="s">
        <v>30</v>
      </c>
      <c r="D16" s="8" t="s">
        <v>223</v>
      </c>
      <c r="E16" s="8" t="s">
        <v>225</v>
      </c>
      <c r="F16" s="8" t="s">
        <v>429</v>
      </c>
      <c r="G16" s="8" t="s">
        <v>205</v>
      </c>
      <c r="H16" s="8" t="s">
        <v>210</v>
      </c>
      <c r="I16" s="9" t="s">
        <v>216</v>
      </c>
      <c r="J16" s="8" t="s">
        <v>220</v>
      </c>
      <c r="K16" s="8" t="s">
        <v>414</v>
      </c>
      <c r="L16" s="8"/>
      <c r="M16" s="8"/>
      <c r="N16" s="8"/>
      <c r="O16" s="8"/>
      <c r="P16" s="8"/>
      <c r="Q16" s="2">
        <v>483228</v>
      </c>
      <c r="R16" s="2"/>
      <c r="S16" s="88" t="str">
        <f>IF(tblProcRegister[[#This Row],[Award]]&lt;&gt;"",tblProcRegister[[#This Row],[Budget]]-tblProcRegister[[#This Row],[Award]],"")</f>
        <v/>
      </c>
      <c r="T16" s="68"/>
      <c r="U16" s="68"/>
      <c r="V16" s="68"/>
      <c r="W16" s="77">
        <f>IF(AB16="","",WORKDAY.INTL(AB16,Z16*-1,1,Holidays[Date]))</f>
        <v>45783</v>
      </c>
      <c r="X16" s="77">
        <f t="shared" si="0"/>
        <v>45444</v>
      </c>
      <c r="Y16" s="78">
        <v>45444</v>
      </c>
      <c r="Z16" s="79">
        <v>15</v>
      </c>
      <c r="AA16" s="68">
        <v>50</v>
      </c>
      <c r="AB16" s="77">
        <f>IF(AG16="","",WORKDAY.INTL(AG16,AE16*-1,1,Holidays[Date]))</f>
        <v>45804</v>
      </c>
      <c r="AC16" s="77">
        <f>IFERROR(IF(AD16="",WORKDAY.INTL(X16,AA16,1,Holidays[Date]),AD16),"")</f>
        <v>45519</v>
      </c>
      <c r="AD16" s="78"/>
      <c r="AE16" s="80">
        <v>5</v>
      </c>
      <c r="AF16" s="68">
        <v>5</v>
      </c>
      <c r="AG16" s="77">
        <f>IF(AL16="","",WORKDAY.INTL(AL16,AJ16*-1,1,Holidays[Date]))</f>
        <v>45812</v>
      </c>
      <c r="AH16" s="77">
        <f>IFERROR(IF(AI16="",WORKDAY.INTL(AC16,AF16,1,Holidays[Date]),AI16),"")</f>
        <v>45526</v>
      </c>
      <c r="AI16" s="78"/>
      <c r="AJ16" s="80">
        <v>5</v>
      </c>
      <c r="AK16" s="68">
        <v>5</v>
      </c>
      <c r="AL16" s="77">
        <f>IF(AQ16="","",WORKDAY.INTL(AQ16,AO16*-1,1,Holidays[Date]))</f>
        <v>45820</v>
      </c>
      <c r="AM16" s="77">
        <f>IFERROR(IF(AN16="",WORKDAY.INTL(AH16,AK16,1,Holidays[Date]),AN16),"")</f>
        <v>45533</v>
      </c>
      <c r="AN16" s="78"/>
      <c r="AO16" s="80">
        <v>5</v>
      </c>
      <c r="AP16" s="68">
        <v>5</v>
      </c>
      <c r="AQ16" s="77">
        <f>IF(AV16="","",WORKDAY.INTL(AV16,AT16*-1,1,Holidays[Date]))</f>
        <v>45827</v>
      </c>
      <c r="AR16" s="77">
        <f>IFERROR(IF(AS16="",WORKDAY.INTL(AM16,AP16,1,Holidays[Date]),AS16),"")</f>
        <v>45540</v>
      </c>
      <c r="AS16" s="78"/>
      <c r="AT16" s="80">
        <v>20</v>
      </c>
      <c r="AU16" s="68">
        <v>20</v>
      </c>
      <c r="AV16" s="77">
        <f>IF(BA16="","",WORKDAY.INTL(BA16,AY16*-1,1,Holidays[Date]))</f>
        <v>45855</v>
      </c>
      <c r="AW16" s="77">
        <f>IFERROR(IF(AX16="",WORKDAY.INTL(AR16,AU16,1,Holidays[Date]),AX16),"")</f>
        <v>45573</v>
      </c>
      <c r="AX16" s="78"/>
      <c r="AY16" s="80">
        <v>15</v>
      </c>
      <c r="AZ16" s="68">
        <v>15</v>
      </c>
      <c r="BA16" s="77">
        <f>IF(BF16="","",WORKDAY.INTL(BF16,BD16*-1,1,Holidays[Date]))</f>
        <v>45877</v>
      </c>
      <c r="BB16" s="77">
        <f>IFERROR(IF(BC16="",WORKDAY.INTL(AW16,AZ16,1,Holidays[Date]),BC16),"")</f>
        <v>45594</v>
      </c>
      <c r="BC16" s="78"/>
      <c r="BD16" s="80">
        <v>5</v>
      </c>
      <c r="BE16" s="68">
        <v>5</v>
      </c>
      <c r="BF16" s="77">
        <f>IF(BK16="","",WORKDAY.INTL(BK16,BI16*-1,1,Holidays[Date]))</f>
        <v>45887</v>
      </c>
      <c r="BG16" s="77">
        <f>IFERROR(IF(BH16="",WORKDAY.INTL(BB16,BE16,1,Holidays[Date]),BH16),"")</f>
        <v>45602</v>
      </c>
      <c r="BH16" s="78"/>
      <c r="BI16" s="80">
        <v>10</v>
      </c>
      <c r="BJ16" s="68">
        <v>10</v>
      </c>
      <c r="BK16" s="77">
        <f>IF(BP16="","",WORKDAY.INTL(BP16,BN16*-1,1,Holidays[Date]))</f>
        <v>45901</v>
      </c>
      <c r="BL16" s="77">
        <f>IFERROR(IF(BM16="",WORKDAY.INTL(BG16,BJ16,1,Holidays[Date]),BM16),"")</f>
        <v>45616</v>
      </c>
      <c r="BM16" s="78"/>
      <c r="BN16" s="80">
        <v>10</v>
      </c>
      <c r="BO16" s="68">
        <v>10</v>
      </c>
      <c r="BP16" s="77">
        <f>IF(BU16="","",WORKDAY.INTL(BU16,BS16*-1,1,Holidays[Date]))</f>
        <v>45915</v>
      </c>
      <c r="BQ16" s="77">
        <f>IFERROR(IF(BR16="",WORKDAY.INTL(BL16,BO16,1,Holidays[Date]),BR16),"")</f>
        <v>45630</v>
      </c>
      <c r="BR16" s="78"/>
      <c r="BS16" s="80">
        <v>3</v>
      </c>
      <c r="BT16" s="68">
        <v>3</v>
      </c>
      <c r="BU16" s="77">
        <f>IF(BZ16="","",WORKDAY.INTL(BZ16,BX16*-1,1,Holidays[Date]))</f>
        <v>45918</v>
      </c>
      <c r="BV16" s="77">
        <f>IFERROR(IF(BW16="",WORKDAY.INTL(BQ16,BT16,1,Holidays[Date]),BW16),"")</f>
        <v>45635</v>
      </c>
      <c r="BW16" s="78"/>
      <c r="BX16" s="80">
        <v>90</v>
      </c>
      <c r="BY16" s="68">
        <v>90</v>
      </c>
      <c r="BZ16" s="81">
        <v>46053</v>
      </c>
      <c r="CA16" s="77">
        <f>IFERROR(IF(CB16="",WORKDAY.INTL(BV16,BY16,1,Holidays[Date]),CB16),"")</f>
        <v>45771</v>
      </c>
      <c r="CB16" s="78"/>
    </row>
    <row r="17" spans="1:80" ht="19" customHeight="1" x14ac:dyDescent="0.35">
      <c r="A17" s="31"/>
      <c r="B17" s="76" t="s">
        <v>4</v>
      </c>
      <c r="C17" s="74" t="s">
        <v>51</v>
      </c>
      <c r="D17" s="8" t="s">
        <v>223</v>
      </c>
      <c r="E17" s="8" t="s">
        <v>225</v>
      </c>
      <c r="F17" s="8" t="s">
        <v>230</v>
      </c>
      <c r="G17" s="8" t="s">
        <v>206</v>
      </c>
      <c r="H17" s="8" t="s">
        <v>210</v>
      </c>
      <c r="I17" s="9" t="s">
        <v>216</v>
      </c>
      <c r="J17" s="8" t="s">
        <v>220</v>
      </c>
      <c r="K17" s="8" t="s">
        <v>414</v>
      </c>
      <c r="L17" s="8"/>
      <c r="M17" s="8"/>
      <c r="N17" s="8"/>
      <c r="O17" s="8"/>
      <c r="P17" s="8"/>
      <c r="Q17" s="2">
        <v>253577</v>
      </c>
      <c r="R17" s="2"/>
      <c r="S17" s="88" t="str">
        <f>IF(tblProcRegister[[#This Row],[Award]]&lt;&gt;"",tblProcRegister[[#This Row],[Budget]]-tblProcRegister[[#This Row],[Award]],"")</f>
        <v/>
      </c>
      <c r="T17" s="68"/>
      <c r="U17" s="68"/>
      <c r="V17" s="68"/>
      <c r="W17" s="77">
        <f>IF(AB17="","",WORKDAY.INTL(AB17,Z17*-1,1,Holidays[Date]))</f>
        <v>46244</v>
      </c>
      <c r="X17" s="77">
        <f t="shared" ca="1" si="0"/>
        <v>46244</v>
      </c>
      <c r="Y17" s="78"/>
      <c r="Z17" s="79">
        <v>15</v>
      </c>
      <c r="AA17" s="68">
        <v>15</v>
      </c>
      <c r="AB17" s="77">
        <f>IF(AG17="","",WORKDAY.INTL(AG17,AE17*-1,1,Holidays[Date]))</f>
        <v>46265</v>
      </c>
      <c r="AC17" s="77">
        <f ca="1">IFERROR(IF(AD17="",WORKDAY.INTL(X17,AA17,1,Holidays[Date]),AD17),"")</f>
        <v>46265</v>
      </c>
      <c r="AD17" s="78"/>
      <c r="AE17" s="80">
        <v>5</v>
      </c>
      <c r="AF17" s="68">
        <v>5</v>
      </c>
      <c r="AG17" s="77">
        <f>IF(AL17="","",WORKDAY.INTL(AL17,AJ17*-1,1,Holidays[Date]))</f>
        <v>46272</v>
      </c>
      <c r="AH17" s="77">
        <f ca="1">IFERROR(IF(AI17="",WORKDAY.INTL(AC17,AF17,1,Holidays[Date]),AI17),"")</f>
        <v>46272</v>
      </c>
      <c r="AI17" s="78"/>
      <c r="AJ17" s="80">
        <v>5</v>
      </c>
      <c r="AK17" s="68">
        <v>5</v>
      </c>
      <c r="AL17" s="77">
        <f>IF(AQ17="","",WORKDAY.INTL(AQ17,AO17*-1,1,Holidays[Date]))</f>
        <v>46279</v>
      </c>
      <c r="AM17" s="77">
        <f ca="1">IFERROR(IF(AN17="",WORKDAY.INTL(AH17,AK17,1,Holidays[Date]),AN17),"")</f>
        <v>46279</v>
      </c>
      <c r="AN17" s="78"/>
      <c r="AO17" s="80">
        <v>5</v>
      </c>
      <c r="AP17" s="68">
        <v>5</v>
      </c>
      <c r="AQ17" s="77">
        <f>IF(AV17="","",WORKDAY.INTL(AV17,AT17*-1,1,Holidays[Date]))</f>
        <v>46286</v>
      </c>
      <c r="AR17" s="77">
        <f ca="1">IFERROR(IF(AS17="",WORKDAY.INTL(AM17,AP17,1,Holidays[Date]),AS17),"")</f>
        <v>46286</v>
      </c>
      <c r="AS17" s="78"/>
      <c r="AT17" s="80">
        <v>20</v>
      </c>
      <c r="AU17" s="68">
        <v>20</v>
      </c>
      <c r="AV17" s="77">
        <f>IF(BA17="","",WORKDAY.INTL(BA17,AY17*-1,1,Holidays[Date]))</f>
        <v>46315</v>
      </c>
      <c r="AW17" s="77">
        <f ca="1">IFERROR(IF(AX17="",WORKDAY.INTL(AR17,AU17,1,Holidays[Date]),AX17),"")</f>
        <v>46315</v>
      </c>
      <c r="AX17" s="78"/>
      <c r="AY17" s="80">
        <v>15</v>
      </c>
      <c r="AZ17" s="68">
        <v>15</v>
      </c>
      <c r="BA17" s="77">
        <f>IF(BF17="","",WORKDAY.INTL(BF17,BD17*-1,1,Holidays[Date]))</f>
        <v>46336</v>
      </c>
      <c r="BB17" s="77">
        <f ca="1">IFERROR(IF(BC17="",WORKDAY.INTL(AW17,AZ17,1,Holidays[Date]),BC17),"")</f>
        <v>46336</v>
      </c>
      <c r="BC17" s="78"/>
      <c r="BD17" s="80">
        <v>5</v>
      </c>
      <c r="BE17" s="68">
        <v>5</v>
      </c>
      <c r="BF17" s="77">
        <f>IF(BK17="","",WORKDAY.INTL(BK17,BI17*-1,1,Holidays[Date]))</f>
        <v>46343</v>
      </c>
      <c r="BG17" s="77">
        <f ca="1">IFERROR(IF(BH17="",WORKDAY.INTL(BB17,BE17,1,Holidays[Date]),BH17),"")</f>
        <v>46343</v>
      </c>
      <c r="BH17" s="78"/>
      <c r="BI17" s="80">
        <v>10</v>
      </c>
      <c r="BJ17" s="68">
        <v>10</v>
      </c>
      <c r="BK17" s="77">
        <f>IF(BP17="","",WORKDAY.INTL(BP17,BN17*-1,1,Holidays[Date]))</f>
        <v>46357</v>
      </c>
      <c r="BL17" s="77">
        <f ca="1">IFERROR(IF(BM17="",WORKDAY.INTL(BG17,BJ17,1,Holidays[Date]),BM17),"")</f>
        <v>46357</v>
      </c>
      <c r="BM17" s="78"/>
      <c r="BN17" s="80">
        <v>10</v>
      </c>
      <c r="BO17" s="68">
        <v>10</v>
      </c>
      <c r="BP17" s="77">
        <f>IF(BU17="","",WORKDAY.INTL(BU17,BS17*-1,1,Holidays[Date]))</f>
        <v>46371</v>
      </c>
      <c r="BQ17" s="77">
        <f ca="1">IFERROR(IF(BR17="",WORKDAY.INTL(BL17,BO17,1,Holidays[Date]),BR17),"")</f>
        <v>46371</v>
      </c>
      <c r="BR17" s="78"/>
      <c r="BS17" s="80">
        <v>3</v>
      </c>
      <c r="BT17" s="68">
        <v>3</v>
      </c>
      <c r="BU17" s="77">
        <f>IF(BZ17="","",WORKDAY.INTL(BZ17,BX17*-1,1,Holidays[Date]))</f>
        <v>46374</v>
      </c>
      <c r="BV17" s="77">
        <f ca="1">IFERROR(IF(BW17="",WORKDAY.INTL(BQ17,BT17,1,Holidays[Date]),BW17),"")</f>
        <v>46374</v>
      </c>
      <c r="BW17" s="78"/>
      <c r="BX17" s="80">
        <v>60</v>
      </c>
      <c r="BY17" s="68">
        <v>60</v>
      </c>
      <c r="BZ17" s="81">
        <v>46463</v>
      </c>
      <c r="CA17" s="77">
        <f ca="1">IFERROR(IF(CB17="",WORKDAY.INTL(BV17,BY17,1,Holidays[Date]),CB17),"")</f>
        <v>46463</v>
      </c>
      <c r="CB17" s="78"/>
    </row>
    <row r="18" spans="1:80" ht="19" customHeight="1" x14ac:dyDescent="0.35">
      <c r="A18" s="31"/>
      <c r="B18" s="76" t="s">
        <v>5</v>
      </c>
      <c r="C18" s="74" t="s">
        <v>52</v>
      </c>
      <c r="D18" s="8" t="s">
        <v>223</v>
      </c>
      <c r="E18" s="8" t="s">
        <v>225</v>
      </c>
      <c r="F18" s="8" t="s">
        <v>230</v>
      </c>
      <c r="G18" s="8" t="s">
        <v>206</v>
      </c>
      <c r="H18" s="8" t="s">
        <v>210</v>
      </c>
      <c r="I18" s="9" t="s">
        <v>216</v>
      </c>
      <c r="J18" s="8" t="s">
        <v>220</v>
      </c>
      <c r="K18" s="8" t="s">
        <v>414</v>
      </c>
      <c r="L18" s="8"/>
      <c r="M18" s="8"/>
      <c r="N18" s="8"/>
      <c r="O18" s="8"/>
      <c r="P18" s="8"/>
      <c r="Q18" s="2">
        <v>451703</v>
      </c>
      <c r="R18" s="2"/>
      <c r="S18" s="88" t="str">
        <f>IF(tblProcRegister[[#This Row],[Award]]&lt;&gt;"",tblProcRegister[[#This Row],[Budget]]-tblProcRegister[[#This Row],[Award]],"")</f>
        <v/>
      </c>
      <c r="T18" s="68"/>
      <c r="U18" s="68"/>
      <c r="V18" s="68"/>
      <c r="W18" s="77">
        <f>IF(AB18="","",WORKDAY.INTL(AB18,Z18*-1,1,Holidays[Date]))</f>
        <v>45565</v>
      </c>
      <c r="X18" s="77">
        <f t="shared" ca="1" si="0"/>
        <v>46085</v>
      </c>
      <c r="Y18" s="78"/>
      <c r="Z18" s="79">
        <v>15</v>
      </c>
      <c r="AA18" s="68">
        <v>15</v>
      </c>
      <c r="AB18" s="77">
        <f>IF(AG18="","",WORKDAY.INTL(AG18,AE18*-1,1,Holidays[Date]))</f>
        <v>45587</v>
      </c>
      <c r="AC18" s="77">
        <f ca="1">IFERROR(IF(AD18="",WORKDAY.INTL(X18,AA18,1,Holidays[Date]),AD18),"")</f>
        <v>46107</v>
      </c>
      <c r="AD18" s="78"/>
      <c r="AE18" s="80">
        <v>5</v>
      </c>
      <c r="AF18" s="68">
        <v>5</v>
      </c>
      <c r="AG18" s="77">
        <f>IF(AL18="","",WORKDAY.INTL(AL18,AJ18*-1,1,Holidays[Date]))</f>
        <v>45594</v>
      </c>
      <c r="AH18" s="77">
        <f ca="1">IFERROR(IF(AI18="",WORKDAY.INTL(AC18,AF18,1,Holidays[Date]),AI18),"")</f>
        <v>46114</v>
      </c>
      <c r="AI18" s="78"/>
      <c r="AJ18" s="80">
        <v>5</v>
      </c>
      <c r="AK18" s="68">
        <v>5</v>
      </c>
      <c r="AL18" s="77">
        <f>IF(AQ18="","",WORKDAY.INTL(AQ18,AO18*-1,1,Holidays[Date]))</f>
        <v>45602</v>
      </c>
      <c r="AM18" s="77">
        <f ca="1">IFERROR(IF(AN18="",WORKDAY.INTL(AH18,AK18,1,Holidays[Date]),AN18),"")</f>
        <v>46125</v>
      </c>
      <c r="AN18" s="78"/>
      <c r="AO18" s="80">
        <v>5</v>
      </c>
      <c r="AP18" s="68">
        <v>5</v>
      </c>
      <c r="AQ18" s="77">
        <f>IF(AV18="","",WORKDAY.INTL(AV18,AT18*-1,1,Holidays[Date]))</f>
        <v>45609</v>
      </c>
      <c r="AR18" s="77">
        <f ca="1">IFERROR(IF(AS18="",WORKDAY.INTL(AM18,AP18,1,Holidays[Date]),AS18),"")</f>
        <v>46132</v>
      </c>
      <c r="AS18" s="78"/>
      <c r="AT18" s="80">
        <v>20</v>
      </c>
      <c r="AU18" s="68">
        <v>20</v>
      </c>
      <c r="AV18" s="77">
        <f>IF(BA18="","",WORKDAY.INTL(BA18,AY18*-1,1,Holidays[Date]))</f>
        <v>45637</v>
      </c>
      <c r="AW18" s="77">
        <f ca="1">IFERROR(IF(AX18="",WORKDAY.INTL(AR18,AU18,1,Holidays[Date]),AX18),"")</f>
        <v>46160</v>
      </c>
      <c r="AX18" s="78"/>
      <c r="AY18" s="80">
        <v>15</v>
      </c>
      <c r="AZ18" s="68">
        <v>15</v>
      </c>
      <c r="BA18" s="77">
        <f>IF(BF18="","",WORKDAY.INTL(BF18,BD18*-1,1,Holidays[Date]))</f>
        <v>45663</v>
      </c>
      <c r="BB18" s="77">
        <f ca="1">IFERROR(IF(BC18="",WORKDAY.INTL(AW18,AZ18,1,Holidays[Date]),BC18),"")</f>
        <v>46183</v>
      </c>
      <c r="BC18" s="78"/>
      <c r="BD18" s="80">
        <v>5</v>
      </c>
      <c r="BE18" s="68">
        <v>5</v>
      </c>
      <c r="BF18" s="77">
        <f>IF(BK18="","",WORKDAY.INTL(BK18,BI18*-1,1,Holidays[Date]))</f>
        <v>45670</v>
      </c>
      <c r="BG18" s="77">
        <f ca="1">IFERROR(IF(BH18="",WORKDAY.INTL(BB18,BE18,1,Holidays[Date]),BH18),"")</f>
        <v>46190</v>
      </c>
      <c r="BH18" s="78"/>
      <c r="BI18" s="80">
        <v>10</v>
      </c>
      <c r="BJ18" s="68">
        <v>10</v>
      </c>
      <c r="BK18" s="77">
        <f>IF(BP18="","",WORKDAY.INTL(BP18,BN18*-1,1,Holidays[Date]))</f>
        <v>45685</v>
      </c>
      <c r="BL18" s="77">
        <f ca="1">IFERROR(IF(BM18="",WORKDAY.INTL(BG18,BJ18,1,Holidays[Date]),BM18),"")</f>
        <v>46204</v>
      </c>
      <c r="BM18" s="78"/>
      <c r="BN18" s="80">
        <v>10</v>
      </c>
      <c r="BO18" s="68">
        <v>10</v>
      </c>
      <c r="BP18" s="77">
        <f>IF(BU18="","",WORKDAY.INTL(BU18,BS18*-1,1,Holidays[Date]))</f>
        <v>45699</v>
      </c>
      <c r="BQ18" s="77">
        <f ca="1">IFERROR(IF(BR18="",WORKDAY.INTL(BL18,BO18,1,Holidays[Date]),BR18),"")</f>
        <v>46218</v>
      </c>
      <c r="BR18" s="78"/>
      <c r="BS18" s="80">
        <v>3</v>
      </c>
      <c r="BT18" s="68">
        <v>3</v>
      </c>
      <c r="BU18" s="77">
        <f>IF(BZ18="","",WORKDAY.INTL(BZ18,BX18*-1,1,Holidays[Date]))</f>
        <v>45702</v>
      </c>
      <c r="BV18" s="77">
        <f ca="1">IFERROR(IF(BW18="",WORKDAY.INTL(BQ18,BT18,1,Holidays[Date]),BW18),"")</f>
        <v>46223</v>
      </c>
      <c r="BW18" s="78"/>
      <c r="BX18" s="80">
        <v>40</v>
      </c>
      <c r="BY18" s="68">
        <v>40</v>
      </c>
      <c r="BZ18" s="81">
        <v>45762</v>
      </c>
      <c r="CA18" s="77">
        <f ca="1">IFERROR(IF(CB18="",WORKDAY.INTL(BV18,BY18,1,Holidays[Date]),CB18),"")</f>
        <v>46279</v>
      </c>
      <c r="CB18" s="78"/>
    </row>
    <row r="19" spans="1:80" ht="19" customHeight="1" x14ac:dyDescent="0.35">
      <c r="A19" s="31"/>
      <c r="B19" s="76" t="s">
        <v>6</v>
      </c>
      <c r="C19" s="74" t="s">
        <v>53</v>
      </c>
      <c r="D19" s="8" t="s">
        <v>223</v>
      </c>
      <c r="E19" s="8" t="s">
        <v>226</v>
      </c>
      <c r="F19" s="8" t="s">
        <v>230</v>
      </c>
      <c r="G19" s="8" t="s">
        <v>206</v>
      </c>
      <c r="H19" s="8" t="s">
        <v>211</v>
      </c>
      <c r="I19" s="9" t="s">
        <v>216</v>
      </c>
      <c r="J19" s="8" t="s">
        <v>220</v>
      </c>
      <c r="K19" s="8" t="s">
        <v>414</v>
      </c>
      <c r="L19" s="8"/>
      <c r="M19" s="8"/>
      <c r="N19" s="8"/>
      <c r="O19" s="8"/>
      <c r="P19" s="8"/>
      <c r="Q19" s="2">
        <v>444652</v>
      </c>
      <c r="R19" s="2"/>
      <c r="S19" s="88" t="str">
        <f>IF(tblProcRegister[[#This Row],[Award]]&lt;&gt;"",tblProcRegister[[#This Row],[Budget]]-tblProcRegister[[#This Row],[Award]],"")</f>
        <v/>
      </c>
      <c r="T19" s="68"/>
      <c r="U19" s="68"/>
      <c r="V19" s="68"/>
      <c r="W19" s="77">
        <f>IF(AB19="","",WORKDAY.INTL(AB19,Z19*-1,1,Holidays[Date]))</f>
        <v>46339</v>
      </c>
      <c r="X19" s="77">
        <f t="shared" ca="1" si="0"/>
        <v>46339</v>
      </c>
      <c r="Y19" s="78"/>
      <c r="Z19" s="79">
        <v>15</v>
      </c>
      <c r="AA19" s="68">
        <v>15</v>
      </c>
      <c r="AB19" s="77">
        <f>IF(AG19="","",WORKDAY.INTL(AG19,AE19*-1,1,Holidays[Date]))</f>
        <v>46360</v>
      </c>
      <c r="AC19" s="77">
        <f ca="1">IFERROR(IF(AD19="",WORKDAY.INTL(X19,AA19,1,Holidays[Date]),AD19),"")</f>
        <v>46360</v>
      </c>
      <c r="AD19" s="78"/>
      <c r="AE19" s="80">
        <v>5</v>
      </c>
      <c r="AF19" s="68">
        <v>5</v>
      </c>
      <c r="AG19" s="77">
        <f>IF(AL19="","",WORKDAY.INTL(AL19,AJ19*-1,1,Holidays[Date]))</f>
        <v>46367</v>
      </c>
      <c r="AH19" s="77">
        <f ca="1">IFERROR(IF(AI19="",WORKDAY.INTL(AC19,AF19,1,Holidays[Date]),AI19),"")</f>
        <v>46367</v>
      </c>
      <c r="AI19" s="78"/>
      <c r="AJ19" s="80">
        <v>5</v>
      </c>
      <c r="AK19" s="68">
        <v>5</v>
      </c>
      <c r="AL19" s="77">
        <f>IF(AQ19="","",WORKDAY.INTL(AQ19,AO19*-1,1,Holidays[Date]))</f>
        <v>46374</v>
      </c>
      <c r="AM19" s="77">
        <f ca="1">IFERROR(IF(AN19="",WORKDAY.INTL(AH19,AK19,1,Holidays[Date]),AN19),"")</f>
        <v>46374</v>
      </c>
      <c r="AN19" s="78"/>
      <c r="AO19" s="80">
        <v>5</v>
      </c>
      <c r="AP19" s="68">
        <v>5</v>
      </c>
      <c r="AQ19" s="77">
        <f>IF(AV19="","",WORKDAY.INTL(AV19,AT19*-1,1,Holidays[Date]))</f>
        <v>46385</v>
      </c>
      <c r="AR19" s="77">
        <f ca="1">IFERROR(IF(AS19="",WORKDAY.INTL(AM19,AP19,1,Holidays[Date]),AS19),"")</f>
        <v>46385</v>
      </c>
      <c r="AS19" s="78"/>
      <c r="AT19" s="80">
        <v>20</v>
      </c>
      <c r="AU19" s="68">
        <v>20</v>
      </c>
      <c r="AV19" s="77">
        <f>IF(BA19="","",WORKDAY.INTL(BA19,AY19*-1,1,Holidays[Date]))</f>
        <v>46414</v>
      </c>
      <c r="AW19" s="77">
        <f ca="1">IFERROR(IF(AX19="",WORKDAY.INTL(AR19,AU19,1,Holidays[Date]),AX19),"")</f>
        <v>46414</v>
      </c>
      <c r="AX19" s="78"/>
      <c r="AY19" s="80">
        <v>15</v>
      </c>
      <c r="AZ19" s="68">
        <v>15</v>
      </c>
      <c r="BA19" s="77">
        <f>IF(BF19="","",WORKDAY.INTL(BF19,BD19*-1,1,Holidays[Date]))</f>
        <v>46435</v>
      </c>
      <c r="BB19" s="77">
        <f ca="1">IFERROR(IF(BC19="",WORKDAY.INTL(AW19,AZ19,1,Holidays[Date]),BC19),"")</f>
        <v>46435</v>
      </c>
      <c r="BC19" s="78"/>
      <c r="BD19" s="80">
        <v>5</v>
      </c>
      <c r="BE19" s="68">
        <v>5</v>
      </c>
      <c r="BF19" s="77">
        <f>IF(BK19="","",WORKDAY.INTL(BK19,BI19*-1,1,Holidays[Date]))</f>
        <v>46442</v>
      </c>
      <c r="BG19" s="77">
        <f ca="1">IFERROR(IF(BH19="",WORKDAY.INTL(BB19,BE19,1,Holidays[Date]),BH19),"")</f>
        <v>46442</v>
      </c>
      <c r="BH19" s="78"/>
      <c r="BI19" s="80">
        <v>10</v>
      </c>
      <c r="BJ19" s="68">
        <v>10</v>
      </c>
      <c r="BK19" s="77">
        <f>IF(BP19="","",WORKDAY.INTL(BP19,BN19*-1,1,Holidays[Date]))</f>
        <v>46456</v>
      </c>
      <c r="BL19" s="77">
        <f ca="1">IFERROR(IF(BM19="",WORKDAY.INTL(BG19,BJ19,1,Holidays[Date]),BM19),"")</f>
        <v>46456</v>
      </c>
      <c r="BM19" s="78"/>
      <c r="BN19" s="80">
        <v>10</v>
      </c>
      <c r="BO19" s="68">
        <v>10</v>
      </c>
      <c r="BP19" s="77">
        <f>IF(BU19="","",WORKDAY.INTL(BU19,BS19*-1,1,Holidays[Date]))</f>
        <v>46470</v>
      </c>
      <c r="BQ19" s="77">
        <f ca="1">IFERROR(IF(BR19="",WORKDAY.INTL(BL19,BO19,1,Holidays[Date]),BR19),"")</f>
        <v>46470</v>
      </c>
      <c r="BR19" s="78"/>
      <c r="BS19" s="80">
        <v>3</v>
      </c>
      <c r="BT19" s="68">
        <v>3</v>
      </c>
      <c r="BU19" s="77">
        <f>IF(BZ19="","",WORKDAY.INTL(BZ19,BX19*-1,1,Holidays[Date]))</f>
        <v>46475</v>
      </c>
      <c r="BV19" s="77">
        <f ca="1">IFERROR(IF(BW19="",WORKDAY.INTL(BQ19,BT19,1,Holidays[Date]),BW19),"")</f>
        <v>46475</v>
      </c>
      <c r="BW19" s="78"/>
      <c r="BX19" s="80">
        <v>80</v>
      </c>
      <c r="BY19" s="68">
        <v>80</v>
      </c>
      <c r="BZ19" s="81">
        <v>46587</v>
      </c>
      <c r="CA19" s="77">
        <f ca="1">IFERROR(IF(CB19="",WORKDAY.INTL(BV19,BY19,1,Holidays[Date]),CB19),"")</f>
        <v>46587</v>
      </c>
      <c r="CB19" s="78"/>
    </row>
    <row r="20" spans="1:80" ht="19" customHeight="1" x14ac:dyDescent="0.35">
      <c r="A20" s="31"/>
      <c r="B20" s="76" t="s">
        <v>7</v>
      </c>
      <c r="C20" s="74" t="s">
        <v>54</v>
      </c>
      <c r="D20" s="8" t="s">
        <v>223</v>
      </c>
      <c r="E20" s="8" t="s">
        <v>226</v>
      </c>
      <c r="F20" s="8" t="s">
        <v>230</v>
      </c>
      <c r="G20" s="8" t="s">
        <v>206</v>
      </c>
      <c r="H20" s="8" t="s">
        <v>211</v>
      </c>
      <c r="I20" s="9" t="s">
        <v>217</v>
      </c>
      <c r="J20" s="8" t="s">
        <v>222</v>
      </c>
      <c r="K20" s="8" t="s">
        <v>414</v>
      </c>
      <c r="L20" s="8"/>
      <c r="M20" s="8"/>
      <c r="N20" s="8"/>
      <c r="O20" s="8"/>
      <c r="P20" s="8"/>
      <c r="Q20" s="2">
        <v>330747</v>
      </c>
      <c r="R20" s="2"/>
      <c r="S20" s="88" t="str">
        <f>IF(tblProcRegister[[#This Row],[Award]]&lt;&gt;"",tblProcRegister[[#This Row],[Budget]]-tblProcRegister[[#This Row],[Award]],"")</f>
        <v/>
      </c>
      <c r="T20" s="68"/>
      <c r="U20" s="68"/>
      <c r="V20" s="68"/>
      <c r="W20" s="77">
        <f>IF(AB20="","",WORKDAY.INTL(AB20,Z20*-1,1,Holidays[Date]))</f>
        <v>45763</v>
      </c>
      <c r="X20" s="77">
        <f t="shared" ca="1" si="0"/>
        <v>46085</v>
      </c>
      <c r="Y20" s="78"/>
      <c r="Z20" s="79">
        <v>15</v>
      </c>
      <c r="AA20" s="68">
        <v>15</v>
      </c>
      <c r="AB20" s="77">
        <f>IF(AG20="","",WORKDAY.INTL(AG20,AE20*-1,1,Holidays[Date]))</f>
        <v>45790</v>
      </c>
      <c r="AC20" s="77">
        <f ca="1">IFERROR(IF(AD20="",WORKDAY.INTL(X20,AA20,1,Holidays[Date]),AD20),"")</f>
        <v>46107</v>
      </c>
      <c r="AD20" s="78"/>
      <c r="AE20" s="80">
        <v>5</v>
      </c>
      <c r="AF20" s="68">
        <v>5</v>
      </c>
      <c r="AG20" s="77">
        <f>IF(AL20="","",WORKDAY.INTL(AL20,AJ20*-1,1,Holidays[Date]))</f>
        <v>45797</v>
      </c>
      <c r="AH20" s="77">
        <f ca="1">IFERROR(IF(AI20="",WORKDAY.INTL(AC20,AF20,1,Holidays[Date]),AI20),"")</f>
        <v>46114</v>
      </c>
      <c r="AI20" s="78"/>
      <c r="AJ20" s="80">
        <v>5</v>
      </c>
      <c r="AK20" s="68">
        <v>5</v>
      </c>
      <c r="AL20" s="77">
        <f>IF(AQ20="","",WORKDAY.INTL(AQ20,AO20*-1,1,Holidays[Date]))</f>
        <v>45804</v>
      </c>
      <c r="AM20" s="77">
        <f ca="1">IFERROR(IF(AN20="",WORKDAY.INTL(AH20,AK20,1,Holidays[Date]),AN20),"")</f>
        <v>46125</v>
      </c>
      <c r="AN20" s="78"/>
      <c r="AO20" s="80">
        <v>5</v>
      </c>
      <c r="AP20" s="68">
        <v>5</v>
      </c>
      <c r="AQ20" s="77">
        <f>IF(AV20="","",WORKDAY.INTL(AV20,AT20*-1,1,Holidays[Date]))</f>
        <v>45812</v>
      </c>
      <c r="AR20" s="77">
        <f ca="1">IFERROR(IF(AS20="",WORKDAY.INTL(AM20,AP20,1,Holidays[Date]),AS20),"")</f>
        <v>46132</v>
      </c>
      <c r="AS20" s="78"/>
      <c r="AT20" s="80">
        <v>20</v>
      </c>
      <c r="AU20" s="68">
        <v>20</v>
      </c>
      <c r="AV20" s="77">
        <f>IF(BA20="","",WORKDAY.INTL(BA20,AY20*-1,1,Holidays[Date]))</f>
        <v>45841</v>
      </c>
      <c r="AW20" s="77">
        <f ca="1">IFERROR(IF(AX20="",WORKDAY.INTL(AR20,AU20,1,Holidays[Date]),AX20),"")</f>
        <v>46160</v>
      </c>
      <c r="AX20" s="78"/>
      <c r="AY20" s="80">
        <v>15</v>
      </c>
      <c r="AZ20" s="68">
        <v>15</v>
      </c>
      <c r="BA20" s="77">
        <f>IF(BF20="","",WORKDAY.INTL(BF20,BD20*-1,1,Holidays[Date]))</f>
        <v>45862</v>
      </c>
      <c r="BB20" s="77">
        <f ca="1">IFERROR(IF(BC20="",WORKDAY.INTL(AW20,AZ20,1,Holidays[Date]),BC20),"")</f>
        <v>46183</v>
      </c>
      <c r="BC20" s="78"/>
      <c r="BD20" s="80">
        <v>5</v>
      </c>
      <c r="BE20" s="68">
        <v>5</v>
      </c>
      <c r="BF20" s="77">
        <f>IF(BK20="","",WORKDAY.INTL(BK20,BI20*-1,1,Holidays[Date]))</f>
        <v>45869</v>
      </c>
      <c r="BG20" s="77">
        <f ca="1">IFERROR(IF(BH20="",WORKDAY.INTL(BB20,BE20,1,Holidays[Date]),BH20),"")</f>
        <v>46190</v>
      </c>
      <c r="BH20" s="78"/>
      <c r="BI20" s="80">
        <v>10</v>
      </c>
      <c r="BJ20" s="68">
        <v>10</v>
      </c>
      <c r="BK20" s="77">
        <f>IF(BP20="","",WORKDAY.INTL(BP20,BN20*-1,1,Holidays[Date]))</f>
        <v>45887</v>
      </c>
      <c r="BL20" s="77">
        <f ca="1">IFERROR(IF(BM20="",WORKDAY.INTL(BG20,BJ20,1,Holidays[Date]),BM20),"")</f>
        <v>46204</v>
      </c>
      <c r="BM20" s="78"/>
      <c r="BN20" s="80">
        <v>10</v>
      </c>
      <c r="BO20" s="68">
        <v>10</v>
      </c>
      <c r="BP20" s="77">
        <f>IF(BU20="","",WORKDAY.INTL(BU20,BS20*-1,1,Holidays[Date]))</f>
        <v>45901</v>
      </c>
      <c r="BQ20" s="77">
        <f ca="1">IFERROR(IF(BR20="",WORKDAY.INTL(BL20,BO20,1,Holidays[Date]),BR20),"")</f>
        <v>46218</v>
      </c>
      <c r="BR20" s="78"/>
      <c r="BS20" s="80">
        <v>3</v>
      </c>
      <c r="BT20" s="68">
        <v>3</v>
      </c>
      <c r="BU20" s="77">
        <f>IF(BZ20="","",WORKDAY.INTL(BZ20,BX20*-1,1,Holidays[Date]))</f>
        <v>45904</v>
      </c>
      <c r="BV20" s="77">
        <f ca="1">IFERROR(IF(BW20="",WORKDAY.INTL(BQ20,BT20,1,Holidays[Date]),BW20),"")</f>
        <v>46223</v>
      </c>
      <c r="BW20" s="78"/>
      <c r="BX20" s="80">
        <v>120</v>
      </c>
      <c r="BY20" s="68">
        <v>120</v>
      </c>
      <c r="BZ20" s="81">
        <v>46083</v>
      </c>
      <c r="CA20" s="77">
        <f ca="1">IFERROR(IF(CB20="",WORKDAY.INTL(BV20,BY20,1,Holidays[Date]),CB20),"")</f>
        <v>46395</v>
      </c>
      <c r="CB20" s="78"/>
    </row>
    <row r="21" spans="1:80" ht="19" customHeight="1" x14ac:dyDescent="0.35">
      <c r="A21" s="31"/>
      <c r="B21" s="76" t="s">
        <v>8</v>
      </c>
      <c r="C21" s="74" t="s">
        <v>55</v>
      </c>
      <c r="D21" s="8" t="s">
        <v>223</v>
      </c>
      <c r="E21" s="8" t="s">
        <v>227</v>
      </c>
      <c r="F21" s="8" t="s">
        <v>230</v>
      </c>
      <c r="G21" s="8" t="s">
        <v>207</v>
      </c>
      <c r="H21" s="8" t="s">
        <v>211</v>
      </c>
      <c r="I21" s="9" t="s">
        <v>217</v>
      </c>
      <c r="J21" s="8" t="s">
        <v>222</v>
      </c>
      <c r="K21" s="8" t="s">
        <v>414</v>
      </c>
      <c r="L21" s="8"/>
      <c r="M21" s="8"/>
      <c r="N21" s="8"/>
      <c r="O21" s="8"/>
      <c r="P21" s="8"/>
      <c r="Q21" s="2">
        <v>327522</v>
      </c>
      <c r="R21" s="2"/>
      <c r="S21" s="88" t="str">
        <f>IF(tblProcRegister[[#This Row],[Award]]&lt;&gt;"",tblProcRegister[[#This Row],[Budget]]-tblProcRegister[[#This Row],[Award]],"")</f>
        <v/>
      </c>
      <c r="T21" s="68"/>
      <c r="U21" s="68"/>
      <c r="V21" s="68"/>
      <c r="W21" s="77">
        <f>IF(AB21="","",WORKDAY.INTL(AB21,Z21*-1,1,Holidays[Date]))</f>
        <v>46218</v>
      </c>
      <c r="X21" s="77">
        <f t="shared" ca="1" si="0"/>
        <v>46218</v>
      </c>
      <c r="Y21" s="78"/>
      <c r="Z21" s="79">
        <v>15</v>
      </c>
      <c r="AA21" s="68">
        <v>15</v>
      </c>
      <c r="AB21" s="77">
        <f>IF(AG21="","",WORKDAY.INTL(AG21,AE21*-1,1,Holidays[Date]))</f>
        <v>46239</v>
      </c>
      <c r="AC21" s="77">
        <f ca="1">IFERROR(IF(AD21="",WORKDAY.INTL(X21,AA21,1,Holidays[Date]),AD21),"")</f>
        <v>46239</v>
      </c>
      <c r="AD21" s="78"/>
      <c r="AE21" s="80">
        <v>5</v>
      </c>
      <c r="AF21" s="68">
        <v>5</v>
      </c>
      <c r="AG21" s="77">
        <f>IF(AL21="","",WORKDAY.INTL(AL21,AJ21*-1,1,Holidays[Date]))</f>
        <v>46246</v>
      </c>
      <c r="AH21" s="77">
        <f ca="1">IFERROR(IF(AI21="",WORKDAY.INTL(AC21,AF21,1,Holidays[Date]),AI21),"")</f>
        <v>46246</v>
      </c>
      <c r="AI21" s="78"/>
      <c r="AJ21" s="80">
        <v>5</v>
      </c>
      <c r="AK21" s="68">
        <v>5</v>
      </c>
      <c r="AL21" s="77">
        <f>IF(AQ21="","",WORKDAY.INTL(AQ21,AO21*-1,1,Holidays[Date]))</f>
        <v>46253</v>
      </c>
      <c r="AM21" s="77">
        <f ca="1">IFERROR(IF(AN21="",WORKDAY.INTL(AH21,AK21,1,Holidays[Date]),AN21),"")</f>
        <v>46253</v>
      </c>
      <c r="AN21" s="78"/>
      <c r="AO21" s="80">
        <v>5</v>
      </c>
      <c r="AP21" s="68">
        <v>5</v>
      </c>
      <c r="AQ21" s="77">
        <f>IF(AV21="","",WORKDAY.INTL(AV21,AT21*-1,1,Holidays[Date]))</f>
        <v>46260</v>
      </c>
      <c r="AR21" s="77">
        <f ca="1">IFERROR(IF(AS21="",WORKDAY.INTL(AM21,AP21,1,Holidays[Date]),AS21),"")</f>
        <v>46260</v>
      </c>
      <c r="AS21" s="78"/>
      <c r="AT21" s="80">
        <v>20</v>
      </c>
      <c r="AU21" s="68">
        <v>20</v>
      </c>
      <c r="AV21" s="77">
        <f>IF(BA21="","",WORKDAY.INTL(BA21,AY21*-1,1,Holidays[Date]))</f>
        <v>46288</v>
      </c>
      <c r="AW21" s="77">
        <f ca="1">IFERROR(IF(AX21="",WORKDAY.INTL(AR21,AU21,1,Holidays[Date]),AX21),"")</f>
        <v>46288</v>
      </c>
      <c r="AX21" s="78"/>
      <c r="AY21" s="80">
        <v>15</v>
      </c>
      <c r="AZ21" s="68">
        <v>15</v>
      </c>
      <c r="BA21" s="77">
        <f>IF(BF21="","",WORKDAY.INTL(BF21,BD21*-1,1,Holidays[Date]))</f>
        <v>46310</v>
      </c>
      <c r="BB21" s="77">
        <f ca="1">IFERROR(IF(BC21="",WORKDAY.INTL(AW21,AZ21,1,Holidays[Date]),BC21),"")</f>
        <v>46310</v>
      </c>
      <c r="BC21" s="78"/>
      <c r="BD21" s="80">
        <v>5</v>
      </c>
      <c r="BE21" s="68">
        <v>5</v>
      </c>
      <c r="BF21" s="77">
        <f>IF(BK21="","",WORKDAY.INTL(BK21,BI21*-1,1,Holidays[Date]))</f>
        <v>46317</v>
      </c>
      <c r="BG21" s="77">
        <f ca="1">IFERROR(IF(BH21="",WORKDAY.INTL(BB21,BE21,1,Holidays[Date]),BH21),"")</f>
        <v>46317</v>
      </c>
      <c r="BH21" s="78"/>
      <c r="BI21" s="80">
        <v>10</v>
      </c>
      <c r="BJ21" s="68">
        <v>10</v>
      </c>
      <c r="BK21" s="77">
        <f>IF(BP21="","",WORKDAY.INTL(BP21,BN21*-1,1,Holidays[Date]))</f>
        <v>46331</v>
      </c>
      <c r="BL21" s="77">
        <f ca="1">IFERROR(IF(BM21="",WORKDAY.INTL(BG21,BJ21,1,Holidays[Date]),BM21),"")</f>
        <v>46331</v>
      </c>
      <c r="BM21" s="78"/>
      <c r="BN21" s="80">
        <v>10</v>
      </c>
      <c r="BO21" s="68">
        <v>10</v>
      </c>
      <c r="BP21" s="77">
        <f>IF(BU21="","",WORKDAY.INTL(BU21,BS21*-1,1,Holidays[Date]))</f>
        <v>46345</v>
      </c>
      <c r="BQ21" s="77">
        <f ca="1">IFERROR(IF(BR21="",WORKDAY.INTL(BL21,BO21,1,Holidays[Date]),BR21),"")</f>
        <v>46345</v>
      </c>
      <c r="BR21" s="78"/>
      <c r="BS21" s="80">
        <v>3</v>
      </c>
      <c r="BT21" s="68">
        <v>3</v>
      </c>
      <c r="BU21" s="77">
        <f>IF(BZ21="","",WORKDAY.INTL(BZ21,BX21*-1,1,Holidays[Date]))</f>
        <v>46350</v>
      </c>
      <c r="BV21" s="77">
        <f ca="1">IFERROR(IF(BW21="",WORKDAY.INTL(BQ21,BT21,1,Holidays[Date]),BW21),"")</f>
        <v>46350</v>
      </c>
      <c r="BW21" s="78"/>
      <c r="BX21" s="80">
        <v>100</v>
      </c>
      <c r="BY21" s="68">
        <v>100</v>
      </c>
      <c r="BZ21" s="81">
        <v>46493</v>
      </c>
      <c r="CA21" s="77">
        <f ca="1">IFERROR(IF(CB21="",WORKDAY.INTL(BV21,BY21,1,Holidays[Date]),CB21),"")</f>
        <v>46493</v>
      </c>
      <c r="CB21" s="78"/>
    </row>
    <row r="22" spans="1:80" ht="19" customHeight="1" x14ac:dyDescent="0.35">
      <c r="A22" s="31"/>
      <c r="B22" s="76" t="s">
        <v>9</v>
      </c>
      <c r="C22" s="74" t="s">
        <v>56</v>
      </c>
      <c r="D22" s="8" t="s">
        <v>223</v>
      </c>
      <c r="E22" s="8" t="s">
        <v>227</v>
      </c>
      <c r="F22" s="8" t="s">
        <v>230</v>
      </c>
      <c r="G22" s="8" t="s">
        <v>207</v>
      </c>
      <c r="H22" s="8" t="s">
        <v>211</v>
      </c>
      <c r="I22" s="9" t="s">
        <v>219</v>
      </c>
      <c r="J22" s="8" t="s">
        <v>221</v>
      </c>
      <c r="K22" s="8" t="s">
        <v>414</v>
      </c>
      <c r="L22" s="8"/>
      <c r="M22" s="8"/>
      <c r="N22" s="8"/>
      <c r="O22" s="8"/>
      <c r="P22" s="8"/>
      <c r="Q22" s="2">
        <v>142790</v>
      </c>
      <c r="R22" s="2"/>
      <c r="S22" s="88" t="str">
        <f>IF(tblProcRegister[[#This Row],[Award]]&lt;&gt;"",tblProcRegister[[#This Row],[Budget]]-tblProcRegister[[#This Row],[Award]],"")</f>
        <v/>
      </c>
      <c r="T22" s="68"/>
      <c r="U22" s="68"/>
      <c r="V22" s="68"/>
      <c r="W22" s="77">
        <f>IF(AB22="","",WORKDAY.INTL(AB22,Z22*-1,1,Holidays[Date]))</f>
        <v>45485</v>
      </c>
      <c r="X22" s="77">
        <f t="shared" ca="1" si="0"/>
        <v>46085</v>
      </c>
      <c r="Y22" s="78"/>
      <c r="Z22" s="79">
        <v>15</v>
      </c>
      <c r="AA22" s="68">
        <v>15</v>
      </c>
      <c r="AB22" s="77">
        <f>IF(AG22="","",WORKDAY.INTL(AG22,AE22*-1,1,Holidays[Date]))</f>
        <v>45506</v>
      </c>
      <c r="AC22" s="77">
        <f ca="1">IFERROR(IF(AD22="",WORKDAY.INTL(X22,AA22,1,Holidays[Date]),AD22),"")</f>
        <v>46107</v>
      </c>
      <c r="AD22" s="78"/>
      <c r="AE22" s="80">
        <v>5</v>
      </c>
      <c r="AF22" s="68">
        <v>5</v>
      </c>
      <c r="AG22" s="77">
        <f>IF(AL22="","",WORKDAY.INTL(AL22,AJ22*-1,1,Holidays[Date]))</f>
        <v>45516</v>
      </c>
      <c r="AH22" s="77">
        <f ca="1">IFERROR(IF(AI22="",WORKDAY.INTL(AC22,AF22,1,Holidays[Date]),AI22),"")</f>
        <v>46114</v>
      </c>
      <c r="AI22" s="78"/>
      <c r="AJ22" s="80">
        <v>5</v>
      </c>
      <c r="AK22" s="68">
        <v>5</v>
      </c>
      <c r="AL22" s="77">
        <f>IF(AQ22="","",WORKDAY.INTL(AQ22,AO22*-1,1,Holidays[Date]))</f>
        <v>45524</v>
      </c>
      <c r="AM22" s="77">
        <f ca="1">IFERROR(IF(AN22="",WORKDAY.INTL(AH22,AK22,1,Holidays[Date]),AN22),"")</f>
        <v>46125</v>
      </c>
      <c r="AN22" s="78"/>
      <c r="AO22" s="80">
        <v>5</v>
      </c>
      <c r="AP22" s="68">
        <v>5</v>
      </c>
      <c r="AQ22" s="77">
        <f>IF(AV22="","",WORKDAY.INTL(AV22,AT22*-1,1,Holidays[Date]))</f>
        <v>45531</v>
      </c>
      <c r="AR22" s="77">
        <f ca="1">IFERROR(IF(AS22="",WORKDAY.INTL(AM22,AP22,1,Holidays[Date]),AS22),"")</f>
        <v>46132</v>
      </c>
      <c r="AS22" s="78"/>
      <c r="AT22" s="80">
        <v>20</v>
      </c>
      <c r="AU22" s="68">
        <v>20</v>
      </c>
      <c r="AV22" s="77">
        <f>IF(BA22="","",WORKDAY.INTL(BA22,AY22*-1,1,Holidays[Date]))</f>
        <v>45560</v>
      </c>
      <c r="AW22" s="77">
        <f ca="1">IFERROR(IF(AX22="",WORKDAY.INTL(AR22,AU22,1,Holidays[Date]),AX22),"")</f>
        <v>46160</v>
      </c>
      <c r="AX22" s="78"/>
      <c r="AY22" s="80">
        <v>15</v>
      </c>
      <c r="AZ22" s="68">
        <v>15</v>
      </c>
      <c r="BA22" s="77">
        <f>IF(BF22="","",WORKDAY.INTL(BF22,BD22*-1,1,Holidays[Date]))</f>
        <v>45583</v>
      </c>
      <c r="BB22" s="77">
        <f ca="1">IFERROR(IF(BC22="",WORKDAY.INTL(AW22,AZ22,1,Holidays[Date]),BC22),"")</f>
        <v>46183</v>
      </c>
      <c r="BC22" s="78"/>
      <c r="BD22" s="80">
        <v>5</v>
      </c>
      <c r="BE22" s="68">
        <v>5</v>
      </c>
      <c r="BF22" s="77">
        <f>IF(BK22="","",WORKDAY.INTL(BK22,BI22*-1,1,Holidays[Date]))</f>
        <v>45590</v>
      </c>
      <c r="BG22" s="77">
        <f ca="1">IFERROR(IF(BH22="",WORKDAY.INTL(BB22,BE22,1,Holidays[Date]),BH22),"")</f>
        <v>46190</v>
      </c>
      <c r="BH22" s="78"/>
      <c r="BI22" s="80">
        <v>10</v>
      </c>
      <c r="BJ22" s="68">
        <v>10</v>
      </c>
      <c r="BK22" s="77">
        <f>IF(BP22="","",WORKDAY.INTL(BP22,BN22*-1,1,Holidays[Date]))</f>
        <v>45607</v>
      </c>
      <c r="BL22" s="77">
        <f ca="1">IFERROR(IF(BM22="",WORKDAY.INTL(BG22,BJ22,1,Holidays[Date]),BM22),"")</f>
        <v>46204</v>
      </c>
      <c r="BM22" s="78"/>
      <c r="BN22" s="80">
        <v>10</v>
      </c>
      <c r="BO22" s="68">
        <v>10</v>
      </c>
      <c r="BP22" s="77">
        <f>IF(BU22="","",WORKDAY.INTL(BU22,BS22*-1,1,Holidays[Date]))</f>
        <v>45621</v>
      </c>
      <c r="BQ22" s="77">
        <f ca="1">IFERROR(IF(BR22="",WORKDAY.INTL(BL22,BO22,1,Holidays[Date]),BR22),"")</f>
        <v>46218</v>
      </c>
      <c r="BR22" s="78"/>
      <c r="BS22" s="80">
        <v>3</v>
      </c>
      <c r="BT22" s="68">
        <v>3</v>
      </c>
      <c r="BU22" s="77">
        <f>IF(BZ22="","",WORKDAY.INTL(BZ22,BX22*-1,1,Holidays[Date]))</f>
        <v>45624</v>
      </c>
      <c r="BV22" s="77">
        <f ca="1">IFERROR(IF(BW22="",WORKDAY.INTL(BQ22,BT22,1,Holidays[Date]),BW22),"")</f>
        <v>46223</v>
      </c>
      <c r="BW22" s="78"/>
      <c r="BX22" s="80">
        <v>110</v>
      </c>
      <c r="BY22" s="68">
        <v>110</v>
      </c>
      <c r="BZ22" s="81">
        <v>45792</v>
      </c>
      <c r="CA22" s="77">
        <f ca="1">IFERROR(IF(CB22="",WORKDAY.INTL(BV22,BY22,1,Holidays[Date]),CB22),"")</f>
        <v>46378</v>
      </c>
      <c r="CB22" s="78"/>
    </row>
    <row r="23" spans="1:80" ht="19" customHeight="1" x14ac:dyDescent="0.35">
      <c r="A23" s="31"/>
      <c r="B23" s="76" t="s">
        <v>10</v>
      </c>
      <c r="C23" s="74" t="s">
        <v>57</v>
      </c>
      <c r="D23" s="8" t="s">
        <v>223</v>
      </c>
      <c r="E23" s="8" t="s">
        <v>227</v>
      </c>
      <c r="F23" s="8" t="s">
        <v>230</v>
      </c>
      <c r="G23" s="8" t="s">
        <v>207</v>
      </c>
      <c r="H23" s="8" t="s">
        <v>212</v>
      </c>
      <c r="I23" s="9" t="s">
        <v>218</v>
      </c>
      <c r="J23" s="8" t="s">
        <v>221</v>
      </c>
      <c r="K23" s="8" t="s">
        <v>414</v>
      </c>
      <c r="L23" s="8"/>
      <c r="M23" s="8"/>
      <c r="N23" s="8"/>
      <c r="O23" s="8"/>
      <c r="P23" s="8"/>
      <c r="Q23" s="2">
        <v>58004</v>
      </c>
      <c r="R23" s="2"/>
      <c r="S23" s="88" t="str">
        <f>IF(tblProcRegister[[#This Row],[Award]]&lt;&gt;"",tblProcRegister[[#This Row],[Budget]]-tblProcRegister[[#This Row],[Award]],"")</f>
        <v/>
      </c>
      <c r="T23" s="68"/>
      <c r="U23" s="68"/>
      <c r="V23" s="68"/>
      <c r="W23" s="77">
        <f>IF(AB23="","",WORKDAY.INTL(AB23,Z23*-1,1,Holidays[Date]))</f>
        <v>46272</v>
      </c>
      <c r="X23" s="77">
        <f t="shared" ca="1" si="0"/>
        <v>46272</v>
      </c>
      <c r="Y23" s="78"/>
      <c r="Z23" s="79">
        <v>15</v>
      </c>
      <c r="AA23" s="68">
        <v>15</v>
      </c>
      <c r="AB23" s="77">
        <f>IF(AG23="","",WORKDAY.INTL(AG23,AE23*-1,1,Holidays[Date]))</f>
        <v>46293</v>
      </c>
      <c r="AC23" s="77">
        <f ca="1">IFERROR(IF(AD23="",WORKDAY.INTL(X23,AA23,1,Holidays[Date]),AD23),"")</f>
        <v>46293</v>
      </c>
      <c r="AD23" s="78"/>
      <c r="AE23" s="80">
        <v>5</v>
      </c>
      <c r="AF23" s="68">
        <v>5</v>
      </c>
      <c r="AG23" s="77">
        <f>IF(AL23="","",WORKDAY.INTL(AL23,AJ23*-1,1,Holidays[Date]))</f>
        <v>46301</v>
      </c>
      <c r="AH23" s="77">
        <f ca="1">IFERROR(IF(AI23="",WORKDAY.INTL(AC23,AF23,1,Holidays[Date]),AI23),"")</f>
        <v>46301</v>
      </c>
      <c r="AI23" s="78"/>
      <c r="AJ23" s="80">
        <v>5</v>
      </c>
      <c r="AK23" s="68">
        <v>5</v>
      </c>
      <c r="AL23" s="77">
        <f>IF(AQ23="","",WORKDAY.INTL(AQ23,AO23*-1,1,Holidays[Date]))</f>
        <v>46308</v>
      </c>
      <c r="AM23" s="77">
        <f ca="1">IFERROR(IF(AN23="",WORKDAY.INTL(AH23,AK23,1,Holidays[Date]),AN23),"")</f>
        <v>46308</v>
      </c>
      <c r="AN23" s="78"/>
      <c r="AO23" s="80">
        <v>5</v>
      </c>
      <c r="AP23" s="68">
        <v>5</v>
      </c>
      <c r="AQ23" s="77">
        <f>IF(AV23="","",WORKDAY.INTL(AV23,AT23*-1,1,Holidays[Date]))</f>
        <v>46315</v>
      </c>
      <c r="AR23" s="77">
        <f ca="1">IFERROR(IF(AS23="",WORKDAY.INTL(AM23,AP23,1,Holidays[Date]),AS23),"")</f>
        <v>46315</v>
      </c>
      <c r="AS23" s="78"/>
      <c r="AT23" s="80">
        <v>20</v>
      </c>
      <c r="AU23" s="68">
        <v>20</v>
      </c>
      <c r="AV23" s="77">
        <f>IF(BA23="","",WORKDAY.INTL(BA23,AY23*-1,1,Holidays[Date]))</f>
        <v>46343</v>
      </c>
      <c r="AW23" s="77">
        <f ca="1">IFERROR(IF(AX23="",WORKDAY.INTL(AR23,AU23,1,Holidays[Date]),AX23),"")</f>
        <v>46343</v>
      </c>
      <c r="AX23" s="78"/>
      <c r="AY23" s="80">
        <v>15</v>
      </c>
      <c r="AZ23" s="68">
        <v>15</v>
      </c>
      <c r="BA23" s="77">
        <f>IF(BF23="","",WORKDAY.INTL(BF23,BD23*-1,1,Holidays[Date]))</f>
        <v>46364</v>
      </c>
      <c r="BB23" s="77">
        <f ca="1">IFERROR(IF(BC23="",WORKDAY.INTL(AW23,AZ23,1,Holidays[Date]),BC23),"")</f>
        <v>46364</v>
      </c>
      <c r="BC23" s="78"/>
      <c r="BD23" s="80">
        <v>5</v>
      </c>
      <c r="BE23" s="68">
        <v>5</v>
      </c>
      <c r="BF23" s="77">
        <f>IF(BK23="","",WORKDAY.INTL(BK23,BI23*-1,1,Holidays[Date]))</f>
        <v>46371</v>
      </c>
      <c r="BG23" s="77">
        <f ca="1">IFERROR(IF(BH23="",WORKDAY.INTL(BB23,BE23,1,Holidays[Date]),BH23),"")</f>
        <v>46371</v>
      </c>
      <c r="BH23" s="78"/>
      <c r="BI23" s="80">
        <v>10</v>
      </c>
      <c r="BJ23" s="68">
        <v>10</v>
      </c>
      <c r="BK23" s="77">
        <f>IF(BP23="","",WORKDAY.INTL(BP23,BN23*-1,1,Holidays[Date]))</f>
        <v>46387</v>
      </c>
      <c r="BL23" s="77">
        <f ca="1">IFERROR(IF(BM23="",WORKDAY.INTL(BG23,BJ23,1,Holidays[Date]),BM23),"")</f>
        <v>46387</v>
      </c>
      <c r="BM23" s="78"/>
      <c r="BN23" s="80">
        <v>10</v>
      </c>
      <c r="BO23" s="68">
        <v>10</v>
      </c>
      <c r="BP23" s="77">
        <f>IF(BU23="","",WORKDAY.INTL(BU23,BS23*-1,1,Holidays[Date]))</f>
        <v>46402</v>
      </c>
      <c r="BQ23" s="77">
        <f ca="1">IFERROR(IF(BR23="",WORKDAY.INTL(BL23,BO23,1,Holidays[Date]),BR23),"")</f>
        <v>46402</v>
      </c>
      <c r="BR23" s="78"/>
      <c r="BS23" s="80">
        <v>3</v>
      </c>
      <c r="BT23" s="68">
        <v>3</v>
      </c>
      <c r="BU23" s="77">
        <f>IF(BZ23="","",WORKDAY.INTL(BZ23,BX23*-1,1,Holidays[Date]))</f>
        <v>46407</v>
      </c>
      <c r="BV23" s="77">
        <f ca="1">IFERROR(IF(BW23="",WORKDAY.INTL(BQ23,BT23,1,Holidays[Date]),BW23),"")</f>
        <v>46407</v>
      </c>
      <c r="BW23" s="78"/>
      <c r="BX23" s="80">
        <v>150</v>
      </c>
      <c r="BY23" s="68">
        <v>150</v>
      </c>
      <c r="BZ23" s="81">
        <v>46617</v>
      </c>
      <c r="CA23" s="77">
        <f ca="1">IFERROR(IF(CB23="",WORKDAY.INTL(BV23,BY23,1,Holidays[Date]),CB23),"")</f>
        <v>46617</v>
      </c>
      <c r="CB23" s="78"/>
    </row>
    <row r="24" spans="1:80" ht="19" customHeight="1" x14ac:dyDescent="0.35">
      <c r="A24" s="31"/>
      <c r="B24" s="76" t="s">
        <v>11</v>
      </c>
      <c r="C24" s="74" t="s">
        <v>58</v>
      </c>
      <c r="D24" s="8" t="s">
        <v>223</v>
      </c>
      <c r="E24" s="8" t="s">
        <v>227</v>
      </c>
      <c r="F24" s="8" t="s">
        <v>230</v>
      </c>
      <c r="G24" s="8" t="s">
        <v>207</v>
      </c>
      <c r="H24" s="8" t="s">
        <v>212</v>
      </c>
      <c r="I24" s="9" t="s">
        <v>218</v>
      </c>
      <c r="J24" s="8" t="s">
        <v>221</v>
      </c>
      <c r="K24" s="8" t="s">
        <v>416</v>
      </c>
      <c r="L24" s="8"/>
      <c r="M24" s="8"/>
      <c r="N24" s="8"/>
      <c r="O24" s="8"/>
      <c r="P24" s="8"/>
      <c r="Q24" s="2">
        <v>351770</v>
      </c>
      <c r="R24" s="2"/>
      <c r="S24" s="88" t="str">
        <f>IF(tblProcRegister[[#This Row],[Award]]&lt;&gt;"",tblProcRegister[[#This Row],[Budget]]-tblProcRegister[[#This Row],[Award]],"")</f>
        <v/>
      </c>
      <c r="T24" s="68"/>
      <c r="U24" s="68"/>
      <c r="V24" s="68"/>
      <c r="W24" s="77">
        <f>IF(AB24="","",WORKDAY.INTL(AB24,Z24*-1,1,Holidays[Date]))</f>
        <v>45677</v>
      </c>
      <c r="X24" s="77">
        <f t="shared" ca="1" si="0"/>
        <v>46085</v>
      </c>
      <c r="Y24" s="78"/>
      <c r="Z24" s="79">
        <v>15</v>
      </c>
      <c r="AA24" s="68">
        <v>300</v>
      </c>
      <c r="AB24" s="77">
        <f>IF(AG24="","",WORKDAY.INTL(AG24,AE24*-1,1,Holidays[Date]))</f>
        <v>45699</v>
      </c>
      <c r="AC24" s="77">
        <f ca="1">IFERROR(IF(AD24="",WORKDAY.INTL(X24,AA24,1,Holidays[Date]),AD24),"")</f>
        <v>46518</v>
      </c>
      <c r="AD24" s="78"/>
      <c r="AE24" s="80">
        <v>5</v>
      </c>
      <c r="AF24" s="68">
        <v>5</v>
      </c>
      <c r="AG24" s="77">
        <f>IF(AL24="","",WORKDAY.INTL(AL24,AJ24*-1,1,Holidays[Date]))</f>
        <v>45706</v>
      </c>
      <c r="AH24" s="77">
        <f ca="1">IFERROR(IF(AI24="",WORKDAY.INTL(AC24,AF24,1,Holidays[Date]),AI24),"")</f>
        <v>46525</v>
      </c>
      <c r="AI24" s="78"/>
      <c r="AJ24" s="80">
        <v>5</v>
      </c>
      <c r="AK24" s="68">
        <v>5</v>
      </c>
      <c r="AL24" s="77">
        <f>IF(AQ24="","",WORKDAY.INTL(AQ24,AO24*-1,1,Holidays[Date]))</f>
        <v>45713</v>
      </c>
      <c r="AM24" s="77">
        <f ca="1">IFERROR(IF(AN24="",WORKDAY.INTL(AH24,AK24,1,Holidays[Date]),AN24),"")</f>
        <v>46532</v>
      </c>
      <c r="AN24" s="78"/>
      <c r="AO24" s="80">
        <v>5</v>
      </c>
      <c r="AP24" s="68">
        <v>5</v>
      </c>
      <c r="AQ24" s="77">
        <f>IF(AV24="","",WORKDAY.INTL(AV24,AT24*-1,1,Holidays[Date]))</f>
        <v>45721</v>
      </c>
      <c r="AR24" s="77">
        <f ca="1">IFERROR(IF(AS24="",WORKDAY.INTL(AM24,AP24,1,Holidays[Date]),AS24),"")</f>
        <v>46539</v>
      </c>
      <c r="AS24" s="78"/>
      <c r="AT24" s="80">
        <v>20</v>
      </c>
      <c r="AU24" s="68">
        <v>20</v>
      </c>
      <c r="AV24" s="77">
        <f>IF(BA24="","",WORKDAY.INTL(BA24,AY24*-1,1,Holidays[Date]))</f>
        <v>45750</v>
      </c>
      <c r="AW24" s="77">
        <f ca="1">IFERROR(IF(AX24="",WORKDAY.INTL(AR24,AU24,1,Holidays[Date]),AX24),"")</f>
        <v>46567</v>
      </c>
      <c r="AX24" s="78"/>
      <c r="AY24" s="80">
        <v>15</v>
      </c>
      <c r="AZ24" s="68">
        <v>15</v>
      </c>
      <c r="BA24" s="77">
        <f>IF(BF24="","",WORKDAY.INTL(BF24,BD24*-1,1,Holidays[Date]))</f>
        <v>45776</v>
      </c>
      <c r="BB24" s="77">
        <f ca="1">IFERROR(IF(BC24="",WORKDAY.INTL(AW24,AZ24,1,Holidays[Date]),BC24),"")</f>
        <v>46588</v>
      </c>
      <c r="BC24" s="78"/>
      <c r="BD24" s="80">
        <v>5</v>
      </c>
      <c r="BE24" s="68">
        <v>5</v>
      </c>
      <c r="BF24" s="77">
        <f>IF(BK24="","",WORKDAY.INTL(BK24,BI24*-1,1,Holidays[Date]))</f>
        <v>45784</v>
      </c>
      <c r="BG24" s="77">
        <f ca="1">IFERROR(IF(BH24="",WORKDAY.INTL(BB24,BE24,1,Holidays[Date]),BH24),"")</f>
        <v>46595</v>
      </c>
      <c r="BH24" s="78"/>
      <c r="BI24" s="80">
        <v>10</v>
      </c>
      <c r="BJ24" s="68">
        <v>10</v>
      </c>
      <c r="BK24" s="77">
        <f>IF(BP24="","",WORKDAY.INTL(BP24,BN24*-1,1,Holidays[Date]))</f>
        <v>45798</v>
      </c>
      <c r="BL24" s="77">
        <f ca="1">IFERROR(IF(BM24="",WORKDAY.INTL(BG24,BJ24,1,Holidays[Date]),BM24),"")</f>
        <v>46609</v>
      </c>
      <c r="BM24" s="78"/>
      <c r="BN24" s="80">
        <v>10</v>
      </c>
      <c r="BO24" s="68">
        <v>10</v>
      </c>
      <c r="BP24" s="77">
        <f>IF(BU24="","",WORKDAY.INTL(BU24,BS24*-1,1,Holidays[Date]))</f>
        <v>45813</v>
      </c>
      <c r="BQ24" s="77">
        <f ca="1">IFERROR(IF(BR24="",WORKDAY.INTL(BL24,BO24,1,Holidays[Date]),BR24),"")</f>
        <v>46623</v>
      </c>
      <c r="BR24" s="78"/>
      <c r="BS24" s="80">
        <v>3</v>
      </c>
      <c r="BT24" s="68">
        <v>3</v>
      </c>
      <c r="BU24" s="77">
        <f>IF(BZ24="","",WORKDAY.INTL(BZ24,BX24*-1,1,Holidays[Date]))</f>
        <v>45819</v>
      </c>
      <c r="BV24" s="77">
        <f ca="1">IFERROR(IF(BW24="",WORKDAY.INTL(BQ24,BT24,1,Holidays[Date]),BW24),"")</f>
        <v>46626</v>
      </c>
      <c r="BW24" s="78"/>
      <c r="BX24" s="80">
        <v>200</v>
      </c>
      <c r="BY24" s="68">
        <v>200</v>
      </c>
      <c r="BZ24" s="81">
        <v>46113</v>
      </c>
      <c r="CA24" s="77">
        <f ca="1">IFERROR(IF(CB24="",WORKDAY.INTL(BV24,BY24,1,Holidays[Date]),CB24),"")</f>
        <v>46906</v>
      </c>
      <c r="CB24" s="78"/>
    </row>
    <row r="25" spans="1:80" ht="19" customHeight="1" x14ac:dyDescent="0.35">
      <c r="A25" s="31"/>
      <c r="B25" s="76" t="s">
        <v>12</v>
      </c>
      <c r="C25" s="74" t="s">
        <v>59</v>
      </c>
      <c r="D25" s="8" t="s">
        <v>223</v>
      </c>
      <c r="E25" s="8" t="s">
        <v>228</v>
      </c>
      <c r="F25" s="8" t="s">
        <v>230</v>
      </c>
      <c r="G25" s="8" t="s">
        <v>208</v>
      </c>
      <c r="H25" s="8" t="s">
        <v>212</v>
      </c>
      <c r="I25" s="9" t="s">
        <v>218</v>
      </c>
      <c r="J25" s="8" t="s">
        <v>221</v>
      </c>
      <c r="K25" s="8" t="s">
        <v>416</v>
      </c>
      <c r="L25" s="8"/>
      <c r="M25" s="8"/>
      <c r="N25" s="8"/>
      <c r="O25" s="8"/>
      <c r="P25" s="8"/>
      <c r="Q25" s="2">
        <v>426433</v>
      </c>
      <c r="R25" s="2"/>
      <c r="S25" s="88" t="str">
        <f>IF(tblProcRegister[[#This Row],[Award]]&lt;&gt;"",tblProcRegister[[#This Row],[Budget]]-tblProcRegister[[#This Row],[Award]],"")</f>
        <v/>
      </c>
      <c r="T25" s="68"/>
      <c r="U25" s="68"/>
      <c r="V25" s="68"/>
      <c r="W25" s="77">
        <f>IF(AB25="","",WORKDAY.INTL(AB25,Z25*-1,1,Holidays[Date]))</f>
        <v>46268</v>
      </c>
      <c r="X25" s="77">
        <f t="shared" ca="1" si="0"/>
        <v>46268</v>
      </c>
      <c r="Y25" s="78"/>
      <c r="Z25" s="79">
        <v>15</v>
      </c>
      <c r="AA25" s="68">
        <v>300</v>
      </c>
      <c r="AB25" s="77">
        <f>IF(AG25="","",WORKDAY.INTL(AG25,AE25*-1,1,Holidays[Date]))</f>
        <v>46289</v>
      </c>
      <c r="AC25" s="77">
        <f ca="1">IFERROR(IF(AD25="",WORKDAY.INTL(X25,AA25,1,Holidays[Date]),AD25),"")</f>
        <v>46694</v>
      </c>
      <c r="AD25" s="78"/>
      <c r="AE25" s="80">
        <v>5</v>
      </c>
      <c r="AF25" s="68">
        <v>5</v>
      </c>
      <c r="AG25" s="77">
        <f>IF(AL25="","",WORKDAY.INTL(AL25,AJ25*-1,1,Holidays[Date]))</f>
        <v>46296</v>
      </c>
      <c r="AH25" s="77">
        <f ca="1">IFERROR(IF(AI25="",WORKDAY.INTL(AC25,AF25,1,Holidays[Date]),AI25),"")</f>
        <v>46701</v>
      </c>
      <c r="AI25" s="78"/>
      <c r="AJ25" s="80">
        <v>5</v>
      </c>
      <c r="AK25" s="68">
        <v>5</v>
      </c>
      <c r="AL25" s="77">
        <f>IF(AQ25="","",WORKDAY.INTL(AQ25,AO25*-1,1,Holidays[Date]))</f>
        <v>46304</v>
      </c>
      <c r="AM25" s="77">
        <f ca="1">IFERROR(IF(AN25="",WORKDAY.INTL(AH25,AK25,1,Holidays[Date]),AN25),"")</f>
        <v>46708</v>
      </c>
      <c r="AN25" s="78"/>
      <c r="AO25" s="80">
        <v>5</v>
      </c>
      <c r="AP25" s="68">
        <v>5</v>
      </c>
      <c r="AQ25" s="77">
        <f>IF(AV25="","",WORKDAY.INTL(AV25,AT25*-1,1,Holidays[Date]))</f>
        <v>46311</v>
      </c>
      <c r="AR25" s="77">
        <f ca="1">IFERROR(IF(AS25="",WORKDAY.INTL(AM25,AP25,1,Holidays[Date]),AS25),"")</f>
        <v>46715</v>
      </c>
      <c r="AS25" s="78"/>
      <c r="AT25" s="80">
        <v>20</v>
      </c>
      <c r="AU25" s="68">
        <v>20</v>
      </c>
      <c r="AV25" s="77">
        <f>IF(BA25="","",WORKDAY.INTL(BA25,AY25*-1,1,Holidays[Date]))</f>
        <v>46339</v>
      </c>
      <c r="AW25" s="77">
        <f ca="1">IFERROR(IF(AX25="",WORKDAY.INTL(AR25,AU25,1,Holidays[Date]),AX25),"")</f>
        <v>46743</v>
      </c>
      <c r="AX25" s="78"/>
      <c r="AY25" s="80">
        <v>15</v>
      </c>
      <c r="AZ25" s="68">
        <v>15</v>
      </c>
      <c r="BA25" s="77">
        <f>IF(BF25="","",WORKDAY.INTL(BF25,BD25*-1,1,Holidays[Date]))</f>
        <v>46360</v>
      </c>
      <c r="BB25" s="77">
        <f ca="1">IFERROR(IF(BC25="",WORKDAY.INTL(AW25,AZ25,1,Holidays[Date]),BC25),"")</f>
        <v>46764</v>
      </c>
      <c r="BC25" s="78"/>
      <c r="BD25" s="80">
        <v>5</v>
      </c>
      <c r="BE25" s="68">
        <v>5</v>
      </c>
      <c r="BF25" s="77">
        <f>IF(BK25="","",WORKDAY.INTL(BK25,BI25*-1,1,Holidays[Date]))</f>
        <v>46367</v>
      </c>
      <c r="BG25" s="77">
        <f ca="1">IFERROR(IF(BH25="",WORKDAY.INTL(BB25,BE25,1,Holidays[Date]),BH25),"")</f>
        <v>46771</v>
      </c>
      <c r="BH25" s="78"/>
      <c r="BI25" s="80">
        <v>10</v>
      </c>
      <c r="BJ25" s="68">
        <v>10</v>
      </c>
      <c r="BK25" s="77">
        <f>IF(BP25="","",WORKDAY.INTL(BP25,BN25*-1,1,Holidays[Date]))</f>
        <v>46385</v>
      </c>
      <c r="BL25" s="77">
        <f ca="1">IFERROR(IF(BM25="",WORKDAY.INTL(BG25,BJ25,1,Holidays[Date]),BM25),"")</f>
        <v>46785</v>
      </c>
      <c r="BM25" s="78"/>
      <c r="BN25" s="80">
        <v>10</v>
      </c>
      <c r="BO25" s="68">
        <v>10</v>
      </c>
      <c r="BP25" s="77">
        <f>IF(BU25="","",WORKDAY.INTL(BU25,BS25*-1,1,Holidays[Date]))</f>
        <v>46400</v>
      </c>
      <c r="BQ25" s="77">
        <f ca="1">IFERROR(IF(BR25="",WORKDAY.INTL(BL25,BO25,1,Holidays[Date]),BR25),"")</f>
        <v>46799</v>
      </c>
      <c r="BR25" s="78"/>
      <c r="BS25" s="80">
        <v>3</v>
      </c>
      <c r="BT25" s="68">
        <v>3</v>
      </c>
      <c r="BU25" s="77">
        <f>IF(BZ25="","",WORKDAY.INTL(BZ25,BX25*-1,1,Holidays[Date]))</f>
        <v>46405</v>
      </c>
      <c r="BV25" s="77">
        <f ca="1">IFERROR(IF(BW25="",WORKDAY.INTL(BQ25,BT25,1,Holidays[Date]),BW25),"")</f>
        <v>46804</v>
      </c>
      <c r="BW25" s="78"/>
      <c r="BX25" s="80">
        <v>85</v>
      </c>
      <c r="BY25" s="68">
        <v>85</v>
      </c>
      <c r="BZ25" s="81">
        <v>46523</v>
      </c>
      <c r="CA25" s="77">
        <f ca="1">IFERROR(IF(CB25="",WORKDAY.INTL(BV25,BY25,1,Holidays[Date]),CB25),"")</f>
        <v>46923</v>
      </c>
      <c r="CB25" s="78"/>
    </row>
    <row r="26" spans="1:80" ht="19" customHeight="1" x14ac:dyDescent="0.35">
      <c r="A26" s="31"/>
      <c r="B26" s="76" t="s">
        <v>13</v>
      </c>
      <c r="C26" s="74" t="s">
        <v>60</v>
      </c>
      <c r="D26" s="8" t="s">
        <v>223</v>
      </c>
      <c r="E26" s="8" t="s">
        <v>228</v>
      </c>
      <c r="F26" s="8" t="s">
        <v>230</v>
      </c>
      <c r="G26" s="8" t="s">
        <v>208</v>
      </c>
      <c r="H26" s="8" t="s">
        <v>212</v>
      </c>
      <c r="I26" s="9" t="s">
        <v>218</v>
      </c>
      <c r="J26" s="8" t="s">
        <v>221</v>
      </c>
      <c r="K26" s="8" t="s">
        <v>415</v>
      </c>
      <c r="L26" s="8"/>
      <c r="M26" s="8"/>
      <c r="N26" s="8"/>
      <c r="O26" s="8"/>
      <c r="P26" s="8"/>
      <c r="Q26" s="2">
        <v>349293</v>
      </c>
      <c r="R26" s="2"/>
      <c r="S26" s="88" t="str">
        <f>IF(tblProcRegister[[#This Row],[Award]]&lt;&gt;"",tblProcRegister[[#This Row],[Budget]]-tblProcRegister[[#This Row],[Award]],"")</f>
        <v/>
      </c>
      <c r="T26" s="68"/>
      <c r="U26" s="68"/>
      <c r="V26" s="68"/>
      <c r="W26" s="77">
        <f>IF(AB26="","",WORKDAY.INTL(AB26,Z26*-1,1,Holidays[Date]))</f>
        <v>45545</v>
      </c>
      <c r="X26" s="77">
        <f t="shared" ca="1" si="0"/>
        <v>46085</v>
      </c>
      <c r="Y26" s="78"/>
      <c r="Z26" s="79">
        <v>15</v>
      </c>
      <c r="AA26" s="68">
        <v>300</v>
      </c>
      <c r="AB26" s="77">
        <f>IF(AG26="","",WORKDAY.INTL(AG26,AE26*-1,1,Holidays[Date]))</f>
        <v>45568</v>
      </c>
      <c r="AC26" s="77">
        <f ca="1">IFERROR(IF(AD26="",WORKDAY.INTL(X26,AA26,1,Holidays[Date]),AD26),"")</f>
        <v>46518</v>
      </c>
      <c r="AD26" s="78"/>
      <c r="AE26" s="80">
        <v>5</v>
      </c>
      <c r="AF26" s="68">
        <v>5</v>
      </c>
      <c r="AG26" s="77">
        <f>IF(AL26="","",WORKDAY.INTL(AL26,AJ26*-1,1,Holidays[Date]))</f>
        <v>45576</v>
      </c>
      <c r="AH26" s="77">
        <f ca="1">IFERROR(IF(AI26="",WORKDAY.INTL(AC26,AF26,1,Holidays[Date]),AI26),"")</f>
        <v>46525</v>
      </c>
      <c r="AI26" s="78"/>
      <c r="AJ26" s="80">
        <v>5</v>
      </c>
      <c r="AK26" s="68">
        <v>5</v>
      </c>
      <c r="AL26" s="77">
        <f>IF(AQ26="","",WORKDAY.INTL(AQ26,AO26*-1,1,Holidays[Date]))</f>
        <v>45583</v>
      </c>
      <c r="AM26" s="77">
        <f ca="1">IFERROR(IF(AN26="",WORKDAY.INTL(AH26,AK26,1,Holidays[Date]),AN26),"")</f>
        <v>46532</v>
      </c>
      <c r="AN26" s="78"/>
      <c r="AO26" s="80">
        <v>5</v>
      </c>
      <c r="AP26" s="68">
        <v>5</v>
      </c>
      <c r="AQ26" s="77">
        <f>IF(AV26="","",WORKDAY.INTL(AV26,AT26*-1,1,Holidays[Date]))</f>
        <v>45590</v>
      </c>
      <c r="AR26" s="77">
        <f ca="1">IFERROR(IF(AS26="",WORKDAY.INTL(AM26,AP26,1,Holidays[Date]),AS26),"")</f>
        <v>46539</v>
      </c>
      <c r="AS26" s="78"/>
      <c r="AT26" s="80">
        <v>20</v>
      </c>
      <c r="AU26" s="68">
        <v>20</v>
      </c>
      <c r="AV26" s="77">
        <f>IF(BA26="","",WORKDAY.INTL(BA26,AY26*-1,1,Holidays[Date]))</f>
        <v>45621</v>
      </c>
      <c r="AW26" s="77">
        <f ca="1">IFERROR(IF(AX26="",WORKDAY.INTL(AR26,AU26,1,Holidays[Date]),AX26),"")</f>
        <v>46567</v>
      </c>
      <c r="AX26" s="78"/>
      <c r="AY26" s="80">
        <v>15</v>
      </c>
      <c r="AZ26" s="68">
        <v>15</v>
      </c>
      <c r="BA26" s="77">
        <f>IF(BF26="","",WORKDAY.INTL(BF26,BD26*-1,1,Holidays[Date]))</f>
        <v>45642</v>
      </c>
      <c r="BB26" s="77">
        <f ca="1">IFERROR(IF(BC26="",WORKDAY.INTL(AW26,AZ26,1,Holidays[Date]),BC26),"")</f>
        <v>46588</v>
      </c>
      <c r="BC26" s="78"/>
      <c r="BD26" s="80">
        <v>5</v>
      </c>
      <c r="BE26" s="68">
        <v>5</v>
      </c>
      <c r="BF26" s="77">
        <f>IF(BK26="","",WORKDAY.INTL(BK26,BI26*-1,1,Holidays[Date]))</f>
        <v>45649</v>
      </c>
      <c r="BG26" s="77">
        <f ca="1">IFERROR(IF(BH26="",WORKDAY.INTL(BB26,BE26,1,Holidays[Date]),BH26),"")</f>
        <v>46595</v>
      </c>
      <c r="BH26" s="78"/>
      <c r="BI26" s="80">
        <v>10</v>
      </c>
      <c r="BJ26" s="68">
        <v>10</v>
      </c>
      <c r="BK26" s="77">
        <f>IF(BP26="","",WORKDAY.INTL(BP26,BN26*-1,1,Holidays[Date]))</f>
        <v>45666</v>
      </c>
      <c r="BL26" s="77">
        <f ca="1">IFERROR(IF(BM26="",WORKDAY.INTL(BG26,BJ26,1,Holidays[Date]),BM26),"")</f>
        <v>46609</v>
      </c>
      <c r="BM26" s="78"/>
      <c r="BN26" s="80">
        <v>10</v>
      </c>
      <c r="BO26" s="68">
        <v>10</v>
      </c>
      <c r="BP26" s="77">
        <f>IF(BU26="","",WORKDAY.INTL(BU26,BS26*-1,1,Holidays[Date]))</f>
        <v>45680</v>
      </c>
      <c r="BQ26" s="77">
        <f ca="1">IFERROR(IF(BR26="",WORKDAY.INTL(BL26,BO26,1,Holidays[Date]),BR26),"")</f>
        <v>46623</v>
      </c>
      <c r="BR26" s="78"/>
      <c r="BS26" s="80">
        <v>3</v>
      </c>
      <c r="BT26" s="68">
        <v>3</v>
      </c>
      <c r="BU26" s="77">
        <f>IF(BZ26="","",WORKDAY.INTL(BZ26,BX26*-1,1,Holidays[Date]))</f>
        <v>45686</v>
      </c>
      <c r="BV26" s="77">
        <f ca="1">IFERROR(IF(BW26="",WORKDAY.INTL(BQ26,BT26,1,Holidays[Date]),BW26),"")</f>
        <v>46626</v>
      </c>
      <c r="BW26" s="78"/>
      <c r="BX26" s="80">
        <v>90</v>
      </c>
      <c r="BY26" s="68">
        <v>90</v>
      </c>
      <c r="BZ26" s="81">
        <v>45822</v>
      </c>
      <c r="CA26" s="77">
        <f ca="1">IFERROR(IF(CB26="",WORKDAY.INTL(BV26,BY26,1,Holidays[Date]),CB26),"")</f>
        <v>46752</v>
      </c>
      <c r="CB26" s="78"/>
    </row>
    <row r="27" spans="1:80" ht="19" customHeight="1" x14ac:dyDescent="0.35">
      <c r="A27" s="31"/>
      <c r="B27" s="76" t="s">
        <v>14</v>
      </c>
      <c r="C27" s="74" t="s">
        <v>61</v>
      </c>
      <c r="D27" s="8" t="s">
        <v>223</v>
      </c>
      <c r="E27" s="8" t="s">
        <v>229</v>
      </c>
      <c r="F27" s="8" t="s">
        <v>230</v>
      </c>
      <c r="G27" s="8" t="s">
        <v>208</v>
      </c>
      <c r="H27" s="8" t="s">
        <v>213</v>
      </c>
      <c r="I27" s="9" t="s">
        <v>219</v>
      </c>
      <c r="J27" s="8" t="s">
        <v>221</v>
      </c>
      <c r="K27" s="8" t="s">
        <v>414</v>
      </c>
      <c r="L27" s="8"/>
      <c r="M27" s="8"/>
      <c r="N27" s="8"/>
      <c r="O27" s="8"/>
      <c r="P27" s="8"/>
      <c r="Q27" s="2">
        <v>337401</v>
      </c>
      <c r="R27" s="2"/>
      <c r="S27" s="88" t="str">
        <f>IF(tblProcRegister[[#This Row],[Award]]&lt;&gt;"",tblProcRegister[[#This Row],[Budget]]-tblProcRegister[[#This Row],[Award]],"")</f>
        <v/>
      </c>
      <c r="T27" s="68"/>
      <c r="U27" s="68"/>
      <c r="V27" s="68"/>
      <c r="W27" s="77" t="str">
        <f>IF(AB27="","",WORKDAY.INTL(AB27,Z27*-1,1,Holidays[Date]))</f>
        <v/>
      </c>
      <c r="X27" s="77" t="str">
        <f t="shared" ca="1" si="0"/>
        <v/>
      </c>
      <c r="Y27" s="78"/>
      <c r="Z27" s="79"/>
      <c r="AA27" s="68"/>
      <c r="AB27" s="77" t="str">
        <f>IF(AG27="","",WORKDAY.INTL(AG27,AE27*-1,1,Holidays[Date]))</f>
        <v/>
      </c>
      <c r="AC27" s="77" t="str">
        <f ca="1">IFERROR(IF(AD27="",WORKDAY.INTL(X27,AA27,1,Holidays[Date]),AD27),"")</f>
        <v/>
      </c>
      <c r="AD27" s="78"/>
      <c r="AE27" s="80"/>
      <c r="AF27" s="68"/>
      <c r="AG27" s="77" t="str">
        <f>IF(AL27="","",WORKDAY.INTL(AL27,AJ27*-1,1,Holidays[Date]))</f>
        <v/>
      </c>
      <c r="AH27" s="77" t="str">
        <f ca="1">IFERROR(IF(AI27="",WORKDAY.INTL(AC27,AF27,1,Holidays[Date]),AI27),"")</f>
        <v/>
      </c>
      <c r="AI27" s="78"/>
      <c r="AJ27" s="80"/>
      <c r="AK27" s="68"/>
      <c r="AL27" s="77" t="str">
        <f>IF(AQ27="","",WORKDAY.INTL(AQ27,AO27*-1,1,Holidays[Date]))</f>
        <v/>
      </c>
      <c r="AM27" s="77" t="str">
        <f ca="1">IFERROR(IF(AN27="",WORKDAY.INTL(AH27,AK27,1,Holidays[Date]),AN27),"")</f>
        <v/>
      </c>
      <c r="AN27" s="78"/>
      <c r="AO27" s="80"/>
      <c r="AP27" s="68"/>
      <c r="AQ27" s="77" t="str">
        <f>IF(AV27="","",WORKDAY.INTL(AV27,AT27*-1,1,Holidays[Date]))</f>
        <v/>
      </c>
      <c r="AR27" s="77" t="str">
        <f ca="1">IFERROR(IF(AS27="",WORKDAY.INTL(AM27,AP27,1,Holidays[Date]),AS27),"")</f>
        <v/>
      </c>
      <c r="AS27" s="78"/>
      <c r="AT27" s="80"/>
      <c r="AU27" s="68"/>
      <c r="AV27" s="77" t="str">
        <f>IF(BA27="","",WORKDAY.INTL(BA27,AY27*-1,1,Holidays[Date]))</f>
        <v/>
      </c>
      <c r="AW27" s="77" t="str">
        <f ca="1">IFERROR(IF(AX27="",WORKDAY.INTL(AR27,AU27,1,Holidays[Date]),AX27),"")</f>
        <v/>
      </c>
      <c r="AX27" s="78"/>
      <c r="AY27" s="80"/>
      <c r="AZ27" s="68"/>
      <c r="BA27" s="77" t="str">
        <f>IF(BF27="","",WORKDAY.INTL(BF27,BD27*-1,1,Holidays[Date]))</f>
        <v/>
      </c>
      <c r="BB27" s="77" t="str">
        <f ca="1">IFERROR(IF(BC27="",WORKDAY.INTL(AW27,AZ27,1,Holidays[Date]),BC27),"")</f>
        <v/>
      </c>
      <c r="BC27" s="78"/>
      <c r="BD27" s="80"/>
      <c r="BE27" s="68"/>
      <c r="BF27" s="77" t="str">
        <f>IF(BK27="","",WORKDAY.INTL(BK27,BI27*-1,1,Holidays[Date]))</f>
        <v/>
      </c>
      <c r="BG27" s="77" t="str">
        <f ca="1">IFERROR(IF(BH27="",WORKDAY.INTL(BB27,BE27,1,Holidays[Date]),BH27),"")</f>
        <v/>
      </c>
      <c r="BH27" s="78"/>
      <c r="BI27" s="80"/>
      <c r="BJ27" s="68"/>
      <c r="BK27" s="77" t="str">
        <f>IF(BP27="","",WORKDAY.INTL(BP27,BN27*-1,1,Holidays[Date]))</f>
        <v/>
      </c>
      <c r="BL27" s="77" t="str">
        <f ca="1">IFERROR(IF(BM27="",WORKDAY.INTL(BG27,BJ27,1,Holidays[Date]),BM27),"")</f>
        <v/>
      </c>
      <c r="BM27" s="78"/>
      <c r="BN27" s="80"/>
      <c r="BO27" s="68"/>
      <c r="BP27" s="77" t="str">
        <f>IF(BU27="","",WORKDAY.INTL(BU27,BS27*-1,1,Holidays[Date]))</f>
        <v/>
      </c>
      <c r="BQ27" s="77" t="str">
        <f ca="1">IFERROR(IF(BR27="",WORKDAY.INTL(BL27,BO27,1,Holidays[Date]),BR27),"")</f>
        <v/>
      </c>
      <c r="BR27" s="78"/>
      <c r="BS27" s="80"/>
      <c r="BT27" s="68"/>
      <c r="BU27" s="77" t="str">
        <f>IF(BZ27="","",WORKDAY.INTL(BZ27,BX27*-1,1,Holidays[Date]))</f>
        <v/>
      </c>
      <c r="BV27" s="77" t="str">
        <f ca="1">IFERROR(IF(BW27="",WORKDAY.INTL(BQ27,BT27,1,Holidays[Date]),BW27),"")</f>
        <v/>
      </c>
      <c r="BW27" s="78"/>
      <c r="BX27" s="80"/>
      <c r="BY27" s="68"/>
      <c r="BZ27" s="81"/>
      <c r="CA27" s="77" t="str">
        <f ca="1">IFERROR(IF(CB27="",WORKDAY.INTL(BV27,BY27,1,Holidays[Date]),CB27),"")</f>
        <v/>
      </c>
      <c r="CB27" s="78"/>
    </row>
    <row r="28" spans="1:80" ht="19" customHeight="1" x14ac:dyDescent="0.35">
      <c r="A28" s="31"/>
      <c r="B28" s="76" t="s">
        <v>15</v>
      </c>
      <c r="C28" s="74" t="s">
        <v>62</v>
      </c>
      <c r="D28" s="8" t="s">
        <v>223</v>
      </c>
      <c r="E28" s="8" t="s">
        <v>229</v>
      </c>
      <c r="F28" s="8" t="s">
        <v>230</v>
      </c>
      <c r="G28" s="8" t="s">
        <v>209</v>
      </c>
      <c r="H28" s="8" t="s">
        <v>213</v>
      </c>
      <c r="I28" s="9" t="s">
        <v>219</v>
      </c>
      <c r="J28" s="8" t="s">
        <v>221</v>
      </c>
      <c r="K28" s="8" t="s">
        <v>414</v>
      </c>
      <c r="L28" s="8"/>
      <c r="M28" s="8"/>
      <c r="N28" s="8"/>
      <c r="O28" s="8"/>
      <c r="P28" s="8"/>
      <c r="Q28" s="2">
        <v>179627</v>
      </c>
      <c r="R28" s="2"/>
      <c r="S28" s="88" t="str">
        <f>IF(tblProcRegister[[#This Row],[Award]]&lt;&gt;"",tblProcRegister[[#This Row],[Budget]]-tblProcRegister[[#This Row],[Award]],"")</f>
        <v/>
      </c>
      <c r="T28" s="68"/>
      <c r="U28" s="68"/>
      <c r="V28" s="68"/>
      <c r="W28" s="77" t="str">
        <f>IF(AB28="","",WORKDAY.INTL(AB28,Z28*-1,1,Holidays[Date]))</f>
        <v/>
      </c>
      <c r="X28" s="77" t="str">
        <f t="shared" ca="1" si="0"/>
        <v/>
      </c>
      <c r="Y28" s="78"/>
      <c r="Z28" s="79"/>
      <c r="AA28" s="68"/>
      <c r="AB28" s="77" t="str">
        <f>IF(AG28="","",WORKDAY.INTL(AG28,AE28*-1,1,Holidays[Date]))</f>
        <v/>
      </c>
      <c r="AC28" s="77" t="str">
        <f ca="1">IFERROR(IF(AD28="",WORKDAY.INTL(X28,AA28,1,Holidays[Date]),AD28),"")</f>
        <v/>
      </c>
      <c r="AD28" s="78"/>
      <c r="AE28" s="80"/>
      <c r="AF28" s="68"/>
      <c r="AG28" s="77" t="str">
        <f>IF(AL28="","",WORKDAY.INTL(AL28,AJ28*-1,1,Holidays[Date]))</f>
        <v/>
      </c>
      <c r="AH28" s="77" t="str">
        <f ca="1">IFERROR(IF(AI28="",WORKDAY.INTL(AC28,AF28,1,Holidays[Date]),AI28),"")</f>
        <v/>
      </c>
      <c r="AI28" s="78"/>
      <c r="AJ28" s="80"/>
      <c r="AK28" s="68"/>
      <c r="AL28" s="77" t="str">
        <f>IF(AQ28="","",WORKDAY.INTL(AQ28,AO28*-1,1,Holidays[Date]))</f>
        <v/>
      </c>
      <c r="AM28" s="77" t="str">
        <f ca="1">IFERROR(IF(AN28="",WORKDAY.INTL(AH28,AK28,1,Holidays[Date]),AN28),"")</f>
        <v/>
      </c>
      <c r="AN28" s="78"/>
      <c r="AO28" s="80"/>
      <c r="AP28" s="68"/>
      <c r="AQ28" s="77" t="str">
        <f>IF(AV28="","",WORKDAY.INTL(AV28,AT28*-1,1,Holidays[Date]))</f>
        <v/>
      </c>
      <c r="AR28" s="77" t="str">
        <f ca="1">IFERROR(IF(AS28="",WORKDAY.INTL(AM28,AP28,1,Holidays[Date]),AS28),"")</f>
        <v/>
      </c>
      <c r="AS28" s="78"/>
      <c r="AT28" s="80"/>
      <c r="AU28" s="68"/>
      <c r="AV28" s="77" t="str">
        <f>IF(BA28="","",WORKDAY.INTL(BA28,AY28*-1,1,Holidays[Date]))</f>
        <v/>
      </c>
      <c r="AW28" s="77" t="str">
        <f ca="1">IFERROR(IF(AX28="",WORKDAY.INTL(AR28,AU28,1,Holidays[Date]),AX28),"")</f>
        <v/>
      </c>
      <c r="AX28" s="78"/>
      <c r="AY28" s="80"/>
      <c r="AZ28" s="68"/>
      <c r="BA28" s="77" t="str">
        <f>IF(BF28="","",WORKDAY.INTL(BF28,BD28*-1,1,Holidays[Date]))</f>
        <v/>
      </c>
      <c r="BB28" s="77" t="str">
        <f ca="1">IFERROR(IF(BC28="",WORKDAY.INTL(AW28,AZ28,1,Holidays[Date]),BC28),"")</f>
        <v/>
      </c>
      <c r="BC28" s="78"/>
      <c r="BD28" s="80"/>
      <c r="BE28" s="68"/>
      <c r="BF28" s="77" t="str">
        <f>IF(BK28="","",WORKDAY.INTL(BK28,BI28*-1,1,Holidays[Date]))</f>
        <v/>
      </c>
      <c r="BG28" s="77" t="str">
        <f ca="1">IFERROR(IF(BH28="",WORKDAY.INTL(BB28,BE28,1,Holidays[Date]),BH28),"")</f>
        <v/>
      </c>
      <c r="BH28" s="78"/>
      <c r="BI28" s="80"/>
      <c r="BJ28" s="68"/>
      <c r="BK28" s="77" t="str">
        <f>IF(BP28="","",WORKDAY.INTL(BP28,BN28*-1,1,Holidays[Date]))</f>
        <v/>
      </c>
      <c r="BL28" s="77" t="str">
        <f ca="1">IFERROR(IF(BM28="",WORKDAY.INTL(BG28,BJ28,1,Holidays[Date]),BM28),"")</f>
        <v/>
      </c>
      <c r="BM28" s="78"/>
      <c r="BN28" s="80"/>
      <c r="BO28" s="68"/>
      <c r="BP28" s="77" t="str">
        <f>IF(BU28="","",WORKDAY.INTL(BU28,BS28*-1,1,Holidays[Date]))</f>
        <v/>
      </c>
      <c r="BQ28" s="77" t="str">
        <f ca="1">IFERROR(IF(BR28="",WORKDAY.INTL(BL28,BO28,1,Holidays[Date]),BR28),"")</f>
        <v/>
      </c>
      <c r="BR28" s="78"/>
      <c r="BS28" s="80"/>
      <c r="BT28" s="68"/>
      <c r="BU28" s="77" t="str">
        <f>IF(BZ28="","",WORKDAY.INTL(BZ28,BX28*-1,1,Holidays[Date]))</f>
        <v/>
      </c>
      <c r="BV28" s="77" t="str">
        <f ca="1">IFERROR(IF(BW28="",WORKDAY.INTL(BQ28,BT28,1,Holidays[Date]),BW28),"")</f>
        <v/>
      </c>
      <c r="BW28" s="78"/>
      <c r="BX28" s="80"/>
      <c r="BY28" s="68"/>
      <c r="BZ28" s="81"/>
      <c r="CA28" s="77" t="str">
        <f ca="1">IFERROR(IF(CB28="",WORKDAY.INTL(BV28,BY28,1,Holidays[Date]),CB28),"")</f>
        <v/>
      </c>
      <c r="CB28" s="78"/>
    </row>
    <row r="29" spans="1:80" ht="19" customHeight="1" x14ac:dyDescent="0.35">
      <c r="A29" s="31"/>
      <c r="B29" s="82"/>
      <c r="C29" s="1"/>
      <c r="D29" s="8"/>
      <c r="E29" s="8"/>
      <c r="F29" s="8"/>
      <c r="G29" s="8"/>
      <c r="H29" s="8"/>
      <c r="I29" s="9"/>
      <c r="J29" s="8"/>
      <c r="K29" s="8"/>
      <c r="L29" s="8"/>
      <c r="M29" s="8"/>
      <c r="N29" s="8"/>
      <c r="O29" s="8"/>
      <c r="P29" s="8"/>
      <c r="Q29" s="2"/>
      <c r="R29" s="2"/>
      <c r="S29" s="88" t="str">
        <f>IF(tblProcRegister[[#This Row],[Award]]&lt;&gt;"",tblProcRegister[[#This Row],[Budget]]-tblProcRegister[[#This Row],[Award]],"")</f>
        <v/>
      </c>
      <c r="T29" s="68"/>
      <c r="U29" s="68"/>
      <c r="V29" s="68"/>
      <c r="W29" s="77" t="str">
        <f>IF(AB29="","",WORKDAY.INTL(AB29,Z29*-1,1,Holidays[Date]))</f>
        <v/>
      </c>
      <c r="X29" s="77" t="str">
        <f t="shared" ca="1" si="0"/>
        <v/>
      </c>
      <c r="Y29" s="78"/>
      <c r="Z29" s="79"/>
      <c r="AA29" s="68"/>
      <c r="AB29" s="77" t="str">
        <f>IF(AG29="","",WORKDAY.INTL(AG29,AE29*-1,1,Holidays[Date]))</f>
        <v/>
      </c>
      <c r="AC29" s="77" t="str">
        <f ca="1">IFERROR(IF(AD29="",WORKDAY.INTL(X29,AA29,1,Holidays[Date]),AD29),"")</f>
        <v/>
      </c>
      <c r="AD29" s="78"/>
      <c r="AE29" s="80"/>
      <c r="AF29" s="68"/>
      <c r="AG29" s="77" t="str">
        <f>IF(AL29="","",WORKDAY.INTL(AL29,AJ29*-1,1,Holidays[Date]))</f>
        <v/>
      </c>
      <c r="AH29" s="77" t="str">
        <f ca="1">IFERROR(IF(AI29="",WORKDAY.INTL(AC29,AF29,1,Holidays[Date]),AI29),"")</f>
        <v/>
      </c>
      <c r="AI29" s="78"/>
      <c r="AJ29" s="80"/>
      <c r="AK29" s="68"/>
      <c r="AL29" s="77" t="str">
        <f>IF(AQ29="","",WORKDAY.INTL(AQ29,AO29*-1,1,Holidays[Date]))</f>
        <v/>
      </c>
      <c r="AM29" s="77" t="str">
        <f ca="1">IFERROR(IF(AN29="",WORKDAY.INTL(AH29,AK29,1,Holidays[Date]),AN29),"")</f>
        <v/>
      </c>
      <c r="AN29" s="78"/>
      <c r="AO29" s="80"/>
      <c r="AP29" s="68"/>
      <c r="AQ29" s="77" t="str">
        <f>IF(AV29="","",WORKDAY.INTL(AV29,AT29*-1,1,Holidays[Date]))</f>
        <v/>
      </c>
      <c r="AR29" s="77" t="str">
        <f ca="1">IFERROR(IF(AS29="",WORKDAY.INTL(AM29,AP29,1,Holidays[Date]),AS29),"")</f>
        <v/>
      </c>
      <c r="AS29" s="78"/>
      <c r="AT29" s="80"/>
      <c r="AU29" s="68"/>
      <c r="AV29" s="77" t="str">
        <f>IF(BA29="","",WORKDAY.INTL(BA29,AY29*-1,1,Holidays[Date]))</f>
        <v/>
      </c>
      <c r="AW29" s="77" t="str">
        <f ca="1">IFERROR(IF(AX29="",WORKDAY.INTL(AR29,AU29,1,Holidays[Date]),AX29),"")</f>
        <v/>
      </c>
      <c r="AX29" s="78"/>
      <c r="AY29" s="80"/>
      <c r="AZ29" s="68"/>
      <c r="BA29" s="77" t="str">
        <f>IF(BF29="","",WORKDAY.INTL(BF29,BD29*-1,1,Holidays[Date]))</f>
        <v/>
      </c>
      <c r="BB29" s="77" t="str">
        <f ca="1">IFERROR(IF(BC29="",WORKDAY.INTL(AW29,AZ29,1,Holidays[Date]),BC29),"")</f>
        <v/>
      </c>
      <c r="BC29" s="78"/>
      <c r="BD29" s="80"/>
      <c r="BE29" s="68"/>
      <c r="BF29" s="77" t="str">
        <f>IF(BK29="","",WORKDAY.INTL(BK29,BI29*-1,1,Holidays[Date]))</f>
        <v/>
      </c>
      <c r="BG29" s="77" t="str">
        <f ca="1">IFERROR(IF(BH29="",WORKDAY.INTL(BB29,BE29,1,Holidays[Date]),BH29),"")</f>
        <v/>
      </c>
      <c r="BH29" s="78"/>
      <c r="BI29" s="80"/>
      <c r="BJ29" s="68"/>
      <c r="BK29" s="77" t="str">
        <f>IF(BP29="","",WORKDAY.INTL(BP29,BN29*-1,1,Holidays[Date]))</f>
        <v/>
      </c>
      <c r="BL29" s="77" t="str">
        <f ca="1">IFERROR(IF(BM29="",WORKDAY.INTL(BG29,BJ29,1,Holidays[Date]),BM29),"")</f>
        <v/>
      </c>
      <c r="BM29" s="78"/>
      <c r="BN29" s="80"/>
      <c r="BO29" s="68"/>
      <c r="BP29" s="77" t="str">
        <f>IF(BU29="","",WORKDAY.INTL(BU29,BS29*-1,1,Holidays[Date]))</f>
        <v/>
      </c>
      <c r="BQ29" s="77" t="str">
        <f ca="1">IFERROR(IF(BR29="",WORKDAY.INTL(BL29,BO29,1,Holidays[Date]),BR29),"")</f>
        <v/>
      </c>
      <c r="BR29" s="78"/>
      <c r="BS29" s="80"/>
      <c r="BT29" s="68"/>
      <c r="BU29" s="77" t="str">
        <f>IF(BZ29="","",WORKDAY.INTL(BZ29,BX29*-1,1,Holidays[Date]))</f>
        <v/>
      </c>
      <c r="BV29" s="77" t="str">
        <f ca="1">IFERROR(IF(BW29="",WORKDAY.INTL(BQ29,BT29,1,Holidays[Date]),BW29),"")</f>
        <v/>
      </c>
      <c r="BW29" s="78"/>
      <c r="BX29" s="80"/>
      <c r="BY29" s="68"/>
      <c r="BZ29" s="81"/>
      <c r="CA29" s="77" t="str">
        <f ca="1">IFERROR(IF(CB29="",WORKDAY.INTL(BV29,BY29,1,Holidays[Date]),CB29),"")</f>
        <v/>
      </c>
      <c r="CB29" s="78"/>
    </row>
    <row r="30" spans="1:80" ht="19" customHeight="1" x14ac:dyDescent="0.35">
      <c r="A30" s="31"/>
      <c r="B30" s="83"/>
      <c r="C30" s="64"/>
      <c r="D30" s="65"/>
      <c r="E30" s="65"/>
      <c r="F30" s="65"/>
      <c r="G30" s="65"/>
      <c r="H30" s="65"/>
      <c r="I30" s="66"/>
      <c r="J30" s="65"/>
      <c r="K30" s="65"/>
      <c r="L30" s="65"/>
      <c r="M30" s="65"/>
      <c r="N30" s="65"/>
      <c r="O30" s="65"/>
      <c r="P30" s="65"/>
      <c r="Q30" s="67"/>
      <c r="R30" s="75"/>
      <c r="S30" s="88" t="str">
        <f>IF(tblProcRegister[[#This Row],[Award]]&lt;&gt;"",tblProcRegister[[#This Row],[Budget]]-tblProcRegister[[#This Row],[Award]],"")</f>
        <v/>
      </c>
      <c r="T30" s="84"/>
      <c r="U30" s="68"/>
      <c r="V30" s="68"/>
      <c r="W30" s="69" t="str">
        <f>IF(AB30="","",WORKDAY.INTL(AB30,Z30*-1,1,Holidays[Date]))</f>
        <v/>
      </c>
      <c r="X30" s="69" t="str">
        <f t="shared" ca="1" si="0"/>
        <v/>
      </c>
      <c r="Y30" s="85"/>
      <c r="Z30" s="86"/>
      <c r="AA30" s="68"/>
      <c r="AB30" s="69" t="str">
        <f>IF(AG30="","",WORKDAY.INTL(AG30,AE30*-1,1,Holidays[Date]))</f>
        <v/>
      </c>
      <c r="AC30" s="69" t="str">
        <f ca="1">IFERROR(IF(AD30="",WORKDAY.INTL(X30,AA30,1,Holidays[Date]),AD30),"")</f>
        <v/>
      </c>
      <c r="AD30" s="85"/>
      <c r="AE30" s="87"/>
      <c r="AF30" s="68"/>
      <c r="AG30" s="69" t="str">
        <f>IF(AL30="","",WORKDAY.INTL(AL30,AJ30*-1,1,Holidays[Date]))</f>
        <v/>
      </c>
      <c r="AH30" s="69" t="str">
        <f ca="1">IFERROR(IF(AI30="",WORKDAY.INTL(AC30,AF30,1,Holidays[Date]),AI30),"")</f>
        <v/>
      </c>
      <c r="AI30" s="85"/>
      <c r="AJ30" s="87"/>
      <c r="AK30" s="68"/>
      <c r="AL30" s="69" t="str">
        <f>IF(AQ30="","",WORKDAY.INTL(AQ30,AO30*-1,1,Holidays[Date]))</f>
        <v/>
      </c>
      <c r="AM30" s="69" t="str">
        <f ca="1">IFERROR(IF(AN30="",WORKDAY.INTL(AH30,AK30,1,Holidays[Date]),AN30),"")</f>
        <v/>
      </c>
      <c r="AN30" s="85"/>
      <c r="AO30" s="87"/>
      <c r="AP30" s="68"/>
      <c r="AQ30" s="69" t="str">
        <f>IF(AV30="","",WORKDAY.INTL(AV30,AT30*-1,1,Holidays[Date]))</f>
        <v/>
      </c>
      <c r="AR30" s="69" t="str">
        <f ca="1">IFERROR(IF(AS30="",WORKDAY.INTL(AM30,AP30,1,Holidays[Date]),AS30),"")</f>
        <v/>
      </c>
      <c r="AS30" s="85"/>
      <c r="AT30" s="87"/>
      <c r="AU30" s="68"/>
      <c r="AV30" s="69" t="str">
        <f>IF(BA30="","",WORKDAY.INTL(BA30,AY30*-1,1,Holidays[Date]))</f>
        <v/>
      </c>
      <c r="AW30" s="69" t="str">
        <f ca="1">IFERROR(IF(AX30="",WORKDAY.INTL(AR30,AU30,1,Holidays[Date]),AX30),"")</f>
        <v/>
      </c>
      <c r="AX30" s="85"/>
      <c r="AY30" s="87"/>
      <c r="AZ30" s="68"/>
      <c r="BA30" s="69" t="str">
        <f>IF(BF30="","",WORKDAY.INTL(BF30,BD30*-1,1,Holidays[Date]))</f>
        <v/>
      </c>
      <c r="BB30" s="69" t="str">
        <f ca="1">IFERROR(IF(BC30="",WORKDAY.INTL(AW30,AZ30,1,Holidays[Date]),BC30),"")</f>
        <v/>
      </c>
      <c r="BC30" s="85"/>
      <c r="BD30" s="87"/>
      <c r="BE30" s="68"/>
      <c r="BF30" s="69" t="str">
        <f>IF(BK30="","",WORKDAY.INTL(BK30,BI30*-1,1,Holidays[Date]))</f>
        <v/>
      </c>
      <c r="BG30" s="69" t="str">
        <f ca="1">IFERROR(IF(BH30="",WORKDAY.INTL(BB30,BE30,1,Holidays[Date]),BH30),"")</f>
        <v/>
      </c>
      <c r="BH30" s="85"/>
      <c r="BI30" s="87"/>
      <c r="BJ30" s="68"/>
      <c r="BK30" s="77" t="str">
        <f>IF(BP30="","",WORKDAY.INTL(BP30,BN30*-1,1,Holidays[Date]))</f>
        <v/>
      </c>
      <c r="BL30" s="69" t="str">
        <f ca="1">IFERROR(IF(BM30="",WORKDAY.INTL(BG30,BJ30,1,Holidays[Date]),BM30),"")</f>
        <v/>
      </c>
      <c r="BM30" s="85"/>
      <c r="BN30" s="87"/>
      <c r="BO30" s="68"/>
      <c r="BP30" s="69" t="str">
        <f>IF(BU30="","",WORKDAY.INTL(BU30,BS30*-1,1,Holidays[Date]))</f>
        <v/>
      </c>
      <c r="BQ30" s="77" t="str">
        <f ca="1">IFERROR(IF(BR30="",WORKDAY.INTL(BL30,BO30,1,Holidays[Date]),BR30),"")</f>
        <v/>
      </c>
      <c r="BR30" s="85"/>
      <c r="BS30" s="87"/>
      <c r="BT30" s="68"/>
      <c r="BU30" s="69" t="str">
        <f>IF(BZ30="","",WORKDAY.INTL(BZ30,BX30*-1,1,Holidays[Date]))</f>
        <v/>
      </c>
      <c r="BV30" s="69" t="str">
        <f ca="1">IFERROR(IF(BW30="",WORKDAY.INTL(BQ30,BT30,1,Holidays[Date]),BW30),"")</f>
        <v/>
      </c>
      <c r="BW30" s="85"/>
      <c r="BX30" s="87"/>
      <c r="BY30" s="68"/>
      <c r="BZ30" s="70"/>
      <c r="CA30" s="69" t="str">
        <f ca="1">IFERROR(IF(CB30="",WORKDAY.INTL(BV30,BY30,1,Holidays[Date]),CB30),"")</f>
        <v/>
      </c>
      <c r="CB30" s="85"/>
    </row>
    <row r="31" spans="1:80" ht="19" customHeight="1" x14ac:dyDescent="0.35">
      <c r="A31" s="31"/>
      <c r="B31" s="83"/>
      <c r="C31" s="64"/>
      <c r="D31" s="65"/>
      <c r="E31" s="65"/>
      <c r="F31" s="65"/>
      <c r="G31" s="65"/>
      <c r="H31" s="65"/>
      <c r="I31" s="66"/>
      <c r="J31" s="65"/>
      <c r="K31" s="65"/>
      <c r="L31" s="65"/>
      <c r="M31" s="65"/>
      <c r="N31" s="65"/>
      <c r="O31" s="65"/>
      <c r="P31" s="65"/>
      <c r="Q31" s="67"/>
      <c r="R31" s="75"/>
      <c r="S31" s="88" t="str">
        <f>IF(tblProcRegister[[#This Row],[Award]]&lt;&gt;"",tblProcRegister[[#This Row],[Budget]]-tblProcRegister[[#This Row],[Award]],"")</f>
        <v/>
      </c>
      <c r="T31" s="84"/>
      <c r="U31" s="68"/>
      <c r="V31" s="68"/>
      <c r="W31" s="69" t="str">
        <f>IF(AB31="","",WORKDAY.INTL(AB31,Z31*-1,1,Holidays[Date]))</f>
        <v/>
      </c>
      <c r="X31" s="69" t="str">
        <f t="shared" ca="1" si="0"/>
        <v/>
      </c>
      <c r="Y31" s="85"/>
      <c r="Z31" s="86"/>
      <c r="AA31" s="68"/>
      <c r="AB31" s="69" t="str">
        <f>IF(AG31="","",WORKDAY.INTL(AG31,AE31*-1,1,Holidays[Date]))</f>
        <v/>
      </c>
      <c r="AC31" s="69" t="str">
        <f ca="1">IFERROR(IF(AD31="",WORKDAY.INTL(X31,AA31,1,Holidays[Date]),AD31),"")</f>
        <v/>
      </c>
      <c r="AD31" s="85"/>
      <c r="AE31" s="87"/>
      <c r="AF31" s="68"/>
      <c r="AG31" s="69" t="str">
        <f>IF(AL31="","",WORKDAY.INTL(AL31,AJ31*-1,1,Holidays[Date]))</f>
        <v/>
      </c>
      <c r="AH31" s="69" t="str">
        <f ca="1">IFERROR(IF(AI31="",WORKDAY.INTL(AC31,AF31,1,Holidays[Date]),AI31),"")</f>
        <v/>
      </c>
      <c r="AI31" s="85"/>
      <c r="AJ31" s="87"/>
      <c r="AK31" s="68"/>
      <c r="AL31" s="69" t="str">
        <f>IF(AQ31="","",WORKDAY.INTL(AQ31,AO31*-1,1,Holidays[Date]))</f>
        <v/>
      </c>
      <c r="AM31" s="69" t="str">
        <f ca="1">IFERROR(IF(AN31="",WORKDAY.INTL(AH31,AK31,1,Holidays[Date]),AN31),"")</f>
        <v/>
      </c>
      <c r="AN31" s="85"/>
      <c r="AO31" s="87"/>
      <c r="AP31" s="68"/>
      <c r="AQ31" s="69" t="str">
        <f>IF(AV31="","",WORKDAY.INTL(AV31,AT31*-1,1,Holidays[Date]))</f>
        <v/>
      </c>
      <c r="AR31" s="69" t="str">
        <f ca="1">IFERROR(IF(AS31="",WORKDAY.INTL(AM31,AP31,1,Holidays[Date]),AS31),"")</f>
        <v/>
      </c>
      <c r="AS31" s="85"/>
      <c r="AT31" s="87"/>
      <c r="AU31" s="68"/>
      <c r="AV31" s="69" t="str">
        <f>IF(BA31="","",WORKDAY.INTL(BA31,AY31*-1,1,Holidays[Date]))</f>
        <v/>
      </c>
      <c r="AW31" s="69" t="str">
        <f ca="1">IFERROR(IF(AX31="",WORKDAY.INTL(AR31,AU31,1,Holidays[Date]),AX31),"")</f>
        <v/>
      </c>
      <c r="AX31" s="85"/>
      <c r="AY31" s="87"/>
      <c r="AZ31" s="68"/>
      <c r="BA31" s="69" t="str">
        <f>IF(BF31="","",WORKDAY.INTL(BF31,BD31*-1,1,Holidays[Date]))</f>
        <v/>
      </c>
      <c r="BB31" s="69" t="str">
        <f ca="1">IFERROR(IF(BC31="",WORKDAY.INTL(AW31,AZ31,1,Holidays[Date]),BC31),"")</f>
        <v/>
      </c>
      <c r="BC31" s="85"/>
      <c r="BD31" s="87"/>
      <c r="BE31" s="68"/>
      <c r="BF31" s="69" t="str">
        <f>IF(BK31="","",WORKDAY.INTL(BK31,BI31*-1,1,Holidays[Date]))</f>
        <v/>
      </c>
      <c r="BG31" s="69" t="str">
        <f ca="1">IFERROR(IF(BH31="",WORKDAY.INTL(BB31,BE31,1,Holidays[Date]),BH31),"")</f>
        <v/>
      </c>
      <c r="BH31" s="85"/>
      <c r="BI31" s="87"/>
      <c r="BJ31" s="68"/>
      <c r="BK31" s="77" t="str">
        <f>IF(BP31="","",WORKDAY.INTL(BP31,BN31*-1,1,Holidays[Date]))</f>
        <v/>
      </c>
      <c r="BL31" s="69" t="str">
        <f ca="1">IFERROR(IF(BM31="",WORKDAY.INTL(BG31,BJ31,1,Holidays[Date]),BM31),"")</f>
        <v/>
      </c>
      <c r="BM31" s="85"/>
      <c r="BN31" s="87"/>
      <c r="BO31" s="68"/>
      <c r="BP31" s="69" t="str">
        <f>IF(BU31="","",WORKDAY.INTL(BU31,BS31*-1,1,Holidays[Date]))</f>
        <v/>
      </c>
      <c r="BQ31" s="77" t="str">
        <f ca="1">IFERROR(IF(BR31="",WORKDAY.INTL(BL31,BO31,1,Holidays[Date]),BR31),"")</f>
        <v/>
      </c>
      <c r="BR31" s="85"/>
      <c r="BS31" s="87"/>
      <c r="BT31" s="68"/>
      <c r="BU31" s="69" t="str">
        <f>IF(BZ31="","",WORKDAY.INTL(BZ31,BX31*-1,1,Holidays[Date]))</f>
        <v/>
      </c>
      <c r="BV31" s="69" t="str">
        <f ca="1">IFERROR(IF(BW31="",WORKDAY.INTL(BQ31,BT31,1,Holidays[Date]),BW31),"")</f>
        <v/>
      </c>
      <c r="BW31" s="85"/>
      <c r="BX31" s="87"/>
      <c r="BY31" s="68"/>
      <c r="BZ31" s="70"/>
      <c r="CA31" s="69" t="str">
        <f ca="1">IFERROR(IF(CB31="",WORKDAY.INTL(BV31,BY31,1,Holidays[Date]),CB31),"")</f>
        <v/>
      </c>
      <c r="CB31" s="85"/>
    </row>
    <row r="32" spans="1:80" ht="19" customHeight="1" x14ac:dyDescent="0.35">
      <c r="A32" s="31"/>
      <c r="B32" s="83"/>
      <c r="C32" s="64"/>
      <c r="D32" s="65"/>
      <c r="E32" s="65"/>
      <c r="F32" s="65"/>
      <c r="G32" s="65"/>
      <c r="H32" s="65"/>
      <c r="I32" s="66"/>
      <c r="J32" s="65"/>
      <c r="K32" s="65"/>
      <c r="L32" s="65"/>
      <c r="M32" s="65"/>
      <c r="N32" s="65"/>
      <c r="O32" s="65"/>
      <c r="P32" s="65"/>
      <c r="Q32" s="67"/>
      <c r="R32" s="75"/>
      <c r="S32" s="88" t="str">
        <f>IF(tblProcRegister[[#This Row],[Award]]&lt;&gt;"",tblProcRegister[[#This Row],[Budget]]-tblProcRegister[[#This Row],[Award]],"")</f>
        <v/>
      </c>
      <c r="T32" s="84"/>
      <c r="U32" s="68"/>
      <c r="V32" s="68"/>
      <c r="W32" s="69" t="str">
        <f>IF(AB32="","",WORKDAY.INTL(AB32,Z32*-1,1,Holidays[Date]))</f>
        <v/>
      </c>
      <c r="X32" s="69" t="str">
        <f t="shared" ca="1" si="0"/>
        <v/>
      </c>
      <c r="Y32" s="85"/>
      <c r="Z32" s="86"/>
      <c r="AA32" s="68"/>
      <c r="AB32" s="69" t="str">
        <f>IF(AG32="","",WORKDAY.INTL(AG32,AE32*-1,1,Holidays[Date]))</f>
        <v/>
      </c>
      <c r="AC32" s="69" t="str">
        <f ca="1">IFERROR(IF(AD32="",WORKDAY.INTL(X32,AA32,1,Holidays[Date]),AD32),"")</f>
        <v/>
      </c>
      <c r="AD32" s="85"/>
      <c r="AE32" s="87"/>
      <c r="AF32" s="68"/>
      <c r="AG32" s="69" t="str">
        <f>IF(AL32="","",WORKDAY.INTL(AL32,AJ32*-1,1,Holidays[Date]))</f>
        <v/>
      </c>
      <c r="AH32" s="69" t="str">
        <f ca="1">IFERROR(IF(AI32="",WORKDAY.INTL(AC32,AF32,1,Holidays[Date]),AI32),"")</f>
        <v/>
      </c>
      <c r="AI32" s="85"/>
      <c r="AJ32" s="87"/>
      <c r="AK32" s="68"/>
      <c r="AL32" s="69" t="str">
        <f>IF(AQ32="","",WORKDAY.INTL(AQ32,AO32*-1,1,Holidays[Date]))</f>
        <v/>
      </c>
      <c r="AM32" s="69" t="str">
        <f ca="1">IFERROR(IF(AN32="",WORKDAY.INTL(AH32,AK32,1,Holidays[Date]),AN32),"")</f>
        <v/>
      </c>
      <c r="AN32" s="85"/>
      <c r="AO32" s="87"/>
      <c r="AP32" s="68"/>
      <c r="AQ32" s="69" t="str">
        <f>IF(AV32="","",WORKDAY.INTL(AV32,AT32*-1,1,Holidays[Date]))</f>
        <v/>
      </c>
      <c r="AR32" s="69" t="str">
        <f ca="1">IFERROR(IF(AS32="",WORKDAY.INTL(AM32,AP32,1,Holidays[Date]),AS32),"")</f>
        <v/>
      </c>
      <c r="AS32" s="85"/>
      <c r="AT32" s="87"/>
      <c r="AU32" s="68"/>
      <c r="AV32" s="69" t="str">
        <f>IF(BA32="","",WORKDAY.INTL(BA32,AY32*-1,1,Holidays[Date]))</f>
        <v/>
      </c>
      <c r="AW32" s="69" t="str">
        <f ca="1">IFERROR(IF(AX32="",WORKDAY.INTL(AR32,AU32,1,Holidays[Date]),AX32),"")</f>
        <v/>
      </c>
      <c r="AX32" s="85"/>
      <c r="AY32" s="87"/>
      <c r="AZ32" s="68"/>
      <c r="BA32" s="69" t="str">
        <f>IF(BF32="","",WORKDAY.INTL(BF32,BD32*-1,1,Holidays[Date]))</f>
        <v/>
      </c>
      <c r="BB32" s="69" t="str">
        <f ca="1">IFERROR(IF(BC32="",WORKDAY.INTL(AW32,AZ32,1,Holidays[Date]),BC32),"")</f>
        <v/>
      </c>
      <c r="BC32" s="85"/>
      <c r="BD32" s="87"/>
      <c r="BE32" s="68"/>
      <c r="BF32" s="69" t="str">
        <f>IF(BK32="","",WORKDAY.INTL(BK32,BI32*-1,1,Holidays[Date]))</f>
        <v/>
      </c>
      <c r="BG32" s="69" t="str">
        <f ca="1">IFERROR(IF(BH32="",WORKDAY.INTL(BB32,BE32,1,Holidays[Date]),BH32),"")</f>
        <v/>
      </c>
      <c r="BH32" s="85"/>
      <c r="BI32" s="87"/>
      <c r="BJ32" s="68"/>
      <c r="BK32" s="77" t="str">
        <f>IF(BP32="","",WORKDAY.INTL(BP32,BN32*-1,1,Holidays[Date]))</f>
        <v/>
      </c>
      <c r="BL32" s="69" t="str">
        <f ca="1">IFERROR(IF(BM32="",WORKDAY.INTL(BG32,BJ32,1,Holidays[Date]),BM32),"")</f>
        <v/>
      </c>
      <c r="BM32" s="85"/>
      <c r="BN32" s="87"/>
      <c r="BO32" s="68"/>
      <c r="BP32" s="69" t="str">
        <f>IF(BU32="","",WORKDAY.INTL(BU32,BS32*-1,1,Holidays[Date]))</f>
        <v/>
      </c>
      <c r="BQ32" s="77" t="str">
        <f ca="1">IFERROR(IF(BR32="",WORKDAY.INTL(BL32,BO32,1,Holidays[Date]),BR32),"")</f>
        <v/>
      </c>
      <c r="BR32" s="85"/>
      <c r="BS32" s="87"/>
      <c r="BT32" s="68"/>
      <c r="BU32" s="69" t="str">
        <f>IF(BZ32="","",WORKDAY.INTL(BZ32,BX32*-1,1,Holidays[Date]))</f>
        <v/>
      </c>
      <c r="BV32" s="69" t="str">
        <f ca="1">IFERROR(IF(BW32="",WORKDAY.INTL(BQ32,BT32,1,Holidays[Date]),BW32),"")</f>
        <v/>
      </c>
      <c r="BW32" s="85"/>
      <c r="BX32" s="87"/>
      <c r="BY32" s="68"/>
      <c r="BZ32" s="70"/>
      <c r="CA32" s="69" t="str">
        <f ca="1">IFERROR(IF(CB32="",WORKDAY.INTL(BV32,BY32,1,Holidays[Date]),CB32),"")</f>
        <v/>
      </c>
      <c r="CB32" s="85"/>
    </row>
    <row r="33" spans="1:80" ht="19" customHeight="1" x14ac:dyDescent="0.35">
      <c r="A33" s="31"/>
      <c r="B33" s="83"/>
      <c r="C33" s="64"/>
      <c r="D33" s="65"/>
      <c r="E33" s="65"/>
      <c r="F33" s="65"/>
      <c r="G33" s="65"/>
      <c r="H33" s="65"/>
      <c r="I33" s="66"/>
      <c r="J33" s="65"/>
      <c r="K33" s="65"/>
      <c r="L33" s="65"/>
      <c r="M33" s="65"/>
      <c r="N33" s="65"/>
      <c r="O33" s="65"/>
      <c r="P33" s="65"/>
      <c r="Q33" s="67"/>
      <c r="R33" s="75"/>
      <c r="S33" s="88" t="str">
        <f>IF(tblProcRegister[[#This Row],[Award]]&lt;&gt;"",tblProcRegister[[#This Row],[Budget]]-tblProcRegister[[#This Row],[Award]],"")</f>
        <v/>
      </c>
      <c r="T33" s="84"/>
      <c r="U33" s="68"/>
      <c r="V33" s="68"/>
      <c r="W33" s="69" t="str">
        <f>IF(AB33="","",WORKDAY.INTL(AB33,Z33*-1,1,Holidays[Date]))</f>
        <v/>
      </c>
      <c r="X33" s="69" t="str">
        <f t="shared" ca="1" si="0"/>
        <v/>
      </c>
      <c r="Y33" s="85"/>
      <c r="Z33" s="86"/>
      <c r="AA33" s="68"/>
      <c r="AB33" s="69" t="str">
        <f>IF(AG33="","",WORKDAY.INTL(AG33,AE33*-1,1,Holidays[Date]))</f>
        <v/>
      </c>
      <c r="AC33" s="69" t="str">
        <f ca="1">IFERROR(IF(AD33="",WORKDAY.INTL(X33,AA33,1,Holidays[Date]),AD33),"")</f>
        <v/>
      </c>
      <c r="AD33" s="85"/>
      <c r="AE33" s="87"/>
      <c r="AF33" s="68"/>
      <c r="AG33" s="69" t="str">
        <f>IF(AL33="","",WORKDAY.INTL(AL33,AJ33*-1,1,Holidays[Date]))</f>
        <v/>
      </c>
      <c r="AH33" s="69" t="str">
        <f ca="1">IFERROR(IF(AI33="",WORKDAY.INTL(AC33,AF33,1,Holidays[Date]),AI33),"")</f>
        <v/>
      </c>
      <c r="AI33" s="85"/>
      <c r="AJ33" s="87"/>
      <c r="AK33" s="68"/>
      <c r="AL33" s="69" t="str">
        <f>IF(AQ33="","",WORKDAY.INTL(AQ33,AO33*-1,1,Holidays[Date]))</f>
        <v/>
      </c>
      <c r="AM33" s="69" t="str">
        <f ca="1">IFERROR(IF(AN33="",WORKDAY.INTL(AH33,AK33,1,Holidays[Date]),AN33),"")</f>
        <v/>
      </c>
      <c r="AN33" s="85"/>
      <c r="AO33" s="87"/>
      <c r="AP33" s="68"/>
      <c r="AQ33" s="69" t="str">
        <f>IF(AV33="","",WORKDAY.INTL(AV33,AT33*-1,1,Holidays[Date]))</f>
        <v/>
      </c>
      <c r="AR33" s="69" t="str">
        <f ca="1">IFERROR(IF(AS33="",WORKDAY.INTL(AM33,AP33,1,Holidays[Date]),AS33),"")</f>
        <v/>
      </c>
      <c r="AS33" s="85"/>
      <c r="AT33" s="87"/>
      <c r="AU33" s="68"/>
      <c r="AV33" s="69" t="str">
        <f>IF(BA33="","",WORKDAY.INTL(BA33,AY33*-1,1,Holidays[Date]))</f>
        <v/>
      </c>
      <c r="AW33" s="69" t="str">
        <f ca="1">IFERROR(IF(AX33="",WORKDAY.INTL(AR33,AU33,1,Holidays[Date]),AX33),"")</f>
        <v/>
      </c>
      <c r="AX33" s="85"/>
      <c r="AY33" s="87"/>
      <c r="AZ33" s="68"/>
      <c r="BA33" s="69" t="str">
        <f>IF(BF33="","",WORKDAY.INTL(BF33,BD33*-1,1,Holidays[Date]))</f>
        <v/>
      </c>
      <c r="BB33" s="69" t="str">
        <f ca="1">IFERROR(IF(BC33="",WORKDAY.INTL(AW33,AZ33,1,Holidays[Date]),BC33),"")</f>
        <v/>
      </c>
      <c r="BC33" s="85"/>
      <c r="BD33" s="87"/>
      <c r="BE33" s="68"/>
      <c r="BF33" s="69" t="str">
        <f>IF(BK33="","",WORKDAY.INTL(BK33,BI33*-1,1,Holidays[Date]))</f>
        <v/>
      </c>
      <c r="BG33" s="69" t="str">
        <f ca="1">IFERROR(IF(BH33="",WORKDAY.INTL(BB33,BE33,1,Holidays[Date]),BH33),"")</f>
        <v/>
      </c>
      <c r="BH33" s="85"/>
      <c r="BI33" s="87"/>
      <c r="BJ33" s="68"/>
      <c r="BK33" s="77" t="str">
        <f>IF(BP33="","",WORKDAY.INTL(BP33,BN33*-1,1,Holidays[Date]))</f>
        <v/>
      </c>
      <c r="BL33" s="69" t="str">
        <f ca="1">IFERROR(IF(BM33="",WORKDAY.INTL(BG33,BJ33,1,Holidays[Date]),BM33),"")</f>
        <v/>
      </c>
      <c r="BM33" s="85"/>
      <c r="BN33" s="87"/>
      <c r="BO33" s="68"/>
      <c r="BP33" s="69" t="str">
        <f>IF(BU33="","",WORKDAY.INTL(BU33,BS33*-1,1,Holidays[Date]))</f>
        <v/>
      </c>
      <c r="BQ33" s="77" t="str">
        <f ca="1">IFERROR(IF(BR33="",WORKDAY.INTL(BL33,BO33,1,Holidays[Date]),BR33),"")</f>
        <v/>
      </c>
      <c r="BR33" s="85"/>
      <c r="BS33" s="87"/>
      <c r="BT33" s="68"/>
      <c r="BU33" s="69" t="str">
        <f>IF(BZ33="","",WORKDAY.INTL(BZ33,BX33*-1,1,Holidays[Date]))</f>
        <v/>
      </c>
      <c r="BV33" s="69" t="str">
        <f ca="1">IFERROR(IF(BW33="",WORKDAY.INTL(BQ33,BT33,1,Holidays[Date]),BW33),"")</f>
        <v/>
      </c>
      <c r="BW33" s="85"/>
      <c r="BX33" s="87"/>
      <c r="BY33" s="68"/>
      <c r="BZ33" s="70"/>
      <c r="CA33" s="69" t="str">
        <f ca="1">IFERROR(IF(CB33="",WORKDAY.INTL(BV33,BY33,1,Holidays[Date]),CB33),"")</f>
        <v/>
      </c>
      <c r="CB33" s="85"/>
    </row>
    <row r="34" spans="1:80" ht="19" customHeight="1" x14ac:dyDescent="0.35">
      <c r="A34" s="31"/>
      <c r="B34" s="82"/>
      <c r="C34" s="1"/>
      <c r="D34" s="8"/>
      <c r="E34" s="8"/>
      <c r="F34" s="8"/>
      <c r="G34" s="8"/>
      <c r="H34" s="8"/>
      <c r="I34" s="9"/>
      <c r="J34" s="8"/>
      <c r="K34" s="8"/>
      <c r="L34" s="8"/>
      <c r="M34" s="8"/>
      <c r="N34" s="8"/>
      <c r="O34" s="8"/>
      <c r="P34" s="8"/>
      <c r="Q34" s="2"/>
      <c r="R34" s="2"/>
      <c r="S34" s="88" t="str">
        <f>IF(tblProcRegister[[#This Row],[Award]]&lt;&gt;"",tblProcRegister[[#This Row],[Budget]]-tblProcRegister[[#This Row],[Award]],"")</f>
        <v/>
      </c>
      <c r="T34" s="68"/>
      <c r="U34" s="68"/>
      <c r="V34" s="68"/>
      <c r="W34" s="77" t="str">
        <f>IF(AB34="","",WORKDAY.INTL(AB34,Z34*-1,1,Holidays[Date]))</f>
        <v/>
      </c>
      <c r="X34" s="77" t="str">
        <f t="shared" ca="1" si="0"/>
        <v/>
      </c>
      <c r="Y34" s="78"/>
      <c r="Z34" s="79"/>
      <c r="AA34" s="68"/>
      <c r="AB34" s="77" t="str">
        <f>IF(AG34="","",WORKDAY.INTL(AG34,AE34*-1,1,Holidays[Date]))</f>
        <v/>
      </c>
      <c r="AC34" s="77" t="str">
        <f ca="1">IFERROR(IF(AD34="",WORKDAY.INTL(X34,AA34,1,Holidays[Date]),AD34),"")</f>
        <v/>
      </c>
      <c r="AD34" s="78"/>
      <c r="AE34" s="80"/>
      <c r="AF34" s="68"/>
      <c r="AG34" s="77" t="str">
        <f>IF(AL34="","",WORKDAY.INTL(AL34,AJ34*-1,1,Holidays[Date]))</f>
        <v/>
      </c>
      <c r="AH34" s="77" t="str">
        <f ca="1">IFERROR(IF(AI34="",WORKDAY.INTL(AC34,AF34,1,Holidays[Date]),AI34),"")</f>
        <v/>
      </c>
      <c r="AI34" s="78"/>
      <c r="AJ34" s="80"/>
      <c r="AK34" s="68"/>
      <c r="AL34" s="77" t="str">
        <f>IF(AQ34="","",WORKDAY.INTL(AQ34,AO34*-1,1,Holidays[Date]))</f>
        <v/>
      </c>
      <c r="AM34" s="77" t="str">
        <f ca="1">IFERROR(IF(AN34="",WORKDAY.INTL(AH34,AK34,1,Holidays[Date]),AN34),"")</f>
        <v/>
      </c>
      <c r="AN34" s="78"/>
      <c r="AO34" s="80"/>
      <c r="AP34" s="68"/>
      <c r="AQ34" s="77" t="str">
        <f>IF(AV34="","",WORKDAY.INTL(AV34,AT34*-1,1,Holidays[Date]))</f>
        <v/>
      </c>
      <c r="AR34" s="77" t="str">
        <f ca="1">IFERROR(IF(AS34="",WORKDAY.INTL(AM34,AP34,1,Holidays[Date]),AS34),"")</f>
        <v/>
      </c>
      <c r="AS34" s="78"/>
      <c r="AT34" s="80"/>
      <c r="AU34" s="68"/>
      <c r="AV34" s="77" t="str">
        <f>IF(BA34="","",WORKDAY.INTL(BA34,AY34*-1,1,Holidays[Date]))</f>
        <v/>
      </c>
      <c r="AW34" s="77" t="str">
        <f ca="1">IFERROR(IF(AX34="",WORKDAY.INTL(AR34,AU34,1,Holidays[Date]),AX34),"")</f>
        <v/>
      </c>
      <c r="AX34" s="78"/>
      <c r="AY34" s="80"/>
      <c r="AZ34" s="68"/>
      <c r="BA34" s="77" t="str">
        <f>IF(BF34="","",WORKDAY.INTL(BF34,BD34*-1,1,Holidays[Date]))</f>
        <v/>
      </c>
      <c r="BB34" s="77" t="str">
        <f ca="1">IFERROR(IF(BC34="",WORKDAY.INTL(AW34,AZ34,1,Holidays[Date]),BC34),"")</f>
        <v/>
      </c>
      <c r="BC34" s="78"/>
      <c r="BD34" s="80"/>
      <c r="BE34" s="68"/>
      <c r="BF34" s="77" t="str">
        <f>IF(BK34="","",WORKDAY.INTL(BK34,BI34*-1,1,Holidays[Date]))</f>
        <v/>
      </c>
      <c r="BG34" s="77" t="str">
        <f ca="1">IFERROR(IF(BH34="",WORKDAY.INTL(BB34,BE34,1,Holidays[Date]),BH34),"")</f>
        <v/>
      </c>
      <c r="BH34" s="78"/>
      <c r="BI34" s="80"/>
      <c r="BJ34" s="68"/>
      <c r="BK34" s="77" t="str">
        <f>IF(BP34="","",WORKDAY.INTL(BP34,BN34*-1,1,Holidays[Date]))</f>
        <v/>
      </c>
      <c r="BL34" s="77" t="str">
        <f ca="1">IFERROR(IF(BM34="",WORKDAY.INTL(BG34,BJ34,1,Holidays[Date]),BM34),"")</f>
        <v/>
      </c>
      <c r="BM34" s="78"/>
      <c r="BN34" s="80"/>
      <c r="BO34" s="68"/>
      <c r="BP34" s="77" t="str">
        <f>IF(BU34="","",WORKDAY.INTL(BU34,BS34*-1,1,Holidays[Date]))</f>
        <v/>
      </c>
      <c r="BQ34" s="77" t="str">
        <f ca="1">IFERROR(IF(BR34="",WORKDAY.INTL(BL34,BO34,1,Holidays[Date]),BR34),"")</f>
        <v/>
      </c>
      <c r="BR34" s="78"/>
      <c r="BS34" s="80"/>
      <c r="BT34" s="68"/>
      <c r="BU34" s="77" t="str">
        <f>IF(BZ34="","",WORKDAY.INTL(BZ34,BX34*-1,1,Holidays[Date]))</f>
        <v/>
      </c>
      <c r="BV34" s="77" t="str">
        <f ca="1">IFERROR(IF(BW34="",WORKDAY.INTL(BQ34,BT34,1,Holidays[Date]),BW34),"")</f>
        <v/>
      </c>
      <c r="BW34" s="78"/>
      <c r="BX34" s="80"/>
      <c r="BY34" s="68"/>
      <c r="BZ34" s="81"/>
      <c r="CA34" s="77" t="str">
        <f ca="1">IFERROR(IF(CB34="",WORKDAY.INTL(BV34,BY34,1,Holidays[Date]),CB34),"")</f>
        <v/>
      </c>
      <c r="CB34" s="78"/>
    </row>
    <row r="35" spans="1:80" ht="19" customHeight="1" x14ac:dyDescent="0.35">
      <c r="A35" s="31"/>
      <c r="B35" s="82"/>
      <c r="C35" s="1"/>
      <c r="D35" s="8"/>
      <c r="E35" s="8"/>
      <c r="F35" s="8"/>
      <c r="G35" s="8"/>
      <c r="H35" s="8"/>
      <c r="I35" s="9"/>
      <c r="J35" s="8"/>
      <c r="K35" s="8"/>
      <c r="L35" s="8"/>
      <c r="M35" s="8"/>
      <c r="N35" s="8"/>
      <c r="O35" s="8"/>
      <c r="P35" s="8"/>
      <c r="Q35" s="2"/>
      <c r="R35" s="2"/>
      <c r="S35" s="88" t="str">
        <f>IF(tblProcRegister[[#This Row],[Award]]&lt;&gt;"",tblProcRegister[[#This Row],[Budget]]-tblProcRegister[[#This Row],[Award]],"")</f>
        <v/>
      </c>
      <c r="T35" s="68"/>
      <c r="U35" s="68"/>
      <c r="V35" s="68"/>
      <c r="W35" s="77" t="str">
        <f>IF(AB35="","",WORKDAY.INTL(AB35,Z35*-1,1,Holidays[Date]))</f>
        <v/>
      </c>
      <c r="X35" s="77" t="str">
        <f t="shared" ca="1" si="0"/>
        <v/>
      </c>
      <c r="Y35" s="78"/>
      <c r="Z35" s="79"/>
      <c r="AA35" s="68"/>
      <c r="AB35" s="77" t="str">
        <f>IF(AG35="","",WORKDAY.INTL(AG35,AE35*-1,1,Holidays[Date]))</f>
        <v/>
      </c>
      <c r="AC35" s="77" t="str">
        <f ca="1">IFERROR(IF(AD35="",WORKDAY.INTL(X35,AA35,1,Holidays[Date]),AD35),"")</f>
        <v/>
      </c>
      <c r="AD35" s="78"/>
      <c r="AE35" s="80"/>
      <c r="AF35" s="68"/>
      <c r="AG35" s="77" t="str">
        <f>IF(AL35="","",WORKDAY.INTL(AL35,AJ35*-1,1,Holidays[Date]))</f>
        <v/>
      </c>
      <c r="AH35" s="77" t="str">
        <f ca="1">IFERROR(IF(AI35="",WORKDAY.INTL(AC35,AF35,1,Holidays[Date]),AI35),"")</f>
        <v/>
      </c>
      <c r="AI35" s="78"/>
      <c r="AJ35" s="80"/>
      <c r="AK35" s="68"/>
      <c r="AL35" s="77" t="str">
        <f>IF(AQ35="","",WORKDAY.INTL(AQ35,AO35*-1,1,Holidays[Date]))</f>
        <v/>
      </c>
      <c r="AM35" s="77" t="str">
        <f ca="1">IFERROR(IF(AN35="",WORKDAY.INTL(AH35,AK35,1,Holidays[Date]),AN35),"")</f>
        <v/>
      </c>
      <c r="AN35" s="78"/>
      <c r="AO35" s="80"/>
      <c r="AP35" s="68"/>
      <c r="AQ35" s="77" t="str">
        <f>IF(AV35="","",WORKDAY.INTL(AV35,AT35*-1,1,Holidays[Date]))</f>
        <v/>
      </c>
      <c r="AR35" s="77" t="str">
        <f ca="1">IFERROR(IF(AS35="",WORKDAY.INTL(AM35,AP35,1,Holidays[Date]),AS35),"")</f>
        <v/>
      </c>
      <c r="AS35" s="78"/>
      <c r="AT35" s="80"/>
      <c r="AU35" s="68"/>
      <c r="AV35" s="77" t="str">
        <f>IF(BA35="","",WORKDAY.INTL(BA35,AY35*-1,1,Holidays[Date]))</f>
        <v/>
      </c>
      <c r="AW35" s="77" t="str">
        <f ca="1">IFERROR(IF(AX35="",WORKDAY.INTL(AR35,AU35,1,Holidays[Date]),AX35),"")</f>
        <v/>
      </c>
      <c r="AX35" s="78"/>
      <c r="AY35" s="80"/>
      <c r="AZ35" s="68"/>
      <c r="BA35" s="77" t="str">
        <f>IF(BF35="","",WORKDAY.INTL(BF35,BD35*-1,1,Holidays[Date]))</f>
        <v/>
      </c>
      <c r="BB35" s="77" t="str">
        <f ca="1">IFERROR(IF(BC35="",WORKDAY.INTL(AW35,AZ35,1,Holidays[Date]),BC35),"")</f>
        <v/>
      </c>
      <c r="BC35" s="78"/>
      <c r="BD35" s="80"/>
      <c r="BE35" s="68"/>
      <c r="BF35" s="77" t="str">
        <f>IF(BK35="","",WORKDAY.INTL(BK35,BI35*-1,1,Holidays[Date]))</f>
        <v/>
      </c>
      <c r="BG35" s="77" t="str">
        <f ca="1">IFERROR(IF(BH35="",WORKDAY.INTL(BB35,BE35,1,Holidays[Date]),BH35),"")</f>
        <v/>
      </c>
      <c r="BH35" s="78"/>
      <c r="BI35" s="80"/>
      <c r="BJ35" s="68"/>
      <c r="BK35" s="77" t="str">
        <f>IF(BP35="","",WORKDAY.INTL(BP35,BN35*-1,1,Holidays[Date]))</f>
        <v/>
      </c>
      <c r="BL35" s="77" t="str">
        <f ca="1">IFERROR(IF(BM35="",WORKDAY.INTL(BG35,BJ35,1,Holidays[Date]),BM35),"")</f>
        <v/>
      </c>
      <c r="BM35" s="78"/>
      <c r="BN35" s="80"/>
      <c r="BO35" s="68"/>
      <c r="BP35" s="77" t="str">
        <f>IF(BU35="","",WORKDAY.INTL(BU35,BS35*-1,1,Holidays[Date]))</f>
        <v/>
      </c>
      <c r="BQ35" s="77" t="str">
        <f ca="1">IFERROR(IF(BR35="",WORKDAY.INTL(BL35,BO35,1,Holidays[Date]),BR35),"")</f>
        <v/>
      </c>
      <c r="BR35" s="78"/>
      <c r="BS35" s="80"/>
      <c r="BT35" s="68"/>
      <c r="BU35" s="77" t="str">
        <f>IF(BZ35="","",WORKDAY.INTL(BZ35,BX35*-1,1,Holidays[Date]))</f>
        <v/>
      </c>
      <c r="BV35" s="77" t="str">
        <f ca="1">IFERROR(IF(BW35="",WORKDAY.INTL(BQ35,BT35,1,Holidays[Date]),BW35),"")</f>
        <v/>
      </c>
      <c r="BW35" s="78"/>
      <c r="BX35" s="80"/>
      <c r="BY35" s="68"/>
      <c r="BZ35" s="81"/>
      <c r="CA35" s="77" t="str">
        <f ca="1">IFERROR(IF(CB35="",WORKDAY.INTL(BV35,BY35,1,Holidays[Date]),CB35),"")</f>
        <v/>
      </c>
      <c r="CB35" s="78"/>
    </row>
    <row r="36" spans="1:80" ht="19" customHeight="1" x14ac:dyDescent="0.35">
      <c r="A36" s="31"/>
      <c r="B36" s="82"/>
      <c r="C36" s="1"/>
      <c r="D36" s="8"/>
      <c r="E36" s="8"/>
      <c r="F36" s="8"/>
      <c r="G36" s="8"/>
      <c r="H36" s="8"/>
      <c r="I36" s="9"/>
      <c r="J36" s="8"/>
      <c r="K36" s="8"/>
      <c r="L36" s="8"/>
      <c r="M36" s="8"/>
      <c r="N36" s="8"/>
      <c r="O36" s="8"/>
      <c r="P36" s="8"/>
      <c r="Q36" s="2"/>
      <c r="R36" s="2"/>
      <c r="S36" s="88" t="str">
        <f>IF(tblProcRegister[[#This Row],[Award]]&lt;&gt;"",tblProcRegister[[#This Row],[Budget]]-tblProcRegister[[#This Row],[Award]],"")</f>
        <v/>
      </c>
      <c r="T36" s="68"/>
      <c r="U36" s="68"/>
      <c r="V36" s="68"/>
      <c r="W36" s="77" t="str">
        <f>IF(AB36="","",WORKDAY.INTL(AB36,Z36*-1,1,Holidays[Date]))</f>
        <v/>
      </c>
      <c r="X36" s="77" t="str">
        <f t="shared" ca="1" si="0"/>
        <v/>
      </c>
      <c r="Y36" s="78"/>
      <c r="Z36" s="79"/>
      <c r="AA36" s="68"/>
      <c r="AB36" s="77" t="str">
        <f>IF(AG36="","",WORKDAY.INTL(AG36,AE36*-1,1,Holidays[Date]))</f>
        <v/>
      </c>
      <c r="AC36" s="77" t="str">
        <f ca="1">IFERROR(IF(AD36="",WORKDAY.INTL(X36,AA36,1,Holidays[Date]),AD36),"")</f>
        <v/>
      </c>
      <c r="AD36" s="78"/>
      <c r="AE36" s="80"/>
      <c r="AF36" s="68"/>
      <c r="AG36" s="77" t="str">
        <f>IF(AL36="","",WORKDAY.INTL(AL36,AJ36*-1,1,Holidays[Date]))</f>
        <v/>
      </c>
      <c r="AH36" s="77" t="str">
        <f ca="1">IFERROR(IF(AI36="",WORKDAY.INTL(AC36,AF36,1,Holidays[Date]),AI36),"")</f>
        <v/>
      </c>
      <c r="AI36" s="78"/>
      <c r="AJ36" s="80"/>
      <c r="AK36" s="68"/>
      <c r="AL36" s="77" t="str">
        <f>IF(AQ36="","",WORKDAY.INTL(AQ36,AO36*-1,1,Holidays[Date]))</f>
        <v/>
      </c>
      <c r="AM36" s="77" t="str">
        <f ca="1">IFERROR(IF(AN36="",WORKDAY.INTL(AH36,AK36,1,Holidays[Date]),AN36),"")</f>
        <v/>
      </c>
      <c r="AN36" s="78"/>
      <c r="AO36" s="80"/>
      <c r="AP36" s="68"/>
      <c r="AQ36" s="77" t="str">
        <f>IF(AV36="","",WORKDAY.INTL(AV36,AT36*-1,1,Holidays[Date]))</f>
        <v/>
      </c>
      <c r="AR36" s="77" t="str">
        <f ca="1">IFERROR(IF(AS36="",WORKDAY.INTL(AM36,AP36,1,Holidays[Date]),AS36),"")</f>
        <v/>
      </c>
      <c r="AS36" s="78"/>
      <c r="AT36" s="80"/>
      <c r="AU36" s="68"/>
      <c r="AV36" s="77" t="str">
        <f>IF(BA36="","",WORKDAY.INTL(BA36,AY36*-1,1,Holidays[Date]))</f>
        <v/>
      </c>
      <c r="AW36" s="77" t="str">
        <f ca="1">IFERROR(IF(AX36="",WORKDAY.INTL(AR36,AU36,1,Holidays[Date]),AX36),"")</f>
        <v/>
      </c>
      <c r="AX36" s="78"/>
      <c r="AY36" s="80"/>
      <c r="AZ36" s="68"/>
      <c r="BA36" s="77" t="str">
        <f>IF(BF36="","",WORKDAY.INTL(BF36,BD36*-1,1,Holidays[Date]))</f>
        <v/>
      </c>
      <c r="BB36" s="77" t="str">
        <f ca="1">IFERROR(IF(BC36="",WORKDAY.INTL(AW36,AZ36,1,Holidays[Date]),BC36),"")</f>
        <v/>
      </c>
      <c r="BC36" s="78"/>
      <c r="BD36" s="80"/>
      <c r="BE36" s="68"/>
      <c r="BF36" s="77" t="str">
        <f>IF(BK36="","",WORKDAY.INTL(BK36,BI36*-1,1,Holidays[Date]))</f>
        <v/>
      </c>
      <c r="BG36" s="77" t="str">
        <f ca="1">IFERROR(IF(BH36="",WORKDAY.INTL(BB36,BE36,1,Holidays[Date]),BH36),"")</f>
        <v/>
      </c>
      <c r="BH36" s="78"/>
      <c r="BI36" s="80"/>
      <c r="BJ36" s="68"/>
      <c r="BK36" s="77" t="str">
        <f>IF(BP36="","",WORKDAY.INTL(BP36,BN36*-1,1,Holidays[Date]))</f>
        <v/>
      </c>
      <c r="BL36" s="77" t="str">
        <f ca="1">IFERROR(IF(BM36="",WORKDAY.INTL(BG36,BJ36,1,Holidays[Date]),BM36),"")</f>
        <v/>
      </c>
      <c r="BM36" s="78"/>
      <c r="BN36" s="80"/>
      <c r="BO36" s="68"/>
      <c r="BP36" s="77" t="str">
        <f>IF(BU36="","",WORKDAY.INTL(BU36,BS36*-1,1,Holidays[Date]))</f>
        <v/>
      </c>
      <c r="BQ36" s="77" t="str">
        <f ca="1">IFERROR(IF(BR36="",WORKDAY.INTL(BL36,BO36,1,Holidays[Date]),BR36),"")</f>
        <v/>
      </c>
      <c r="BR36" s="78"/>
      <c r="BS36" s="80"/>
      <c r="BT36" s="68"/>
      <c r="BU36" s="77" t="str">
        <f>IF(BZ36="","",WORKDAY.INTL(BZ36,BX36*-1,1,Holidays[Date]))</f>
        <v/>
      </c>
      <c r="BV36" s="77" t="str">
        <f ca="1">IFERROR(IF(BW36="",WORKDAY.INTL(BQ36,BT36,1,Holidays[Date]),BW36),"")</f>
        <v/>
      </c>
      <c r="BW36" s="78"/>
      <c r="BX36" s="80"/>
      <c r="BY36" s="68"/>
      <c r="BZ36" s="81"/>
      <c r="CA36" s="77" t="str">
        <f ca="1">IFERROR(IF(CB36="",WORKDAY.INTL(BV36,BY36,1,Holidays[Date]),CB36),"")</f>
        <v/>
      </c>
      <c r="CB36" s="78"/>
    </row>
    <row r="37" spans="1:80" ht="19" customHeight="1" x14ac:dyDescent="0.35">
      <c r="A37" s="31"/>
      <c r="B37" s="82"/>
      <c r="C37" s="1"/>
      <c r="D37" s="8"/>
      <c r="E37" s="8"/>
      <c r="F37" s="8"/>
      <c r="G37" s="8"/>
      <c r="H37" s="8"/>
      <c r="I37" s="9"/>
      <c r="J37" s="8"/>
      <c r="K37" s="8"/>
      <c r="L37" s="8"/>
      <c r="M37" s="8"/>
      <c r="N37" s="8"/>
      <c r="O37" s="8"/>
      <c r="P37" s="8"/>
      <c r="Q37" s="2"/>
      <c r="R37" s="2"/>
      <c r="S37" s="88" t="str">
        <f>IF(tblProcRegister[[#This Row],[Award]]&lt;&gt;"",tblProcRegister[[#This Row],[Budget]]-tblProcRegister[[#This Row],[Award]],"")</f>
        <v/>
      </c>
      <c r="T37" s="68"/>
      <c r="U37" s="68"/>
      <c r="V37" s="68"/>
      <c r="W37" s="77" t="str">
        <f>IF(AB37="","",WORKDAY.INTL(AB37,Z37*-1,1,Holidays[Date]))</f>
        <v/>
      </c>
      <c r="X37" s="77" t="str">
        <f t="shared" ca="1" si="0"/>
        <v/>
      </c>
      <c r="Y37" s="78"/>
      <c r="Z37" s="79"/>
      <c r="AA37" s="68"/>
      <c r="AB37" s="77" t="str">
        <f>IF(AG37="","",WORKDAY.INTL(AG37,AE37*-1,1,Holidays[Date]))</f>
        <v/>
      </c>
      <c r="AC37" s="77" t="str">
        <f ca="1">IFERROR(IF(AD37="",WORKDAY.INTL(X37,AA37,1,Holidays[Date]),AD37),"")</f>
        <v/>
      </c>
      <c r="AD37" s="78"/>
      <c r="AE37" s="80"/>
      <c r="AF37" s="68"/>
      <c r="AG37" s="77" t="str">
        <f>IF(AL37="","",WORKDAY.INTL(AL37,AJ37*-1,1,Holidays[Date]))</f>
        <v/>
      </c>
      <c r="AH37" s="77" t="str">
        <f ca="1">IFERROR(IF(AI37="",WORKDAY.INTL(AC37,AF37,1,Holidays[Date]),AI37),"")</f>
        <v/>
      </c>
      <c r="AI37" s="78"/>
      <c r="AJ37" s="80"/>
      <c r="AK37" s="68"/>
      <c r="AL37" s="77" t="str">
        <f>IF(AQ37="","",WORKDAY.INTL(AQ37,AO37*-1,1,Holidays[Date]))</f>
        <v/>
      </c>
      <c r="AM37" s="77" t="str">
        <f ca="1">IFERROR(IF(AN37="",WORKDAY.INTL(AH37,AK37,1,Holidays[Date]),AN37),"")</f>
        <v/>
      </c>
      <c r="AN37" s="78"/>
      <c r="AO37" s="80"/>
      <c r="AP37" s="68"/>
      <c r="AQ37" s="77" t="str">
        <f>IF(AV37="","",WORKDAY.INTL(AV37,AT37*-1,1,Holidays[Date]))</f>
        <v/>
      </c>
      <c r="AR37" s="77" t="str">
        <f ca="1">IFERROR(IF(AS37="",WORKDAY.INTL(AM37,AP37,1,Holidays[Date]),AS37),"")</f>
        <v/>
      </c>
      <c r="AS37" s="78"/>
      <c r="AT37" s="80"/>
      <c r="AU37" s="68"/>
      <c r="AV37" s="77" t="str">
        <f>IF(BA37="","",WORKDAY.INTL(BA37,AY37*-1,1,Holidays[Date]))</f>
        <v/>
      </c>
      <c r="AW37" s="77" t="str">
        <f ca="1">IFERROR(IF(AX37="",WORKDAY.INTL(AR37,AU37,1,Holidays[Date]),AX37),"")</f>
        <v/>
      </c>
      <c r="AX37" s="78"/>
      <c r="AY37" s="80"/>
      <c r="AZ37" s="68"/>
      <c r="BA37" s="77" t="str">
        <f>IF(BF37="","",WORKDAY.INTL(BF37,BD37*-1,1,Holidays[Date]))</f>
        <v/>
      </c>
      <c r="BB37" s="77" t="str">
        <f ca="1">IFERROR(IF(BC37="",WORKDAY.INTL(AW37,AZ37,1,Holidays[Date]),BC37),"")</f>
        <v/>
      </c>
      <c r="BC37" s="78"/>
      <c r="BD37" s="80"/>
      <c r="BE37" s="68"/>
      <c r="BF37" s="77" t="str">
        <f>IF(BK37="","",WORKDAY.INTL(BK37,BI37*-1,1,Holidays[Date]))</f>
        <v/>
      </c>
      <c r="BG37" s="77" t="str">
        <f ca="1">IFERROR(IF(BH37="",WORKDAY.INTL(BB37,BE37,1,Holidays[Date]),BH37),"")</f>
        <v/>
      </c>
      <c r="BH37" s="78"/>
      <c r="BI37" s="80"/>
      <c r="BJ37" s="68"/>
      <c r="BK37" s="77" t="str">
        <f>IF(BP37="","",WORKDAY.INTL(BP37,BN37*-1,1,Holidays[Date]))</f>
        <v/>
      </c>
      <c r="BL37" s="77" t="str">
        <f ca="1">IFERROR(IF(BM37="",WORKDAY.INTL(BG37,BJ37,1,Holidays[Date]),BM37),"")</f>
        <v/>
      </c>
      <c r="BM37" s="78"/>
      <c r="BN37" s="80"/>
      <c r="BO37" s="68"/>
      <c r="BP37" s="77" t="str">
        <f>IF(BU37="","",WORKDAY.INTL(BU37,BS37*-1,1,Holidays[Date]))</f>
        <v/>
      </c>
      <c r="BQ37" s="77" t="str">
        <f ca="1">IFERROR(IF(BR37="",WORKDAY.INTL(BL37,BO37,1,Holidays[Date]),BR37),"")</f>
        <v/>
      </c>
      <c r="BR37" s="78"/>
      <c r="BS37" s="80"/>
      <c r="BT37" s="68"/>
      <c r="BU37" s="77" t="str">
        <f>IF(BZ37="","",WORKDAY.INTL(BZ37,BX37*-1,1,Holidays[Date]))</f>
        <v/>
      </c>
      <c r="BV37" s="77" t="str">
        <f ca="1">IFERROR(IF(BW37="",WORKDAY.INTL(BQ37,BT37,1,Holidays[Date]),BW37),"")</f>
        <v/>
      </c>
      <c r="BW37" s="78"/>
      <c r="BX37" s="80"/>
      <c r="BY37" s="68"/>
      <c r="BZ37" s="81"/>
      <c r="CA37" s="77" t="str">
        <f ca="1">IFERROR(IF(CB37="",WORKDAY.INTL(BV37,BY37,1,Holidays[Date]),CB37),"")</f>
        <v/>
      </c>
      <c r="CB37" s="78"/>
    </row>
    <row r="38" spans="1:80" ht="19" customHeight="1" x14ac:dyDescent="0.35">
      <c r="A38" s="31"/>
      <c r="B38" s="82"/>
      <c r="C38" s="1"/>
      <c r="D38" s="8"/>
      <c r="E38" s="8"/>
      <c r="F38" s="8"/>
      <c r="G38" s="8"/>
      <c r="H38" s="8"/>
      <c r="I38" s="9"/>
      <c r="J38" s="8"/>
      <c r="K38" s="8"/>
      <c r="L38" s="8"/>
      <c r="M38" s="8"/>
      <c r="N38" s="8"/>
      <c r="O38" s="8"/>
      <c r="P38" s="8"/>
      <c r="Q38" s="2"/>
      <c r="R38" s="2"/>
      <c r="S38" s="88" t="str">
        <f>IF(tblProcRegister[[#This Row],[Award]]&lt;&gt;"",tblProcRegister[[#This Row],[Budget]]-tblProcRegister[[#This Row],[Award]],"")</f>
        <v/>
      </c>
      <c r="T38" s="68"/>
      <c r="U38" s="68"/>
      <c r="V38" s="68"/>
      <c r="W38" s="77" t="str">
        <f>IF(AB38="","",WORKDAY.INTL(AB38,Z38*-1,1,Holidays[Date]))</f>
        <v/>
      </c>
      <c r="X38" s="77" t="str">
        <f t="shared" ca="1" si="0"/>
        <v/>
      </c>
      <c r="Y38" s="78"/>
      <c r="Z38" s="79"/>
      <c r="AA38" s="68"/>
      <c r="AB38" s="77" t="str">
        <f>IF(AG38="","",WORKDAY.INTL(AG38,AE38*-1,1,Holidays[Date]))</f>
        <v/>
      </c>
      <c r="AC38" s="77" t="str">
        <f ca="1">IFERROR(IF(AD38="",WORKDAY.INTL(X38,AA38,1,Holidays[Date]),AD38),"")</f>
        <v/>
      </c>
      <c r="AD38" s="78"/>
      <c r="AE38" s="80"/>
      <c r="AF38" s="68"/>
      <c r="AG38" s="77" t="str">
        <f>IF(AL38="","",WORKDAY.INTL(AL38,AJ38*-1,1,Holidays[Date]))</f>
        <v/>
      </c>
      <c r="AH38" s="77" t="str">
        <f ca="1">IFERROR(IF(AI38="",WORKDAY.INTL(AC38,AF38,1,Holidays[Date]),AI38),"")</f>
        <v/>
      </c>
      <c r="AI38" s="78"/>
      <c r="AJ38" s="80"/>
      <c r="AK38" s="68"/>
      <c r="AL38" s="77" t="str">
        <f>IF(AQ38="","",WORKDAY.INTL(AQ38,AO38*-1,1,Holidays[Date]))</f>
        <v/>
      </c>
      <c r="AM38" s="77" t="str">
        <f ca="1">IFERROR(IF(AN38="",WORKDAY.INTL(AH38,AK38,1,Holidays[Date]),AN38),"")</f>
        <v/>
      </c>
      <c r="AN38" s="78"/>
      <c r="AO38" s="80"/>
      <c r="AP38" s="68"/>
      <c r="AQ38" s="77" t="str">
        <f>IF(AV38="","",WORKDAY.INTL(AV38,AT38*-1,1,Holidays[Date]))</f>
        <v/>
      </c>
      <c r="AR38" s="77" t="str">
        <f ca="1">IFERROR(IF(AS38="",WORKDAY.INTL(AM38,AP38,1,Holidays[Date]),AS38),"")</f>
        <v/>
      </c>
      <c r="AS38" s="78"/>
      <c r="AT38" s="80"/>
      <c r="AU38" s="68"/>
      <c r="AV38" s="77" t="str">
        <f>IF(BA38="","",WORKDAY.INTL(BA38,AY38*-1,1,Holidays[Date]))</f>
        <v/>
      </c>
      <c r="AW38" s="77" t="str">
        <f ca="1">IFERROR(IF(AX38="",WORKDAY.INTL(AR38,AU38,1,Holidays[Date]),AX38),"")</f>
        <v/>
      </c>
      <c r="AX38" s="78"/>
      <c r="AY38" s="80"/>
      <c r="AZ38" s="68"/>
      <c r="BA38" s="77" t="str">
        <f>IF(BF38="","",WORKDAY.INTL(BF38,BD38*-1,1,Holidays[Date]))</f>
        <v/>
      </c>
      <c r="BB38" s="77" t="str">
        <f ca="1">IFERROR(IF(BC38="",WORKDAY.INTL(AW38,AZ38,1,Holidays[Date]),BC38),"")</f>
        <v/>
      </c>
      <c r="BC38" s="78"/>
      <c r="BD38" s="80"/>
      <c r="BE38" s="68"/>
      <c r="BF38" s="77" t="str">
        <f>IF(BK38="","",WORKDAY.INTL(BK38,BI38*-1,1,Holidays[Date]))</f>
        <v/>
      </c>
      <c r="BG38" s="77" t="str">
        <f ca="1">IFERROR(IF(BH38="",WORKDAY.INTL(BB38,BE38,1,Holidays[Date]),BH38),"")</f>
        <v/>
      </c>
      <c r="BH38" s="78"/>
      <c r="BI38" s="80"/>
      <c r="BJ38" s="68"/>
      <c r="BK38" s="77" t="str">
        <f>IF(BP38="","",WORKDAY.INTL(BP38,BN38*-1,1,Holidays[Date]))</f>
        <v/>
      </c>
      <c r="BL38" s="77" t="str">
        <f ca="1">IFERROR(IF(BM38="",WORKDAY.INTL(BG38,BJ38,1,Holidays[Date]),BM38),"")</f>
        <v/>
      </c>
      <c r="BM38" s="78"/>
      <c r="BN38" s="80"/>
      <c r="BO38" s="68"/>
      <c r="BP38" s="77" t="str">
        <f>IF(BU38="","",WORKDAY.INTL(BU38,BS38*-1,1,Holidays[Date]))</f>
        <v/>
      </c>
      <c r="BQ38" s="77" t="str">
        <f ca="1">IFERROR(IF(BR38="",WORKDAY.INTL(BL38,BO38,1,Holidays[Date]),BR38),"")</f>
        <v/>
      </c>
      <c r="BR38" s="78"/>
      <c r="BS38" s="80"/>
      <c r="BT38" s="68"/>
      <c r="BU38" s="77" t="str">
        <f>IF(BZ38="","",WORKDAY.INTL(BZ38,BX38*-1,1,Holidays[Date]))</f>
        <v/>
      </c>
      <c r="BV38" s="77" t="str">
        <f ca="1">IFERROR(IF(BW38="",WORKDAY.INTL(BQ38,BT38,1,Holidays[Date]),BW38),"")</f>
        <v/>
      </c>
      <c r="BW38" s="78"/>
      <c r="BX38" s="80"/>
      <c r="BY38" s="68"/>
      <c r="BZ38" s="81"/>
      <c r="CA38" s="77" t="str">
        <f ca="1">IFERROR(IF(CB38="",WORKDAY.INTL(BV38,BY38,1,Holidays[Date]),CB38),"")</f>
        <v/>
      </c>
      <c r="CB38" s="78"/>
    </row>
    <row r="39" spans="1:80" ht="19" customHeight="1" x14ac:dyDescent="0.35">
      <c r="A39" s="31"/>
      <c r="B39" s="82"/>
      <c r="C39" s="1"/>
      <c r="D39" s="8"/>
      <c r="E39" s="8"/>
      <c r="F39" s="8"/>
      <c r="G39" s="8"/>
      <c r="H39" s="8"/>
      <c r="I39" s="9"/>
      <c r="J39" s="8"/>
      <c r="K39" s="8"/>
      <c r="L39" s="8"/>
      <c r="M39" s="8"/>
      <c r="N39" s="8"/>
      <c r="O39" s="8"/>
      <c r="P39" s="8"/>
      <c r="Q39" s="2"/>
      <c r="R39" s="2"/>
      <c r="S39" s="88" t="str">
        <f>IF(tblProcRegister[[#This Row],[Award]]&lt;&gt;"",tblProcRegister[[#This Row],[Budget]]-tblProcRegister[[#This Row],[Award]],"")</f>
        <v/>
      </c>
      <c r="T39" s="68"/>
      <c r="U39" s="68"/>
      <c r="V39" s="68"/>
      <c r="W39" s="77" t="str">
        <f>IF(AB39="","",WORKDAY.INTL(AB39,Z39*-1,1,Holidays[Date]))</f>
        <v/>
      </c>
      <c r="X39" s="77" t="str">
        <f t="shared" ca="1" si="0"/>
        <v/>
      </c>
      <c r="Y39" s="78"/>
      <c r="Z39" s="79"/>
      <c r="AA39" s="68"/>
      <c r="AB39" s="77" t="str">
        <f>IF(AG39="","",WORKDAY.INTL(AG39,AE39*-1,1,Holidays[Date]))</f>
        <v/>
      </c>
      <c r="AC39" s="77" t="str">
        <f ca="1">IFERROR(IF(AD39="",WORKDAY.INTL(X39,AA39,1,Holidays[Date]),AD39),"")</f>
        <v/>
      </c>
      <c r="AD39" s="78"/>
      <c r="AE39" s="80"/>
      <c r="AF39" s="68"/>
      <c r="AG39" s="77" t="str">
        <f>IF(AL39="","",WORKDAY.INTL(AL39,AJ39*-1,1,Holidays[Date]))</f>
        <v/>
      </c>
      <c r="AH39" s="77" t="str">
        <f ca="1">IFERROR(IF(AI39="",WORKDAY.INTL(AC39,AF39,1,Holidays[Date]),AI39),"")</f>
        <v/>
      </c>
      <c r="AI39" s="78"/>
      <c r="AJ39" s="80"/>
      <c r="AK39" s="68"/>
      <c r="AL39" s="77" t="str">
        <f>IF(AQ39="","",WORKDAY.INTL(AQ39,AO39*-1,1,Holidays[Date]))</f>
        <v/>
      </c>
      <c r="AM39" s="77" t="str">
        <f ca="1">IFERROR(IF(AN39="",WORKDAY.INTL(AH39,AK39,1,Holidays[Date]),AN39),"")</f>
        <v/>
      </c>
      <c r="AN39" s="78"/>
      <c r="AO39" s="80"/>
      <c r="AP39" s="68"/>
      <c r="AQ39" s="77" t="str">
        <f>IF(AV39="","",WORKDAY.INTL(AV39,AT39*-1,1,Holidays[Date]))</f>
        <v/>
      </c>
      <c r="AR39" s="77" t="str">
        <f ca="1">IFERROR(IF(AS39="",WORKDAY.INTL(AM39,AP39,1,Holidays[Date]),AS39),"")</f>
        <v/>
      </c>
      <c r="AS39" s="78"/>
      <c r="AT39" s="80"/>
      <c r="AU39" s="68"/>
      <c r="AV39" s="77" t="str">
        <f>IF(BA39="","",WORKDAY.INTL(BA39,AY39*-1,1,Holidays[Date]))</f>
        <v/>
      </c>
      <c r="AW39" s="77" t="str">
        <f ca="1">IFERROR(IF(AX39="",WORKDAY.INTL(AR39,AU39,1,Holidays[Date]),AX39),"")</f>
        <v/>
      </c>
      <c r="AX39" s="78"/>
      <c r="AY39" s="80"/>
      <c r="AZ39" s="68"/>
      <c r="BA39" s="77" t="str">
        <f>IF(BF39="","",WORKDAY.INTL(BF39,BD39*-1,1,Holidays[Date]))</f>
        <v/>
      </c>
      <c r="BB39" s="77" t="str">
        <f ca="1">IFERROR(IF(BC39="",WORKDAY.INTL(AW39,AZ39,1,Holidays[Date]),BC39),"")</f>
        <v/>
      </c>
      <c r="BC39" s="78"/>
      <c r="BD39" s="80"/>
      <c r="BE39" s="68"/>
      <c r="BF39" s="77" t="str">
        <f>IF(BK39="","",WORKDAY.INTL(BK39,BI39*-1,1,Holidays[Date]))</f>
        <v/>
      </c>
      <c r="BG39" s="77" t="str">
        <f ca="1">IFERROR(IF(BH39="",WORKDAY.INTL(BB39,BE39,1,Holidays[Date]),BH39),"")</f>
        <v/>
      </c>
      <c r="BH39" s="78"/>
      <c r="BI39" s="80"/>
      <c r="BJ39" s="68"/>
      <c r="BK39" s="77" t="str">
        <f>IF(BP39="","",WORKDAY.INTL(BP39,BN39*-1,1,Holidays[Date]))</f>
        <v/>
      </c>
      <c r="BL39" s="77" t="str">
        <f ca="1">IFERROR(IF(BM39="",WORKDAY.INTL(BG39,BJ39,1,Holidays[Date]),BM39),"")</f>
        <v/>
      </c>
      <c r="BM39" s="78"/>
      <c r="BN39" s="80"/>
      <c r="BO39" s="68"/>
      <c r="BP39" s="77" t="str">
        <f>IF(BU39="","",WORKDAY.INTL(BU39,BS39*-1,1,Holidays[Date]))</f>
        <v/>
      </c>
      <c r="BQ39" s="77" t="str">
        <f ca="1">IFERROR(IF(BR39="",WORKDAY.INTL(BL39,BO39,1,Holidays[Date]),BR39),"")</f>
        <v/>
      </c>
      <c r="BR39" s="78"/>
      <c r="BS39" s="80"/>
      <c r="BT39" s="68"/>
      <c r="BU39" s="77" t="str">
        <f>IF(BZ39="","",WORKDAY.INTL(BZ39,BX39*-1,1,Holidays[Date]))</f>
        <v/>
      </c>
      <c r="BV39" s="77" t="str">
        <f ca="1">IFERROR(IF(BW39="",WORKDAY.INTL(BQ39,BT39,1,Holidays[Date]),BW39),"")</f>
        <v/>
      </c>
      <c r="BW39" s="78"/>
      <c r="BX39" s="80"/>
      <c r="BY39" s="68"/>
      <c r="BZ39" s="81"/>
      <c r="CA39" s="77" t="str">
        <f ca="1">IFERROR(IF(CB39="",WORKDAY.INTL(BV39,BY39,1,Holidays[Date]),CB39),"")</f>
        <v/>
      </c>
      <c r="CB39" s="78"/>
    </row>
    <row r="40" spans="1:80" ht="19" customHeight="1" x14ac:dyDescent="0.35">
      <c r="A40" s="31"/>
      <c r="B40" s="82"/>
      <c r="C40" s="1"/>
      <c r="D40" s="8"/>
      <c r="E40" s="8"/>
      <c r="F40" s="8"/>
      <c r="G40" s="8"/>
      <c r="H40" s="8"/>
      <c r="I40" s="9"/>
      <c r="J40" s="8"/>
      <c r="K40" s="8"/>
      <c r="L40" s="8"/>
      <c r="M40" s="8"/>
      <c r="N40" s="8"/>
      <c r="O40" s="8"/>
      <c r="P40" s="8"/>
      <c r="Q40" s="2"/>
      <c r="R40" s="2"/>
      <c r="S40" s="88" t="str">
        <f>IF(tblProcRegister[[#This Row],[Award]]&lt;&gt;"",tblProcRegister[[#This Row],[Budget]]-tblProcRegister[[#This Row],[Award]],"")</f>
        <v/>
      </c>
      <c r="T40" s="68"/>
      <c r="U40" s="68"/>
      <c r="V40" s="68"/>
      <c r="W40" s="77" t="str">
        <f>IF(AB40="","",WORKDAY.INTL(AB40,Z40*-1,1,Holidays[Date]))</f>
        <v/>
      </c>
      <c r="X40" s="77" t="str">
        <f t="shared" ca="1" si="0"/>
        <v/>
      </c>
      <c r="Y40" s="78"/>
      <c r="Z40" s="79"/>
      <c r="AA40" s="68"/>
      <c r="AB40" s="77" t="str">
        <f>IF(AG40="","",WORKDAY.INTL(AG40,AE40*-1,1,Holidays[Date]))</f>
        <v/>
      </c>
      <c r="AC40" s="77" t="str">
        <f ca="1">IFERROR(IF(AD40="",WORKDAY.INTL(X40,AA40,1,Holidays[Date]),AD40),"")</f>
        <v/>
      </c>
      <c r="AD40" s="78"/>
      <c r="AE40" s="80"/>
      <c r="AF40" s="68"/>
      <c r="AG40" s="77" t="str">
        <f>IF(AL40="","",WORKDAY.INTL(AL40,AJ40*-1,1,Holidays[Date]))</f>
        <v/>
      </c>
      <c r="AH40" s="77" t="str">
        <f ca="1">IFERROR(IF(AI40="",WORKDAY.INTL(AC40,AF40,1,Holidays[Date]),AI40),"")</f>
        <v/>
      </c>
      <c r="AI40" s="78"/>
      <c r="AJ40" s="80"/>
      <c r="AK40" s="68"/>
      <c r="AL40" s="77" t="str">
        <f>IF(AQ40="","",WORKDAY.INTL(AQ40,AO40*-1,1,Holidays[Date]))</f>
        <v/>
      </c>
      <c r="AM40" s="77" t="str">
        <f ca="1">IFERROR(IF(AN40="",WORKDAY.INTL(AH40,AK40,1,Holidays[Date]),AN40),"")</f>
        <v/>
      </c>
      <c r="AN40" s="78"/>
      <c r="AO40" s="80"/>
      <c r="AP40" s="68"/>
      <c r="AQ40" s="77" t="str">
        <f>IF(AV40="","",WORKDAY.INTL(AV40,AT40*-1,1,Holidays[Date]))</f>
        <v/>
      </c>
      <c r="AR40" s="77" t="str">
        <f ca="1">IFERROR(IF(AS40="",WORKDAY.INTL(AM40,AP40,1,Holidays[Date]),AS40),"")</f>
        <v/>
      </c>
      <c r="AS40" s="78"/>
      <c r="AT40" s="80"/>
      <c r="AU40" s="68"/>
      <c r="AV40" s="77" t="str">
        <f>IF(BA40="","",WORKDAY.INTL(BA40,AY40*-1,1,Holidays[Date]))</f>
        <v/>
      </c>
      <c r="AW40" s="77" t="str">
        <f ca="1">IFERROR(IF(AX40="",WORKDAY.INTL(AR40,AU40,1,Holidays[Date]),AX40),"")</f>
        <v/>
      </c>
      <c r="AX40" s="78"/>
      <c r="AY40" s="80"/>
      <c r="AZ40" s="68"/>
      <c r="BA40" s="77" t="str">
        <f>IF(BF40="","",WORKDAY.INTL(BF40,BD40*-1,1,Holidays[Date]))</f>
        <v/>
      </c>
      <c r="BB40" s="77" t="str">
        <f ca="1">IFERROR(IF(BC40="",WORKDAY.INTL(AW40,AZ40,1,Holidays[Date]),BC40),"")</f>
        <v/>
      </c>
      <c r="BC40" s="78"/>
      <c r="BD40" s="80"/>
      <c r="BE40" s="68"/>
      <c r="BF40" s="77" t="str">
        <f>IF(BK40="","",WORKDAY.INTL(BK40,BI40*-1,1,Holidays[Date]))</f>
        <v/>
      </c>
      <c r="BG40" s="77" t="str">
        <f ca="1">IFERROR(IF(BH40="",WORKDAY.INTL(BB40,BE40,1,Holidays[Date]),BH40),"")</f>
        <v/>
      </c>
      <c r="BH40" s="78"/>
      <c r="BI40" s="80"/>
      <c r="BJ40" s="68"/>
      <c r="BK40" s="77" t="str">
        <f>IF(BP40="","",WORKDAY.INTL(BP40,BN40*-1,1,Holidays[Date]))</f>
        <v/>
      </c>
      <c r="BL40" s="77" t="str">
        <f ca="1">IFERROR(IF(BM40="",WORKDAY.INTL(BG40,BJ40,1,Holidays[Date]),BM40),"")</f>
        <v/>
      </c>
      <c r="BM40" s="78"/>
      <c r="BN40" s="80"/>
      <c r="BO40" s="68"/>
      <c r="BP40" s="77" t="str">
        <f>IF(BU40="","",WORKDAY.INTL(BU40,BS40*-1,1,Holidays[Date]))</f>
        <v/>
      </c>
      <c r="BQ40" s="77" t="str">
        <f ca="1">IFERROR(IF(BR40="",WORKDAY.INTL(BL40,BO40,1,Holidays[Date]),BR40),"")</f>
        <v/>
      </c>
      <c r="BR40" s="78"/>
      <c r="BS40" s="80"/>
      <c r="BT40" s="68"/>
      <c r="BU40" s="77" t="str">
        <f>IF(BZ40="","",WORKDAY.INTL(BZ40,BX40*-1,1,Holidays[Date]))</f>
        <v/>
      </c>
      <c r="BV40" s="77" t="str">
        <f ca="1">IFERROR(IF(BW40="",WORKDAY.INTL(BQ40,BT40,1,Holidays[Date]),BW40),"")</f>
        <v/>
      </c>
      <c r="BW40" s="78"/>
      <c r="BX40" s="80"/>
      <c r="BY40" s="68"/>
      <c r="BZ40" s="81"/>
      <c r="CA40" s="77" t="str">
        <f ca="1">IFERROR(IF(CB40="",WORKDAY.INTL(BV40,BY40,1,Holidays[Date]),CB40),"")</f>
        <v/>
      </c>
      <c r="CB40" s="78"/>
    </row>
    <row r="41" spans="1:80" ht="19" customHeight="1" x14ac:dyDescent="0.35">
      <c r="A41" s="31"/>
      <c r="B41" s="82"/>
      <c r="C41" s="1"/>
      <c r="D41" s="8"/>
      <c r="E41" s="8"/>
      <c r="F41" s="8"/>
      <c r="G41" s="8"/>
      <c r="H41" s="8"/>
      <c r="I41" s="9"/>
      <c r="J41" s="8"/>
      <c r="K41" s="8"/>
      <c r="L41" s="8"/>
      <c r="M41" s="8"/>
      <c r="N41" s="8"/>
      <c r="O41" s="8"/>
      <c r="P41" s="8"/>
      <c r="Q41" s="2"/>
      <c r="R41" s="2"/>
      <c r="S41" s="88" t="str">
        <f>IF(tblProcRegister[[#This Row],[Award]]&lt;&gt;"",tblProcRegister[[#This Row],[Budget]]-tblProcRegister[[#This Row],[Award]],"")</f>
        <v/>
      </c>
      <c r="T41" s="68"/>
      <c r="U41" s="68"/>
      <c r="V41" s="68"/>
      <c r="W41" s="77" t="str">
        <f>IF(AB41="","",WORKDAY.INTL(AB41,Z41*-1,1,Holidays[Date]))</f>
        <v/>
      </c>
      <c r="X41" s="77" t="str">
        <f t="shared" ca="1" si="0"/>
        <v/>
      </c>
      <c r="Y41" s="78"/>
      <c r="Z41" s="79"/>
      <c r="AA41" s="68"/>
      <c r="AB41" s="77" t="str">
        <f>IF(AG41="","",WORKDAY.INTL(AG41,AE41*-1,1,Holidays[Date]))</f>
        <v/>
      </c>
      <c r="AC41" s="77" t="str">
        <f ca="1">IFERROR(IF(AD41="",WORKDAY.INTL(X41,AA41,1,Holidays[Date]),AD41),"")</f>
        <v/>
      </c>
      <c r="AD41" s="78"/>
      <c r="AE41" s="80"/>
      <c r="AF41" s="68"/>
      <c r="AG41" s="77" t="str">
        <f>IF(AL41="","",WORKDAY.INTL(AL41,AJ41*-1,1,Holidays[Date]))</f>
        <v/>
      </c>
      <c r="AH41" s="77" t="str">
        <f ca="1">IFERROR(IF(AI41="",WORKDAY.INTL(AC41,AF41,1,Holidays[Date]),AI41),"")</f>
        <v/>
      </c>
      <c r="AI41" s="78"/>
      <c r="AJ41" s="80"/>
      <c r="AK41" s="68"/>
      <c r="AL41" s="77" t="str">
        <f>IF(AQ41="","",WORKDAY.INTL(AQ41,AO41*-1,1,Holidays[Date]))</f>
        <v/>
      </c>
      <c r="AM41" s="77" t="str">
        <f ca="1">IFERROR(IF(AN41="",WORKDAY.INTL(AH41,AK41,1,Holidays[Date]),AN41),"")</f>
        <v/>
      </c>
      <c r="AN41" s="78"/>
      <c r="AO41" s="80"/>
      <c r="AP41" s="68"/>
      <c r="AQ41" s="77" t="str">
        <f>IF(AV41="","",WORKDAY.INTL(AV41,AT41*-1,1,Holidays[Date]))</f>
        <v/>
      </c>
      <c r="AR41" s="77" t="str">
        <f ca="1">IFERROR(IF(AS41="",WORKDAY.INTL(AM41,AP41,1,Holidays[Date]),AS41),"")</f>
        <v/>
      </c>
      <c r="AS41" s="78"/>
      <c r="AT41" s="80"/>
      <c r="AU41" s="68"/>
      <c r="AV41" s="77" t="str">
        <f>IF(BA41="","",WORKDAY.INTL(BA41,AY41*-1,1,Holidays[Date]))</f>
        <v/>
      </c>
      <c r="AW41" s="77" t="str">
        <f ca="1">IFERROR(IF(AX41="",WORKDAY.INTL(AR41,AU41,1,Holidays[Date]),AX41),"")</f>
        <v/>
      </c>
      <c r="AX41" s="78"/>
      <c r="AY41" s="80"/>
      <c r="AZ41" s="68"/>
      <c r="BA41" s="77" t="str">
        <f>IF(BF41="","",WORKDAY.INTL(BF41,BD41*-1,1,Holidays[Date]))</f>
        <v/>
      </c>
      <c r="BB41" s="77" t="str">
        <f ca="1">IFERROR(IF(BC41="",WORKDAY.INTL(AW41,AZ41,1,Holidays[Date]),BC41),"")</f>
        <v/>
      </c>
      <c r="BC41" s="78"/>
      <c r="BD41" s="80"/>
      <c r="BE41" s="68"/>
      <c r="BF41" s="77" t="str">
        <f>IF(BK41="","",WORKDAY.INTL(BK41,BI41*-1,1,Holidays[Date]))</f>
        <v/>
      </c>
      <c r="BG41" s="77" t="str">
        <f ca="1">IFERROR(IF(BH41="",WORKDAY.INTL(BB41,BE41,1,Holidays[Date]),BH41),"")</f>
        <v/>
      </c>
      <c r="BH41" s="78"/>
      <c r="BI41" s="80"/>
      <c r="BJ41" s="68"/>
      <c r="BK41" s="77" t="str">
        <f>IF(BP41="","",WORKDAY.INTL(BP41,BN41*-1,1,Holidays[Date]))</f>
        <v/>
      </c>
      <c r="BL41" s="77" t="str">
        <f ca="1">IFERROR(IF(BM41="",WORKDAY.INTL(BG41,BJ41,1,Holidays[Date]),BM41),"")</f>
        <v/>
      </c>
      <c r="BM41" s="78"/>
      <c r="BN41" s="80"/>
      <c r="BO41" s="68"/>
      <c r="BP41" s="77" t="str">
        <f>IF(BU41="","",WORKDAY.INTL(BU41,BS41*-1,1,Holidays[Date]))</f>
        <v/>
      </c>
      <c r="BQ41" s="77" t="str">
        <f ca="1">IFERROR(IF(BR41="",WORKDAY.INTL(BL41,BO41,1,Holidays[Date]),BR41),"")</f>
        <v/>
      </c>
      <c r="BR41" s="78"/>
      <c r="BS41" s="80"/>
      <c r="BT41" s="68"/>
      <c r="BU41" s="77" t="str">
        <f>IF(BZ41="","",WORKDAY.INTL(BZ41,BX41*-1,1,Holidays[Date]))</f>
        <v/>
      </c>
      <c r="BV41" s="77" t="str">
        <f ca="1">IFERROR(IF(BW41="",WORKDAY.INTL(BQ41,BT41,1,Holidays[Date]),BW41),"")</f>
        <v/>
      </c>
      <c r="BW41" s="78"/>
      <c r="BX41" s="80"/>
      <c r="BY41" s="68"/>
      <c r="BZ41" s="81"/>
      <c r="CA41" s="77" t="str">
        <f ca="1">IFERROR(IF(CB41="",WORKDAY.INTL(BV41,BY41,1,Holidays[Date]),CB41),"")</f>
        <v/>
      </c>
      <c r="CB41" s="78"/>
    </row>
    <row r="42" spans="1:80" ht="19" customHeight="1" x14ac:dyDescent="0.35">
      <c r="A42" s="31"/>
      <c r="B42" s="82"/>
      <c r="C42" s="1"/>
      <c r="D42" s="8"/>
      <c r="E42" s="8"/>
      <c r="F42" s="8"/>
      <c r="G42" s="8"/>
      <c r="H42" s="8"/>
      <c r="I42" s="9"/>
      <c r="J42" s="8"/>
      <c r="K42" s="8"/>
      <c r="L42" s="8"/>
      <c r="M42" s="8"/>
      <c r="N42" s="8"/>
      <c r="O42" s="8"/>
      <c r="P42" s="8"/>
      <c r="Q42" s="2"/>
      <c r="R42" s="2"/>
      <c r="S42" s="88" t="str">
        <f>IF(tblProcRegister[[#This Row],[Award]]&lt;&gt;"",tblProcRegister[[#This Row],[Budget]]-tblProcRegister[[#This Row],[Award]],"")</f>
        <v/>
      </c>
      <c r="T42" s="68"/>
      <c r="U42" s="68"/>
      <c r="V42" s="68"/>
      <c r="W42" s="77" t="str">
        <f>IF(AB42="","",WORKDAY.INTL(AB42,Z42*-1,1,Holidays[Date]))</f>
        <v/>
      </c>
      <c r="X42" s="77" t="str">
        <f t="shared" ca="1" si="0"/>
        <v/>
      </c>
      <c r="Y42" s="78"/>
      <c r="Z42" s="79"/>
      <c r="AA42" s="68"/>
      <c r="AB42" s="77" t="str">
        <f>IF(AG42="","",WORKDAY.INTL(AG42,AE42*-1,1,Holidays[Date]))</f>
        <v/>
      </c>
      <c r="AC42" s="77" t="str">
        <f ca="1">IFERROR(IF(AD42="",WORKDAY.INTL(X42,AA42,1,Holidays[Date]),AD42),"")</f>
        <v/>
      </c>
      <c r="AD42" s="78"/>
      <c r="AE42" s="80"/>
      <c r="AF42" s="68"/>
      <c r="AG42" s="77" t="str">
        <f>IF(AL42="","",WORKDAY.INTL(AL42,AJ42*-1,1,Holidays[Date]))</f>
        <v/>
      </c>
      <c r="AH42" s="77" t="str">
        <f ca="1">IFERROR(IF(AI42="",WORKDAY.INTL(AC42,AF42,1,Holidays[Date]),AI42),"")</f>
        <v/>
      </c>
      <c r="AI42" s="78"/>
      <c r="AJ42" s="80"/>
      <c r="AK42" s="68"/>
      <c r="AL42" s="77" t="str">
        <f>IF(AQ42="","",WORKDAY.INTL(AQ42,AO42*-1,1,Holidays[Date]))</f>
        <v/>
      </c>
      <c r="AM42" s="77" t="str">
        <f ca="1">IFERROR(IF(AN42="",WORKDAY.INTL(AH42,AK42,1,Holidays[Date]),AN42),"")</f>
        <v/>
      </c>
      <c r="AN42" s="78"/>
      <c r="AO42" s="80"/>
      <c r="AP42" s="68"/>
      <c r="AQ42" s="77" t="str">
        <f>IF(AV42="","",WORKDAY.INTL(AV42,AT42*-1,1,Holidays[Date]))</f>
        <v/>
      </c>
      <c r="AR42" s="77" t="str">
        <f ca="1">IFERROR(IF(AS42="",WORKDAY.INTL(AM42,AP42,1,Holidays[Date]),AS42),"")</f>
        <v/>
      </c>
      <c r="AS42" s="78"/>
      <c r="AT42" s="80"/>
      <c r="AU42" s="68"/>
      <c r="AV42" s="77" t="str">
        <f>IF(BA42="","",WORKDAY.INTL(BA42,AY42*-1,1,Holidays[Date]))</f>
        <v/>
      </c>
      <c r="AW42" s="77" t="str">
        <f ca="1">IFERROR(IF(AX42="",WORKDAY.INTL(AR42,AU42,1,Holidays[Date]),AX42),"")</f>
        <v/>
      </c>
      <c r="AX42" s="78"/>
      <c r="AY42" s="80"/>
      <c r="AZ42" s="68"/>
      <c r="BA42" s="77" t="str">
        <f>IF(BF42="","",WORKDAY.INTL(BF42,BD42*-1,1,Holidays[Date]))</f>
        <v/>
      </c>
      <c r="BB42" s="77" t="str">
        <f ca="1">IFERROR(IF(BC42="",WORKDAY.INTL(AW42,AZ42,1,Holidays[Date]),BC42),"")</f>
        <v/>
      </c>
      <c r="BC42" s="78"/>
      <c r="BD42" s="80"/>
      <c r="BE42" s="68"/>
      <c r="BF42" s="77" t="str">
        <f>IF(BK42="","",WORKDAY.INTL(BK42,BI42*-1,1,Holidays[Date]))</f>
        <v/>
      </c>
      <c r="BG42" s="77" t="str">
        <f ca="1">IFERROR(IF(BH42="",WORKDAY.INTL(BB42,BE42,1,Holidays[Date]),BH42),"")</f>
        <v/>
      </c>
      <c r="BH42" s="78"/>
      <c r="BI42" s="80"/>
      <c r="BJ42" s="68"/>
      <c r="BK42" s="77" t="str">
        <f>IF(BP42="","",WORKDAY.INTL(BP42,BN42*-1,1,Holidays[Date]))</f>
        <v/>
      </c>
      <c r="BL42" s="77" t="str">
        <f ca="1">IFERROR(IF(BM42="",WORKDAY.INTL(BG42,BJ42,1,Holidays[Date]),BM42),"")</f>
        <v/>
      </c>
      <c r="BM42" s="78"/>
      <c r="BN42" s="80"/>
      <c r="BO42" s="68"/>
      <c r="BP42" s="77" t="str">
        <f>IF(BU42="","",WORKDAY.INTL(BU42,BS42*-1,1,Holidays[Date]))</f>
        <v/>
      </c>
      <c r="BQ42" s="77" t="str">
        <f ca="1">IFERROR(IF(BR42="",WORKDAY.INTL(BL42,BO42,1,Holidays[Date]),BR42),"")</f>
        <v/>
      </c>
      <c r="BR42" s="78"/>
      <c r="BS42" s="80"/>
      <c r="BT42" s="68"/>
      <c r="BU42" s="77" t="str">
        <f>IF(BZ42="","",WORKDAY.INTL(BZ42,BX42*-1,1,Holidays[Date]))</f>
        <v/>
      </c>
      <c r="BV42" s="77" t="str">
        <f ca="1">IFERROR(IF(BW42="",WORKDAY.INTL(BQ42,BT42,1,Holidays[Date]),BW42),"")</f>
        <v/>
      </c>
      <c r="BW42" s="78"/>
      <c r="BX42" s="80"/>
      <c r="BY42" s="68"/>
      <c r="BZ42" s="81"/>
      <c r="CA42" s="77" t="str">
        <f ca="1">IFERROR(IF(CB42="",WORKDAY.INTL(BV42,BY42,1,Holidays[Date]),CB42),"")</f>
        <v/>
      </c>
      <c r="CB42" s="78"/>
    </row>
    <row r="43" spans="1:80" ht="19" customHeight="1" x14ac:dyDescent="0.35">
      <c r="A43" s="31"/>
      <c r="B43" s="82"/>
      <c r="C43" s="1"/>
      <c r="D43" s="8"/>
      <c r="E43" s="8"/>
      <c r="F43" s="8"/>
      <c r="G43" s="8"/>
      <c r="H43" s="8"/>
      <c r="I43" s="9"/>
      <c r="J43" s="8"/>
      <c r="K43" s="8"/>
      <c r="L43" s="8"/>
      <c r="M43" s="8"/>
      <c r="N43" s="8"/>
      <c r="O43" s="8"/>
      <c r="P43" s="8"/>
      <c r="Q43" s="2"/>
      <c r="R43" s="2"/>
      <c r="S43" s="88" t="str">
        <f>IF(tblProcRegister[[#This Row],[Award]]&lt;&gt;"",tblProcRegister[[#This Row],[Budget]]-tblProcRegister[[#This Row],[Award]],"")</f>
        <v/>
      </c>
      <c r="T43" s="68"/>
      <c r="U43" s="68"/>
      <c r="V43" s="68"/>
      <c r="W43" s="77" t="str">
        <f>IF(AB43="","",WORKDAY.INTL(AB43,Z43*-1,1,Holidays[Date]))</f>
        <v/>
      </c>
      <c r="X43" s="77" t="str">
        <f t="shared" ca="1" si="0"/>
        <v/>
      </c>
      <c r="Y43" s="78"/>
      <c r="Z43" s="79"/>
      <c r="AA43" s="68"/>
      <c r="AB43" s="77" t="str">
        <f>IF(AG43="","",WORKDAY.INTL(AG43,AE43*-1,1,Holidays[Date]))</f>
        <v/>
      </c>
      <c r="AC43" s="77" t="str">
        <f ca="1">IFERROR(IF(AD43="",WORKDAY.INTL(X43,AA43,1,Holidays[Date]),AD43),"")</f>
        <v/>
      </c>
      <c r="AD43" s="78"/>
      <c r="AE43" s="80"/>
      <c r="AF43" s="68"/>
      <c r="AG43" s="77" t="str">
        <f>IF(AL43="","",WORKDAY.INTL(AL43,AJ43*-1,1,Holidays[Date]))</f>
        <v/>
      </c>
      <c r="AH43" s="77" t="str">
        <f ca="1">IFERROR(IF(AI43="",WORKDAY.INTL(AC43,AF43,1,Holidays[Date]),AI43),"")</f>
        <v/>
      </c>
      <c r="AI43" s="78"/>
      <c r="AJ43" s="80"/>
      <c r="AK43" s="68"/>
      <c r="AL43" s="77" t="str">
        <f>IF(AQ43="","",WORKDAY.INTL(AQ43,AO43*-1,1,Holidays[Date]))</f>
        <v/>
      </c>
      <c r="AM43" s="77" t="str">
        <f ca="1">IFERROR(IF(AN43="",WORKDAY.INTL(AH43,AK43,1,Holidays[Date]),AN43),"")</f>
        <v/>
      </c>
      <c r="AN43" s="78"/>
      <c r="AO43" s="80"/>
      <c r="AP43" s="68"/>
      <c r="AQ43" s="77" t="str">
        <f>IF(AV43="","",WORKDAY.INTL(AV43,AT43*-1,1,Holidays[Date]))</f>
        <v/>
      </c>
      <c r="AR43" s="77" t="str">
        <f ca="1">IFERROR(IF(AS43="",WORKDAY.INTL(AM43,AP43,1,Holidays[Date]),AS43),"")</f>
        <v/>
      </c>
      <c r="AS43" s="78"/>
      <c r="AT43" s="80"/>
      <c r="AU43" s="68"/>
      <c r="AV43" s="77" t="str">
        <f>IF(BA43="","",WORKDAY.INTL(BA43,AY43*-1,1,Holidays[Date]))</f>
        <v/>
      </c>
      <c r="AW43" s="77" t="str">
        <f ca="1">IFERROR(IF(AX43="",WORKDAY.INTL(AR43,AU43,1,Holidays[Date]),AX43),"")</f>
        <v/>
      </c>
      <c r="AX43" s="78"/>
      <c r="AY43" s="80"/>
      <c r="AZ43" s="68"/>
      <c r="BA43" s="77" t="str">
        <f>IF(BF43="","",WORKDAY.INTL(BF43,BD43*-1,1,Holidays[Date]))</f>
        <v/>
      </c>
      <c r="BB43" s="77" t="str">
        <f ca="1">IFERROR(IF(BC43="",WORKDAY.INTL(AW43,AZ43,1,Holidays[Date]),BC43),"")</f>
        <v/>
      </c>
      <c r="BC43" s="78"/>
      <c r="BD43" s="80"/>
      <c r="BE43" s="68"/>
      <c r="BF43" s="77" t="str">
        <f>IF(BK43="","",WORKDAY.INTL(BK43,BI43*-1,1,Holidays[Date]))</f>
        <v/>
      </c>
      <c r="BG43" s="77" t="str">
        <f ca="1">IFERROR(IF(BH43="",WORKDAY.INTL(BB43,BE43,1,Holidays[Date]),BH43),"")</f>
        <v/>
      </c>
      <c r="BH43" s="78"/>
      <c r="BI43" s="80"/>
      <c r="BJ43" s="68"/>
      <c r="BK43" s="77" t="str">
        <f>IF(BP43="","",WORKDAY.INTL(BP43,BN43*-1,1,Holidays[Date]))</f>
        <v/>
      </c>
      <c r="BL43" s="77" t="str">
        <f ca="1">IFERROR(IF(BM43="",WORKDAY.INTL(BG43,BJ43,1,Holidays[Date]),BM43),"")</f>
        <v/>
      </c>
      <c r="BM43" s="78"/>
      <c r="BN43" s="80"/>
      <c r="BO43" s="68"/>
      <c r="BP43" s="77" t="str">
        <f>IF(BU43="","",WORKDAY.INTL(BU43,BS43*-1,1,Holidays[Date]))</f>
        <v/>
      </c>
      <c r="BQ43" s="77" t="str">
        <f ca="1">IFERROR(IF(BR43="",WORKDAY.INTL(BL43,BO43,1,Holidays[Date]),BR43),"")</f>
        <v/>
      </c>
      <c r="BR43" s="78"/>
      <c r="BS43" s="80"/>
      <c r="BT43" s="68"/>
      <c r="BU43" s="77" t="str">
        <f>IF(BZ43="","",WORKDAY.INTL(BZ43,BX43*-1,1,Holidays[Date]))</f>
        <v/>
      </c>
      <c r="BV43" s="77" t="str">
        <f ca="1">IFERROR(IF(BW43="",WORKDAY.INTL(BQ43,BT43,1,Holidays[Date]),BW43),"")</f>
        <v/>
      </c>
      <c r="BW43" s="78"/>
      <c r="BX43" s="80"/>
      <c r="BY43" s="68"/>
      <c r="BZ43" s="81"/>
      <c r="CA43" s="77" t="str">
        <f ca="1">IFERROR(IF(CB43="",WORKDAY.INTL(BV43,BY43,1,Holidays[Date]),CB43),"")</f>
        <v/>
      </c>
      <c r="CB43" s="78"/>
    </row>
    <row r="44" spans="1:80" ht="19" customHeight="1" x14ac:dyDescent="0.35">
      <c r="A44" s="31"/>
      <c r="B44" s="82"/>
      <c r="C44" s="1"/>
      <c r="D44" s="8"/>
      <c r="E44" s="8"/>
      <c r="F44" s="8"/>
      <c r="G44" s="8"/>
      <c r="H44" s="8"/>
      <c r="I44" s="9"/>
      <c r="J44" s="8"/>
      <c r="K44" s="8"/>
      <c r="L44" s="8"/>
      <c r="M44" s="8"/>
      <c r="N44" s="8"/>
      <c r="O44" s="8"/>
      <c r="P44" s="8"/>
      <c r="Q44" s="2"/>
      <c r="R44" s="2"/>
      <c r="S44" s="88" t="str">
        <f>IF(tblProcRegister[[#This Row],[Award]]&lt;&gt;"",tblProcRegister[[#This Row],[Budget]]-tblProcRegister[[#This Row],[Award]],"")</f>
        <v/>
      </c>
      <c r="T44" s="68"/>
      <c r="U44" s="68"/>
      <c r="V44" s="68"/>
      <c r="W44" s="77" t="str">
        <f>IF(AB44="","",WORKDAY.INTL(AB44,Z44*-1,1,Holidays[Date]))</f>
        <v/>
      </c>
      <c r="X44" s="77" t="str">
        <f t="shared" ca="1" si="0"/>
        <v/>
      </c>
      <c r="Y44" s="78"/>
      <c r="Z44" s="79"/>
      <c r="AA44" s="68"/>
      <c r="AB44" s="77" t="str">
        <f>IF(AG44="","",WORKDAY.INTL(AG44,AE44*-1,1,Holidays[Date]))</f>
        <v/>
      </c>
      <c r="AC44" s="77" t="str">
        <f ca="1">IFERROR(IF(AD44="",WORKDAY.INTL(X44,AA44,1,Holidays[Date]),AD44),"")</f>
        <v/>
      </c>
      <c r="AD44" s="78"/>
      <c r="AE44" s="80"/>
      <c r="AF44" s="68"/>
      <c r="AG44" s="77" t="str">
        <f>IF(AL44="","",WORKDAY.INTL(AL44,AJ44*-1,1,Holidays[Date]))</f>
        <v/>
      </c>
      <c r="AH44" s="77" t="str">
        <f ca="1">IFERROR(IF(AI44="",WORKDAY.INTL(AC44,AF44,1,Holidays[Date]),AI44),"")</f>
        <v/>
      </c>
      <c r="AI44" s="78"/>
      <c r="AJ44" s="80"/>
      <c r="AK44" s="68"/>
      <c r="AL44" s="77" t="str">
        <f>IF(AQ44="","",WORKDAY.INTL(AQ44,AO44*-1,1,Holidays[Date]))</f>
        <v/>
      </c>
      <c r="AM44" s="77" t="str">
        <f ca="1">IFERROR(IF(AN44="",WORKDAY.INTL(AH44,AK44,1,Holidays[Date]),AN44),"")</f>
        <v/>
      </c>
      <c r="AN44" s="78"/>
      <c r="AO44" s="80"/>
      <c r="AP44" s="68"/>
      <c r="AQ44" s="77" t="str">
        <f>IF(AV44="","",WORKDAY.INTL(AV44,AT44*-1,1,Holidays[Date]))</f>
        <v/>
      </c>
      <c r="AR44" s="77" t="str">
        <f ca="1">IFERROR(IF(AS44="",WORKDAY.INTL(AM44,AP44,1,Holidays[Date]),AS44),"")</f>
        <v/>
      </c>
      <c r="AS44" s="78"/>
      <c r="AT44" s="80"/>
      <c r="AU44" s="68"/>
      <c r="AV44" s="77" t="str">
        <f>IF(BA44="","",WORKDAY.INTL(BA44,AY44*-1,1,Holidays[Date]))</f>
        <v/>
      </c>
      <c r="AW44" s="77" t="str">
        <f ca="1">IFERROR(IF(AX44="",WORKDAY.INTL(AR44,AU44,1,Holidays[Date]),AX44),"")</f>
        <v/>
      </c>
      <c r="AX44" s="78"/>
      <c r="AY44" s="80"/>
      <c r="AZ44" s="68"/>
      <c r="BA44" s="77" t="str">
        <f>IF(BF44="","",WORKDAY.INTL(BF44,BD44*-1,1,Holidays[Date]))</f>
        <v/>
      </c>
      <c r="BB44" s="77" t="str">
        <f ca="1">IFERROR(IF(BC44="",WORKDAY.INTL(AW44,AZ44,1,Holidays[Date]),BC44),"")</f>
        <v/>
      </c>
      <c r="BC44" s="78"/>
      <c r="BD44" s="80"/>
      <c r="BE44" s="68"/>
      <c r="BF44" s="77" t="str">
        <f>IF(BK44="","",WORKDAY.INTL(BK44,BI44*-1,1,Holidays[Date]))</f>
        <v/>
      </c>
      <c r="BG44" s="77" t="str">
        <f ca="1">IFERROR(IF(BH44="",WORKDAY.INTL(BB44,BE44,1,Holidays[Date]),BH44),"")</f>
        <v/>
      </c>
      <c r="BH44" s="78"/>
      <c r="BI44" s="80"/>
      <c r="BJ44" s="68"/>
      <c r="BK44" s="77" t="str">
        <f>IF(BP44="","",WORKDAY.INTL(BP44,BN44*-1,1,Holidays[Date]))</f>
        <v/>
      </c>
      <c r="BL44" s="77" t="str">
        <f ca="1">IFERROR(IF(BM44="",WORKDAY.INTL(BG44,BJ44,1,Holidays[Date]),BM44),"")</f>
        <v/>
      </c>
      <c r="BM44" s="78"/>
      <c r="BN44" s="80"/>
      <c r="BO44" s="68"/>
      <c r="BP44" s="77" t="str">
        <f>IF(BU44="","",WORKDAY.INTL(BU44,BS44*-1,1,Holidays[Date]))</f>
        <v/>
      </c>
      <c r="BQ44" s="77" t="str">
        <f ca="1">IFERROR(IF(BR44="",WORKDAY.INTL(BL44,BO44,1,Holidays[Date]),BR44),"")</f>
        <v/>
      </c>
      <c r="BR44" s="78"/>
      <c r="BS44" s="80"/>
      <c r="BT44" s="68"/>
      <c r="BU44" s="77" t="str">
        <f>IF(BZ44="","",WORKDAY.INTL(BZ44,BX44*-1,1,Holidays[Date]))</f>
        <v/>
      </c>
      <c r="BV44" s="77" t="str">
        <f ca="1">IFERROR(IF(BW44="",WORKDAY.INTL(BQ44,BT44,1,Holidays[Date]),BW44),"")</f>
        <v/>
      </c>
      <c r="BW44" s="78"/>
      <c r="BX44" s="80"/>
      <c r="BY44" s="68"/>
      <c r="BZ44" s="81"/>
      <c r="CA44" s="77" t="str">
        <f ca="1">IFERROR(IF(CB44="",WORKDAY.INTL(BV44,BY44,1,Holidays[Date]),CB44),"")</f>
        <v/>
      </c>
      <c r="CB44" s="78"/>
    </row>
    <row r="45" spans="1:80" ht="19" customHeight="1" x14ac:dyDescent="0.35">
      <c r="A45" s="31"/>
      <c r="B45" s="82"/>
      <c r="C45" s="1"/>
      <c r="D45" s="8"/>
      <c r="E45" s="8"/>
      <c r="F45" s="8"/>
      <c r="G45" s="8"/>
      <c r="H45" s="8"/>
      <c r="I45" s="9"/>
      <c r="J45" s="8"/>
      <c r="K45" s="8"/>
      <c r="L45" s="8"/>
      <c r="M45" s="8"/>
      <c r="N45" s="8"/>
      <c r="O45" s="8"/>
      <c r="P45" s="8"/>
      <c r="Q45" s="2"/>
      <c r="R45" s="2"/>
      <c r="S45" s="88" t="str">
        <f>IF(tblProcRegister[[#This Row],[Award]]&lt;&gt;"",tblProcRegister[[#This Row],[Budget]]-tblProcRegister[[#This Row],[Award]],"")</f>
        <v/>
      </c>
      <c r="T45" s="68"/>
      <c r="U45" s="68"/>
      <c r="V45" s="68"/>
      <c r="W45" s="77" t="str">
        <f>IF(AB45="","",WORKDAY.INTL(AB45,Z45*-1,1,Holidays[Date]))</f>
        <v/>
      </c>
      <c r="X45" s="77" t="str">
        <f t="shared" ca="1" si="0"/>
        <v/>
      </c>
      <c r="Y45" s="78"/>
      <c r="Z45" s="79"/>
      <c r="AA45" s="68"/>
      <c r="AB45" s="77" t="str">
        <f>IF(AG45="","",WORKDAY.INTL(AG45,AE45*-1,1,Holidays[Date]))</f>
        <v/>
      </c>
      <c r="AC45" s="77" t="str">
        <f ca="1">IFERROR(IF(AD45="",WORKDAY.INTL(X45,AA45,1,Holidays[Date]),AD45),"")</f>
        <v/>
      </c>
      <c r="AD45" s="78"/>
      <c r="AE45" s="80"/>
      <c r="AF45" s="68"/>
      <c r="AG45" s="77" t="str">
        <f>IF(AL45="","",WORKDAY.INTL(AL45,AJ45*-1,1,Holidays[Date]))</f>
        <v/>
      </c>
      <c r="AH45" s="77" t="str">
        <f ca="1">IFERROR(IF(AI45="",WORKDAY.INTL(AC45,AF45,1,Holidays[Date]),AI45),"")</f>
        <v/>
      </c>
      <c r="AI45" s="78"/>
      <c r="AJ45" s="80"/>
      <c r="AK45" s="68"/>
      <c r="AL45" s="77" t="str">
        <f>IF(AQ45="","",WORKDAY.INTL(AQ45,AO45*-1,1,Holidays[Date]))</f>
        <v/>
      </c>
      <c r="AM45" s="77" t="str">
        <f ca="1">IFERROR(IF(AN45="",WORKDAY.INTL(AH45,AK45,1,Holidays[Date]),AN45),"")</f>
        <v/>
      </c>
      <c r="AN45" s="78"/>
      <c r="AO45" s="80"/>
      <c r="AP45" s="68"/>
      <c r="AQ45" s="77" t="str">
        <f>IF(AV45="","",WORKDAY.INTL(AV45,AT45*-1,1,Holidays[Date]))</f>
        <v/>
      </c>
      <c r="AR45" s="77" t="str">
        <f ca="1">IFERROR(IF(AS45="",WORKDAY.INTL(AM45,AP45,1,Holidays[Date]),AS45),"")</f>
        <v/>
      </c>
      <c r="AS45" s="78"/>
      <c r="AT45" s="80"/>
      <c r="AU45" s="68"/>
      <c r="AV45" s="77" t="str">
        <f>IF(BA45="","",WORKDAY.INTL(BA45,AY45*-1,1,Holidays[Date]))</f>
        <v/>
      </c>
      <c r="AW45" s="77" t="str">
        <f ca="1">IFERROR(IF(AX45="",WORKDAY.INTL(AR45,AU45,1,Holidays[Date]),AX45),"")</f>
        <v/>
      </c>
      <c r="AX45" s="78"/>
      <c r="AY45" s="80"/>
      <c r="AZ45" s="68"/>
      <c r="BA45" s="77" t="str">
        <f>IF(BF45="","",WORKDAY.INTL(BF45,BD45*-1,1,Holidays[Date]))</f>
        <v/>
      </c>
      <c r="BB45" s="77" t="str">
        <f ca="1">IFERROR(IF(BC45="",WORKDAY.INTL(AW45,AZ45,1,Holidays[Date]),BC45),"")</f>
        <v/>
      </c>
      <c r="BC45" s="78"/>
      <c r="BD45" s="80"/>
      <c r="BE45" s="68"/>
      <c r="BF45" s="77" t="str">
        <f>IF(BK45="","",WORKDAY.INTL(BK45,BI45*-1,1,Holidays[Date]))</f>
        <v/>
      </c>
      <c r="BG45" s="77" t="str">
        <f ca="1">IFERROR(IF(BH45="",WORKDAY.INTL(BB45,BE45,1,Holidays[Date]),BH45),"")</f>
        <v/>
      </c>
      <c r="BH45" s="78"/>
      <c r="BI45" s="80"/>
      <c r="BJ45" s="68"/>
      <c r="BK45" s="77" t="str">
        <f>IF(BP45="","",WORKDAY.INTL(BP45,BN45*-1,1,Holidays[Date]))</f>
        <v/>
      </c>
      <c r="BL45" s="77" t="str">
        <f ca="1">IFERROR(IF(BM45="",WORKDAY.INTL(BG45,BJ45,1,Holidays[Date]),BM45),"")</f>
        <v/>
      </c>
      <c r="BM45" s="78"/>
      <c r="BN45" s="80"/>
      <c r="BO45" s="68"/>
      <c r="BP45" s="77" t="str">
        <f>IF(BU45="","",WORKDAY.INTL(BU45,BS45*-1,1,Holidays[Date]))</f>
        <v/>
      </c>
      <c r="BQ45" s="77" t="str">
        <f ca="1">IFERROR(IF(BR45="",WORKDAY.INTL(BL45,BO45,1,Holidays[Date]),BR45),"")</f>
        <v/>
      </c>
      <c r="BR45" s="78"/>
      <c r="BS45" s="80"/>
      <c r="BT45" s="68"/>
      <c r="BU45" s="77" t="str">
        <f>IF(BZ45="","",WORKDAY.INTL(BZ45,BX45*-1,1,Holidays[Date]))</f>
        <v/>
      </c>
      <c r="BV45" s="77" t="str">
        <f ca="1">IFERROR(IF(BW45="",WORKDAY.INTL(BQ45,BT45,1,Holidays[Date]),BW45),"")</f>
        <v/>
      </c>
      <c r="BW45" s="78"/>
      <c r="BX45" s="80"/>
      <c r="BY45" s="68"/>
      <c r="BZ45" s="81"/>
      <c r="CA45" s="77" t="str">
        <f ca="1">IFERROR(IF(CB45="",WORKDAY.INTL(BV45,BY45,1,Holidays[Date]),CB45),"")</f>
        <v/>
      </c>
      <c r="CB45" s="78"/>
    </row>
    <row r="46" spans="1:80" ht="19" customHeight="1" x14ac:dyDescent="0.35">
      <c r="A46" s="31"/>
      <c r="B46" s="82"/>
      <c r="C46" s="1"/>
      <c r="D46" s="8"/>
      <c r="E46" s="8"/>
      <c r="F46" s="8"/>
      <c r="G46" s="8"/>
      <c r="H46" s="8"/>
      <c r="I46" s="9"/>
      <c r="J46" s="8"/>
      <c r="K46" s="8"/>
      <c r="L46" s="8"/>
      <c r="M46" s="8"/>
      <c r="N46" s="8"/>
      <c r="O46" s="8"/>
      <c r="P46" s="8"/>
      <c r="Q46" s="2"/>
      <c r="R46" s="2"/>
      <c r="S46" s="88" t="str">
        <f>IF(tblProcRegister[[#This Row],[Award]]&lt;&gt;"",tblProcRegister[[#This Row],[Budget]]-tblProcRegister[[#This Row],[Award]],"")</f>
        <v/>
      </c>
      <c r="T46" s="68"/>
      <c r="U46" s="68"/>
      <c r="V46" s="68"/>
      <c r="W46" s="77" t="str">
        <f>IF(AB46="","",WORKDAY.INTL(AB46,Z46*-1,1,Holidays[Date]))</f>
        <v/>
      </c>
      <c r="X46" s="77" t="str">
        <f t="shared" ca="1" si="0"/>
        <v/>
      </c>
      <c r="Y46" s="78"/>
      <c r="Z46" s="79"/>
      <c r="AA46" s="68"/>
      <c r="AB46" s="77" t="str">
        <f>IF(AG46="","",WORKDAY.INTL(AG46,AE46*-1,1,Holidays[Date]))</f>
        <v/>
      </c>
      <c r="AC46" s="77" t="str">
        <f ca="1">IFERROR(IF(AD46="",WORKDAY.INTL(X46,AA46,1,Holidays[Date]),AD46),"")</f>
        <v/>
      </c>
      <c r="AD46" s="78"/>
      <c r="AE46" s="80"/>
      <c r="AF46" s="68"/>
      <c r="AG46" s="77" t="str">
        <f>IF(AL46="","",WORKDAY.INTL(AL46,AJ46*-1,1,Holidays[Date]))</f>
        <v/>
      </c>
      <c r="AH46" s="77" t="str">
        <f ca="1">IFERROR(IF(AI46="",WORKDAY.INTL(AC46,AF46,1,Holidays[Date]),AI46),"")</f>
        <v/>
      </c>
      <c r="AI46" s="78"/>
      <c r="AJ46" s="80"/>
      <c r="AK46" s="68"/>
      <c r="AL46" s="77" t="str">
        <f>IF(AQ46="","",WORKDAY.INTL(AQ46,AO46*-1,1,Holidays[Date]))</f>
        <v/>
      </c>
      <c r="AM46" s="77" t="str">
        <f ca="1">IFERROR(IF(AN46="",WORKDAY.INTL(AH46,AK46,1,Holidays[Date]),AN46),"")</f>
        <v/>
      </c>
      <c r="AN46" s="78"/>
      <c r="AO46" s="80"/>
      <c r="AP46" s="68"/>
      <c r="AQ46" s="77" t="str">
        <f>IF(AV46="","",WORKDAY.INTL(AV46,AT46*-1,1,Holidays[Date]))</f>
        <v/>
      </c>
      <c r="AR46" s="77" t="str">
        <f ca="1">IFERROR(IF(AS46="",WORKDAY.INTL(AM46,AP46,1,Holidays[Date]),AS46),"")</f>
        <v/>
      </c>
      <c r="AS46" s="78"/>
      <c r="AT46" s="80"/>
      <c r="AU46" s="68"/>
      <c r="AV46" s="77" t="str">
        <f>IF(BA46="","",WORKDAY.INTL(BA46,AY46*-1,1,Holidays[Date]))</f>
        <v/>
      </c>
      <c r="AW46" s="77" t="str">
        <f ca="1">IFERROR(IF(AX46="",WORKDAY.INTL(AR46,AU46,1,Holidays[Date]),AX46),"")</f>
        <v/>
      </c>
      <c r="AX46" s="78"/>
      <c r="AY46" s="80"/>
      <c r="AZ46" s="68"/>
      <c r="BA46" s="77" t="str">
        <f>IF(BF46="","",WORKDAY.INTL(BF46,BD46*-1,1,Holidays[Date]))</f>
        <v/>
      </c>
      <c r="BB46" s="77" t="str">
        <f ca="1">IFERROR(IF(BC46="",WORKDAY.INTL(AW46,AZ46,1,Holidays[Date]),BC46),"")</f>
        <v/>
      </c>
      <c r="BC46" s="78"/>
      <c r="BD46" s="80"/>
      <c r="BE46" s="68"/>
      <c r="BF46" s="77" t="str">
        <f>IF(BK46="","",WORKDAY.INTL(BK46,BI46*-1,1,Holidays[Date]))</f>
        <v/>
      </c>
      <c r="BG46" s="77" t="str">
        <f ca="1">IFERROR(IF(BH46="",WORKDAY.INTL(BB46,BE46,1,Holidays[Date]),BH46),"")</f>
        <v/>
      </c>
      <c r="BH46" s="78"/>
      <c r="BI46" s="80"/>
      <c r="BJ46" s="68"/>
      <c r="BK46" s="77" t="str">
        <f>IF(BP46="","",WORKDAY.INTL(BP46,BN46*-1,1,Holidays[Date]))</f>
        <v/>
      </c>
      <c r="BL46" s="77" t="str">
        <f ca="1">IFERROR(IF(BM46="",WORKDAY.INTL(BG46,BJ46,1,Holidays[Date]),BM46),"")</f>
        <v/>
      </c>
      <c r="BM46" s="78"/>
      <c r="BN46" s="80"/>
      <c r="BO46" s="68"/>
      <c r="BP46" s="77" t="str">
        <f>IF(BU46="","",WORKDAY.INTL(BU46,BS46*-1,1,Holidays[Date]))</f>
        <v/>
      </c>
      <c r="BQ46" s="77" t="str">
        <f ca="1">IFERROR(IF(BR46="",WORKDAY.INTL(BL46,BO46,1,Holidays[Date]),BR46),"")</f>
        <v/>
      </c>
      <c r="BR46" s="78"/>
      <c r="BS46" s="80"/>
      <c r="BT46" s="68"/>
      <c r="BU46" s="77" t="str">
        <f>IF(BZ46="","",WORKDAY.INTL(BZ46,BX46*-1,1,Holidays[Date]))</f>
        <v/>
      </c>
      <c r="BV46" s="77" t="str">
        <f ca="1">IFERROR(IF(BW46="",WORKDAY.INTL(BQ46,BT46,1,Holidays[Date]),BW46),"")</f>
        <v/>
      </c>
      <c r="BW46" s="78"/>
      <c r="BX46" s="80"/>
      <c r="BY46" s="68"/>
      <c r="BZ46" s="81"/>
      <c r="CA46" s="77" t="str">
        <f ca="1">IFERROR(IF(CB46="",WORKDAY.INTL(BV46,BY46,1,Holidays[Date]),CB46),"")</f>
        <v/>
      </c>
      <c r="CB46" s="78"/>
    </row>
    <row r="47" spans="1:80" ht="19" customHeight="1" x14ac:dyDescent="0.35">
      <c r="A47" s="31"/>
      <c r="B47" s="82"/>
      <c r="C47" s="1"/>
      <c r="D47" s="8"/>
      <c r="E47" s="8"/>
      <c r="F47" s="8"/>
      <c r="G47" s="8"/>
      <c r="H47" s="8"/>
      <c r="I47" s="9"/>
      <c r="J47" s="8"/>
      <c r="K47" s="8"/>
      <c r="L47" s="8"/>
      <c r="M47" s="8"/>
      <c r="N47" s="8"/>
      <c r="O47" s="8"/>
      <c r="P47" s="8"/>
      <c r="Q47" s="2"/>
      <c r="R47" s="2"/>
      <c r="S47" s="88" t="str">
        <f>IF(tblProcRegister[[#This Row],[Award]]&lt;&gt;"",tblProcRegister[[#This Row],[Budget]]-tblProcRegister[[#This Row],[Award]],"")</f>
        <v/>
      </c>
      <c r="T47" s="68"/>
      <c r="U47" s="68"/>
      <c r="V47" s="68"/>
      <c r="W47" s="77" t="str">
        <f>IF(AB47="","",WORKDAY.INTL(AB47,Z47*-1,1,Holidays[Date]))</f>
        <v/>
      </c>
      <c r="X47" s="77" t="str">
        <f t="shared" ca="1" si="0"/>
        <v/>
      </c>
      <c r="Y47" s="78"/>
      <c r="Z47" s="79"/>
      <c r="AA47" s="68"/>
      <c r="AB47" s="77" t="str">
        <f>IF(AG47="","",WORKDAY.INTL(AG47,AE47*-1,1,Holidays[Date]))</f>
        <v/>
      </c>
      <c r="AC47" s="77" t="str">
        <f ca="1">IFERROR(IF(AD47="",WORKDAY.INTL(X47,AA47,1,Holidays[Date]),AD47),"")</f>
        <v/>
      </c>
      <c r="AD47" s="78"/>
      <c r="AE47" s="80"/>
      <c r="AF47" s="68"/>
      <c r="AG47" s="77" t="str">
        <f>IF(AL47="","",WORKDAY.INTL(AL47,AJ47*-1,1,Holidays[Date]))</f>
        <v/>
      </c>
      <c r="AH47" s="77" t="str">
        <f ca="1">IFERROR(IF(AI47="",WORKDAY.INTL(AC47,AF47,1,Holidays[Date]),AI47),"")</f>
        <v/>
      </c>
      <c r="AI47" s="78"/>
      <c r="AJ47" s="80"/>
      <c r="AK47" s="68"/>
      <c r="AL47" s="77" t="str">
        <f>IF(AQ47="","",WORKDAY.INTL(AQ47,AO47*-1,1,Holidays[Date]))</f>
        <v/>
      </c>
      <c r="AM47" s="77" t="str">
        <f ca="1">IFERROR(IF(AN47="",WORKDAY.INTL(AH47,AK47,1,Holidays[Date]),AN47),"")</f>
        <v/>
      </c>
      <c r="AN47" s="78"/>
      <c r="AO47" s="80"/>
      <c r="AP47" s="68"/>
      <c r="AQ47" s="77" t="str">
        <f>IF(AV47="","",WORKDAY.INTL(AV47,AT47*-1,1,Holidays[Date]))</f>
        <v/>
      </c>
      <c r="AR47" s="77" t="str">
        <f ca="1">IFERROR(IF(AS47="",WORKDAY.INTL(AM47,AP47,1,Holidays[Date]),AS47),"")</f>
        <v/>
      </c>
      <c r="AS47" s="78"/>
      <c r="AT47" s="80"/>
      <c r="AU47" s="68"/>
      <c r="AV47" s="77" t="str">
        <f>IF(BA47="","",WORKDAY.INTL(BA47,AY47*-1,1,Holidays[Date]))</f>
        <v/>
      </c>
      <c r="AW47" s="77" t="str">
        <f ca="1">IFERROR(IF(AX47="",WORKDAY.INTL(AR47,AU47,1,Holidays[Date]),AX47),"")</f>
        <v/>
      </c>
      <c r="AX47" s="78"/>
      <c r="AY47" s="80"/>
      <c r="AZ47" s="68"/>
      <c r="BA47" s="77" t="str">
        <f>IF(BF47="","",WORKDAY.INTL(BF47,BD47*-1,1,Holidays[Date]))</f>
        <v/>
      </c>
      <c r="BB47" s="77" t="str">
        <f ca="1">IFERROR(IF(BC47="",WORKDAY.INTL(AW47,AZ47,1,Holidays[Date]),BC47),"")</f>
        <v/>
      </c>
      <c r="BC47" s="78"/>
      <c r="BD47" s="80"/>
      <c r="BE47" s="68"/>
      <c r="BF47" s="77" t="str">
        <f>IF(BK47="","",WORKDAY.INTL(BK47,BI47*-1,1,Holidays[Date]))</f>
        <v/>
      </c>
      <c r="BG47" s="77" t="str">
        <f ca="1">IFERROR(IF(BH47="",WORKDAY.INTL(BB47,BE47,1,Holidays[Date]),BH47),"")</f>
        <v/>
      </c>
      <c r="BH47" s="78"/>
      <c r="BI47" s="80"/>
      <c r="BJ47" s="68"/>
      <c r="BK47" s="77" t="str">
        <f>IF(BP47="","",WORKDAY.INTL(BP47,BN47*-1,1,Holidays[Date]))</f>
        <v/>
      </c>
      <c r="BL47" s="77" t="str">
        <f ca="1">IFERROR(IF(BM47="",WORKDAY.INTL(BG47,BJ47,1,Holidays[Date]),BM47),"")</f>
        <v/>
      </c>
      <c r="BM47" s="78"/>
      <c r="BN47" s="80"/>
      <c r="BO47" s="68"/>
      <c r="BP47" s="77" t="str">
        <f>IF(BU47="","",WORKDAY.INTL(BU47,BS47*-1,1,Holidays[Date]))</f>
        <v/>
      </c>
      <c r="BQ47" s="77" t="str">
        <f ca="1">IFERROR(IF(BR47="",WORKDAY.INTL(BL47,BO47,1,Holidays[Date]),BR47),"")</f>
        <v/>
      </c>
      <c r="BR47" s="78"/>
      <c r="BS47" s="80"/>
      <c r="BT47" s="68"/>
      <c r="BU47" s="77" t="str">
        <f>IF(BZ47="","",WORKDAY.INTL(BZ47,BX47*-1,1,Holidays[Date]))</f>
        <v/>
      </c>
      <c r="BV47" s="77" t="str">
        <f ca="1">IFERROR(IF(BW47="",WORKDAY.INTL(BQ47,BT47,1,Holidays[Date]),BW47),"")</f>
        <v/>
      </c>
      <c r="BW47" s="78"/>
      <c r="BX47" s="80"/>
      <c r="BY47" s="68"/>
      <c r="BZ47" s="81"/>
      <c r="CA47" s="77" t="str">
        <f ca="1">IFERROR(IF(CB47="",WORKDAY.INTL(BV47,BY47,1,Holidays[Date]),CB47),"")</f>
        <v/>
      </c>
      <c r="CB47" s="78"/>
    </row>
    <row r="48" spans="1:80" ht="19" customHeight="1" x14ac:dyDescent="0.35">
      <c r="A48" s="31"/>
      <c r="B48" s="82"/>
      <c r="C48" s="1"/>
      <c r="D48" s="8"/>
      <c r="E48" s="8"/>
      <c r="F48" s="8"/>
      <c r="G48" s="8"/>
      <c r="H48" s="8"/>
      <c r="I48" s="9"/>
      <c r="J48" s="8"/>
      <c r="K48" s="8"/>
      <c r="L48" s="8"/>
      <c r="M48" s="8"/>
      <c r="N48" s="8"/>
      <c r="O48" s="8"/>
      <c r="P48" s="8"/>
      <c r="Q48" s="2"/>
      <c r="R48" s="2"/>
      <c r="S48" s="88" t="str">
        <f>IF(tblProcRegister[[#This Row],[Award]]&lt;&gt;"",tblProcRegister[[#This Row],[Budget]]-tblProcRegister[[#This Row],[Award]],"")</f>
        <v/>
      </c>
      <c r="T48" s="68"/>
      <c r="U48" s="68"/>
      <c r="V48" s="68"/>
      <c r="W48" s="77" t="str">
        <f>IF(AB48="","",WORKDAY.INTL(AB48,Z48*-1,1,Holidays[Date]))</f>
        <v/>
      </c>
      <c r="X48" s="77" t="str">
        <f t="shared" ca="1" si="0"/>
        <v/>
      </c>
      <c r="Y48" s="78"/>
      <c r="Z48" s="79"/>
      <c r="AA48" s="68"/>
      <c r="AB48" s="77" t="str">
        <f>IF(AG48="","",WORKDAY.INTL(AG48,AE48*-1,1,Holidays[Date]))</f>
        <v/>
      </c>
      <c r="AC48" s="77" t="str">
        <f ca="1">IFERROR(IF(AD48="",WORKDAY.INTL(X48,AA48,1,Holidays[Date]),AD48),"")</f>
        <v/>
      </c>
      <c r="AD48" s="78"/>
      <c r="AE48" s="80"/>
      <c r="AF48" s="68"/>
      <c r="AG48" s="77" t="str">
        <f>IF(AL48="","",WORKDAY.INTL(AL48,AJ48*-1,1,Holidays[Date]))</f>
        <v/>
      </c>
      <c r="AH48" s="77" t="str">
        <f ca="1">IFERROR(IF(AI48="",WORKDAY.INTL(AC48,AF48,1,Holidays[Date]),AI48),"")</f>
        <v/>
      </c>
      <c r="AI48" s="78"/>
      <c r="AJ48" s="80"/>
      <c r="AK48" s="68"/>
      <c r="AL48" s="77" t="str">
        <f>IF(AQ48="","",WORKDAY.INTL(AQ48,AO48*-1,1,Holidays[Date]))</f>
        <v/>
      </c>
      <c r="AM48" s="77" t="str">
        <f ca="1">IFERROR(IF(AN48="",WORKDAY.INTL(AH48,AK48,1,Holidays[Date]),AN48),"")</f>
        <v/>
      </c>
      <c r="AN48" s="78"/>
      <c r="AO48" s="80"/>
      <c r="AP48" s="68"/>
      <c r="AQ48" s="77" t="str">
        <f>IF(AV48="","",WORKDAY.INTL(AV48,AT48*-1,1,Holidays[Date]))</f>
        <v/>
      </c>
      <c r="AR48" s="77" t="str">
        <f ca="1">IFERROR(IF(AS48="",WORKDAY.INTL(AM48,AP48,1,Holidays[Date]),AS48),"")</f>
        <v/>
      </c>
      <c r="AS48" s="78"/>
      <c r="AT48" s="80"/>
      <c r="AU48" s="68"/>
      <c r="AV48" s="77" t="str">
        <f>IF(BA48="","",WORKDAY.INTL(BA48,AY48*-1,1,Holidays[Date]))</f>
        <v/>
      </c>
      <c r="AW48" s="77" t="str">
        <f ca="1">IFERROR(IF(AX48="",WORKDAY.INTL(AR48,AU48,1,Holidays[Date]),AX48),"")</f>
        <v/>
      </c>
      <c r="AX48" s="78"/>
      <c r="AY48" s="80"/>
      <c r="AZ48" s="68"/>
      <c r="BA48" s="77" t="str">
        <f>IF(BF48="","",WORKDAY.INTL(BF48,BD48*-1,1,Holidays[Date]))</f>
        <v/>
      </c>
      <c r="BB48" s="77" t="str">
        <f ca="1">IFERROR(IF(BC48="",WORKDAY.INTL(AW48,AZ48,1,Holidays[Date]),BC48),"")</f>
        <v/>
      </c>
      <c r="BC48" s="78"/>
      <c r="BD48" s="80"/>
      <c r="BE48" s="68"/>
      <c r="BF48" s="77" t="str">
        <f>IF(BK48="","",WORKDAY.INTL(BK48,BI48*-1,1,Holidays[Date]))</f>
        <v/>
      </c>
      <c r="BG48" s="77" t="str">
        <f ca="1">IFERROR(IF(BH48="",WORKDAY.INTL(BB48,BE48,1,Holidays[Date]),BH48),"")</f>
        <v/>
      </c>
      <c r="BH48" s="78"/>
      <c r="BI48" s="80"/>
      <c r="BJ48" s="68"/>
      <c r="BK48" s="77" t="str">
        <f>IF(BP48="","",WORKDAY.INTL(BP48,BN48*-1,1,Holidays[Date]))</f>
        <v/>
      </c>
      <c r="BL48" s="77" t="str">
        <f ca="1">IFERROR(IF(BM48="",WORKDAY.INTL(BG48,BJ48,1,Holidays[Date]),BM48),"")</f>
        <v/>
      </c>
      <c r="BM48" s="78"/>
      <c r="BN48" s="80"/>
      <c r="BO48" s="68"/>
      <c r="BP48" s="77" t="str">
        <f>IF(BU48="","",WORKDAY.INTL(BU48,BS48*-1,1,Holidays[Date]))</f>
        <v/>
      </c>
      <c r="BQ48" s="77" t="str">
        <f ca="1">IFERROR(IF(BR48="",WORKDAY.INTL(BL48,BO48,1,Holidays[Date]),BR48),"")</f>
        <v/>
      </c>
      <c r="BR48" s="78"/>
      <c r="BS48" s="80"/>
      <c r="BT48" s="68"/>
      <c r="BU48" s="77" t="str">
        <f>IF(BZ48="","",WORKDAY.INTL(BZ48,BX48*-1,1,Holidays[Date]))</f>
        <v/>
      </c>
      <c r="BV48" s="77" t="str">
        <f ca="1">IFERROR(IF(BW48="",WORKDAY.INTL(BQ48,BT48,1,Holidays[Date]),BW48),"")</f>
        <v/>
      </c>
      <c r="BW48" s="78"/>
      <c r="BX48" s="80"/>
      <c r="BY48" s="68"/>
      <c r="BZ48" s="81"/>
      <c r="CA48" s="77" t="str">
        <f ca="1">IFERROR(IF(CB48="",WORKDAY.INTL(BV48,BY48,1,Holidays[Date]),CB48),"")</f>
        <v/>
      </c>
      <c r="CB48" s="78"/>
    </row>
    <row r="49" spans="1:80" ht="19" customHeight="1" x14ac:dyDescent="0.35">
      <c r="A49" s="31"/>
      <c r="B49" s="82"/>
      <c r="C49" s="1"/>
      <c r="D49" s="8"/>
      <c r="E49" s="8"/>
      <c r="F49" s="8"/>
      <c r="G49" s="8"/>
      <c r="H49" s="8"/>
      <c r="I49" s="9"/>
      <c r="J49" s="8"/>
      <c r="K49" s="8"/>
      <c r="L49" s="8"/>
      <c r="M49" s="8"/>
      <c r="N49" s="8"/>
      <c r="O49" s="8"/>
      <c r="P49" s="8"/>
      <c r="Q49" s="2"/>
      <c r="R49" s="2"/>
      <c r="S49" s="88" t="str">
        <f>IF(tblProcRegister[[#This Row],[Award]]&lt;&gt;"",tblProcRegister[[#This Row],[Budget]]-tblProcRegister[[#This Row],[Award]],"")</f>
        <v/>
      </c>
      <c r="T49" s="68"/>
      <c r="U49" s="68"/>
      <c r="V49" s="68"/>
      <c r="W49" s="77" t="str">
        <f>IF(AB49="","",WORKDAY.INTL(AB49,Z49*-1,1,Holidays[Date]))</f>
        <v/>
      </c>
      <c r="X49" s="77" t="str">
        <f t="shared" ca="1" si="0"/>
        <v/>
      </c>
      <c r="Y49" s="78"/>
      <c r="Z49" s="79"/>
      <c r="AA49" s="68"/>
      <c r="AB49" s="77" t="str">
        <f>IF(AG49="","",WORKDAY.INTL(AG49,AE49*-1,1,Holidays[Date]))</f>
        <v/>
      </c>
      <c r="AC49" s="77" t="str">
        <f ca="1">IFERROR(IF(AD49="",WORKDAY.INTL(X49,AA49,1,Holidays[Date]),AD49),"")</f>
        <v/>
      </c>
      <c r="AD49" s="78"/>
      <c r="AE49" s="80"/>
      <c r="AF49" s="68"/>
      <c r="AG49" s="77" t="str">
        <f>IF(AL49="","",WORKDAY.INTL(AL49,AJ49*-1,1,Holidays[Date]))</f>
        <v/>
      </c>
      <c r="AH49" s="77" t="str">
        <f ca="1">IFERROR(IF(AI49="",WORKDAY.INTL(AC49,AF49,1,Holidays[Date]),AI49),"")</f>
        <v/>
      </c>
      <c r="AI49" s="78"/>
      <c r="AJ49" s="80"/>
      <c r="AK49" s="68"/>
      <c r="AL49" s="77" t="str">
        <f>IF(AQ49="","",WORKDAY.INTL(AQ49,AO49*-1,1,Holidays[Date]))</f>
        <v/>
      </c>
      <c r="AM49" s="77" t="str">
        <f ca="1">IFERROR(IF(AN49="",WORKDAY.INTL(AH49,AK49,1,Holidays[Date]),AN49),"")</f>
        <v/>
      </c>
      <c r="AN49" s="78"/>
      <c r="AO49" s="80"/>
      <c r="AP49" s="68"/>
      <c r="AQ49" s="77" t="str">
        <f>IF(AV49="","",WORKDAY.INTL(AV49,AT49*-1,1,Holidays[Date]))</f>
        <v/>
      </c>
      <c r="AR49" s="77" t="str">
        <f ca="1">IFERROR(IF(AS49="",WORKDAY.INTL(AM49,AP49,1,Holidays[Date]),AS49),"")</f>
        <v/>
      </c>
      <c r="AS49" s="78"/>
      <c r="AT49" s="80"/>
      <c r="AU49" s="68"/>
      <c r="AV49" s="77" t="str">
        <f>IF(BA49="","",WORKDAY.INTL(BA49,AY49*-1,1,Holidays[Date]))</f>
        <v/>
      </c>
      <c r="AW49" s="77" t="str">
        <f ca="1">IFERROR(IF(AX49="",WORKDAY.INTL(AR49,AU49,1,Holidays[Date]),AX49),"")</f>
        <v/>
      </c>
      <c r="AX49" s="78"/>
      <c r="AY49" s="80"/>
      <c r="AZ49" s="68"/>
      <c r="BA49" s="77" t="str">
        <f>IF(BF49="","",WORKDAY.INTL(BF49,BD49*-1,1,Holidays[Date]))</f>
        <v/>
      </c>
      <c r="BB49" s="77" t="str">
        <f ca="1">IFERROR(IF(BC49="",WORKDAY.INTL(AW49,AZ49,1,Holidays[Date]),BC49),"")</f>
        <v/>
      </c>
      <c r="BC49" s="78"/>
      <c r="BD49" s="80"/>
      <c r="BE49" s="68"/>
      <c r="BF49" s="77" t="str">
        <f>IF(BK49="","",WORKDAY.INTL(BK49,BI49*-1,1,Holidays[Date]))</f>
        <v/>
      </c>
      <c r="BG49" s="77" t="str">
        <f ca="1">IFERROR(IF(BH49="",WORKDAY.INTL(BB49,BE49,1,Holidays[Date]),BH49),"")</f>
        <v/>
      </c>
      <c r="BH49" s="78"/>
      <c r="BI49" s="80"/>
      <c r="BJ49" s="68"/>
      <c r="BK49" s="77" t="str">
        <f>IF(BP49="","",WORKDAY.INTL(BP49,BN49*-1,1,Holidays[Date]))</f>
        <v/>
      </c>
      <c r="BL49" s="77" t="str">
        <f ca="1">IFERROR(IF(BM49="",WORKDAY.INTL(BG49,BJ49,1,Holidays[Date]),BM49),"")</f>
        <v/>
      </c>
      <c r="BM49" s="78"/>
      <c r="BN49" s="80"/>
      <c r="BO49" s="68"/>
      <c r="BP49" s="77" t="str">
        <f>IF(BU49="","",WORKDAY.INTL(BU49,BS49*-1,1,Holidays[Date]))</f>
        <v/>
      </c>
      <c r="BQ49" s="77" t="str">
        <f ca="1">IFERROR(IF(BR49="",WORKDAY.INTL(BL49,BO49,1,Holidays[Date]),BR49),"")</f>
        <v/>
      </c>
      <c r="BR49" s="78"/>
      <c r="BS49" s="80"/>
      <c r="BT49" s="68"/>
      <c r="BU49" s="77" t="str">
        <f>IF(BZ49="","",WORKDAY.INTL(BZ49,BX49*-1,1,Holidays[Date]))</f>
        <v/>
      </c>
      <c r="BV49" s="77" t="str">
        <f ca="1">IFERROR(IF(BW49="",WORKDAY.INTL(BQ49,BT49,1,Holidays[Date]),BW49),"")</f>
        <v/>
      </c>
      <c r="BW49" s="78"/>
      <c r="BX49" s="80"/>
      <c r="BY49" s="68"/>
      <c r="BZ49" s="81"/>
      <c r="CA49" s="77" t="str">
        <f ca="1">IFERROR(IF(CB49="",WORKDAY.INTL(BV49,BY49,1,Holidays[Date]),CB49),"")</f>
        <v/>
      </c>
      <c r="CB49" s="78"/>
    </row>
    <row r="50" spans="1:80" ht="19" customHeight="1" x14ac:dyDescent="0.35">
      <c r="A50" s="31"/>
      <c r="B50" s="82"/>
      <c r="C50" s="1"/>
      <c r="D50" s="8"/>
      <c r="E50" s="8"/>
      <c r="F50" s="8"/>
      <c r="G50" s="8"/>
      <c r="H50" s="8"/>
      <c r="I50" s="9"/>
      <c r="J50" s="8"/>
      <c r="K50" s="8"/>
      <c r="L50" s="8"/>
      <c r="M50" s="8"/>
      <c r="N50" s="8"/>
      <c r="O50" s="8"/>
      <c r="P50" s="8"/>
      <c r="Q50" s="2"/>
      <c r="R50" s="2"/>
      <c r="S50" s="88" t="str">
        <f>IF(tblProcRegister[[#This Row],[Award]]&lt;&gt;"",tblProcRegister[[#This Row],[Budget]]-tblProcRegister[[#This Row],[Award]],"")</f>
        <v/>
      </c>
      <c r="T50" s="68"/>
      <c r="U50" s="68"/>
      <c r="V50" s="68"/>
      <c r="W50" s="77" t="str">
        <f>IF(AB50="","",WORKDAY.INTL(AB50,Z50*-1,1,Holidays[Date]))</f>
        <v/>
      </c>
      <c r="X50" s="77" t="str">
        <f t="shared" ca="1" si="0"/>
        <v/>
      </c>
      <c r="Y50" s="78"/>
      <c r="Z50" s="79"/>
      <c r="AA50" s="68"/>
      <c r="AB50" s="77" t="str">
        <f>IF(AG50="","",WORKDAY.INTL(AG50,AE50*-1,1,Holidays[Date]))</f>
        <v/>
      </c>
      <c r="AC50" s="77" t="str">
        <f ca="1">IFERROR(IF(AD50="",WORKDAY.INTL(X50,AA50,1,Holidays[Date]),AD50),"")</f>
        <v/>
      </c>
      <c r="AD50" s="78"/>
      <c r="AE50" s="80"/>
      <c r="AF50" s="68"/>
      <c r="AG50" s="77" t="str">
        <f>IF(AL50="","",WORKDAY.INTL(AL50,AJ50*-1,1,Holidays[Date]))</f>
        <v/>
      </c>
      <c r="AH50" s="77" t="str">
        <f ca="1">IFERROR(IF(AI50="",WORKDAY.INTL(AC50,AF50,1,Holidays[Date]),AI50),"")</f>
        <v/>
      </c>
      <c r="AI50" s="78"/>
      <c r="AJ50" s="80"/>
      <c r="AK50" s="68"/>
      <c r="AL50" s="77" t="str">
        <f>IF(AQ50="","",WORKDAY.INTL(AQ50,AO50*-1,1,Holidays[Date]))</f>
        <v/>
      </c>
      <c r="AM50" s="77" t="str">
        <f ca="1">IFERROR(IF(AN50="",WORKDAY.INTL(AH50,AK50,1,Holidays[Date]),AN50),"")</f>
        <v/>
      </c>
      <c r="AN50" s="78"/>
      <c r="AO50" s="80"/>
      <c r="AP50" s="68"/>
      <c r="AQ50" s="77" t="str">
        <f>IF(AV50="","",WORKDAY.INTL(AV50,AT50*-1,1,Holidays[Date]))</f>
        <v/>
      </c>
      <c r="AR50" s="77" t="str">
        <f ca="1">IFERROR(IF(AS50="",WORKDAY.INTL(AM50,AP50,1,Holidays[Date]),AS50),"")</f>
        <v/>
      </c>
      <c r="AS50" s="78"/>
      <c r="AT50" s="80"/>
      <c r="AU50" s="68"/>
      <c r="AV50" s="77" t="str">
        <f>IF(BA50="","",WORKDAY.INTL(BA50,AY50*-1,1,Holidays[Date]))</f>
        <v/>
      </c>
      <c r="AW50" s="77" t="str">
        <f ca="1">IFERROR(IF(AX50="",WORKDAY.INTL(AR50,AU50,1,Holidays[Date]),AX50),"")</f>
        <v/>
      </c>
      <c r="AX50" s="78"/>
      <c r="AY50" s="80"/>
      <c r="AZ50" s="68"/>
      <c r="BA50" s="77" t="str">
        <f>IF(BF50="","",WORKDAY.INTL(BF50,BD50*-1,1,Holidays[Date]))</f>
        <v/>
      </c>
      <c r="BB50" s="77" t="str">
        <f ca="1">IFERROR(IF(BC50="",WORKDAY.INTL(AW50,AZ50,1,Holidays[Date]),BC50),"")</f>
        <v/>
      </c>
      <c r="BC50" s="78"/>
      <c r="BD50" s="80"/>
      <c r="BE50" s="68"/>
      <c r="BF50" s="77" t="str">
        <f>IF(BK50="","",WORKDAY.INTL(BK50,BI50*-1,1,Holidays[Date]))</f>
        <v/>
      </c>
      <c r="BG50" s="77" t="str">
        <f ca="1">IFERROR(IF(BH50="",WORKDAY.INTL(BB50,BE50,1,Holidays[Date]),BH50),"")</f>
        <v/>
      </c>
      <c r="BH50" s="78"/>
      <c r="BI50" s="80"/>
      <c r="BJ50" s="68"/>
      <c r="BK50" s="77" t="str">
        <f>IF(BP50="","",WORKDAY.INTL(BP50,BN50*-1,1,Holidays[Date]))</f>
        <v/>
      </c>
      <c r="BL50" s="77" t="str">
        <f ca="1">IFERROR(IF(BM50="",WORKDAY.INTL(BG50,BJ50,1,Holidays[Date]),BM50),"")</f>
        <v/>
      </c>
      <c r="BM50" s="78"/>
      <c r="BN50" s="80"/>
      <c r="BO50" s="68"/>
      <c r="BP50" s="77" t="str">
        <f>IF(BU50="","",WORKDAY.INTL(BU50,BS50*-1,1,Holidays[Date]))</f>
        <v/>
      </c>
      <c r="BQ50" s="77" t="str">
        <f ca="1">IFERROR(IF(BR50="",WORKDAY.INTL(BL50,BO50,1,Holidays[Date]),BR50),"")</f>
        <v/>
      </c>
      <c r="BR50" s="78"/>
      <c r="BS50" s="80"/>
      <c r="BT50" s="68"/>
      <c r="BU50" s="77" t="str">
        <f>IF(BZ50="","",WORKDAY.INTL(BZ50,BX50*-1,1,Holidays[Date]))</f>
        <v/>
      </c>
      <c r="BV50" s="77" t="str">
        <f ca="1">IFERROR(IF(BW50="",WORKDAY.INTL(BQ50,BT50,1,Holidays[Date]),BW50),"")</f>
        <v/>
      </c>
      <c r="BW50" s="78"/>
      <c r="BX50" s="80"/>
      <c r="BY50" s="68"/>
      <c r="BZ50" s="81"/>
      <c r="CA50" s="77" t="str">
        <f ca="1">IFERROR(IF(CB50="",WORKDAY.INTL(BV50,BY50,1,Holidays[Date]),CB50),"")</f>
        <v/>
      </c>
      <c r="CB50" s="78"/>
    </row>
    <row r="51" spans="1:80" ht="19" customHeight="1" x14ac:dyDescent="0.35">
      <c r="A51" s="31"/>
      <c r="B51" s="82"/>
      <c r="C51" s="1"/>
      <c r="D51" s="8"/>
      <c r="E51" s="8"/>
      <c r="F51" s="8"/>
      <c r="G51" s="8"/>
      <c r="H51" s="8"/>
      <c r="I51" s="9"/>
      <c r="J51" s="8"/>
      <c r="K51" s="8"/>
      <c r="L51" s="8"/>
      <c r="M51" s="8"/>
      <c r="N51" s="8"/>
      <c r="O51" s="8"/>
      <c r="P51" s="8"/>
      <c r="Q51" s="2"/>
      <c r="R51" s="2"/>
      <c r="S51" s="88" t="str">
        <f>IF(tblProcRegister[[#This Row],[Award]]&lt;&gt;"",tblProcRegister[[#This Row],[Budget]]-tblProcRegister[[#This Row],[Award]],"")</f>
        <v/>
      </c>
      <c r="T51" s="68"/>
      <c r="U51" s="68"/>
      <c r="V51" s="68"/>
      <c r="W51" s="77" t="str">
        <f>IF(AB51="","",WORKDAY.INTL(AB51,Z51*-1,1,Holidays[Date]))</f>
        <v/>
      </c>
      <c r="X51" s="77" t="str">
        <f t="shared" ca="1" si="0"/>
        <v/>
      </c>
      <c r="Y51" s="78"/>
      <c r="Z51" s="79"/>
      <c r="AA51" s="68"/>
      <c r="AB51" s="77" t="str">
        <f>IF(AG51="","",WORKDAY.INTL(AG51,AE51*-1,1,Holidays[Date]))</f>
        <v/>
      </c>
      <c r="AC51" s="77" t="str">
        <f ca="1">IFERROR(IF(AD51="",WORKDAY.INTL(X51,AA51,1,Holidays[Date]),AD51),"")</f>
        <v/>
      </c>
      <c r="AD51" s="78"/>
      <c r="AE51" s="80"/>
      <c r="AF51" s="68"/>
      <c r="AG51" s="77" t="str">
        <f>IF(AL51="","",WORKDAY.INTL(AL51,AJ51*-1,1,Holidays[Date]))</f>
        <v/>
      </c>
      <c r="AH51" s="77" t="str">
        <f ca="1">IFERROR(IF(AI51="",WORKDAY.INTL(AC51,AF51,1,Holidays[Date]),AI51),"")</f>
        <v/>
      </c>
      <c r="AI51" s="78"/>
      <c r="AJ51" s="80"/>
      <c r="AK51" s="68"/>
      <c r="AL51" s="77" t="str">
        <f>IF(AQ51="","",WORKDAY.INTL(AQ51,AO51*-1,1,Holidays[Date]))</f>
        <v/>
      </c>
      <c r="AM51" s="77" t="str">
        <f ca="1">IFERROR(IF(AN51="",WORKDAY.INTL(AH51,AK51,1,Holidays[Date]),AN51),"")</f>
        <v/>
      </c>
      <c r="AN51" s="78"/>
      <c r="AO51" s="80"/>
      <c r="AP51" s="68"/>
      <c r="AQ51" s="77" t="str">
        <f>IF(AV51="","",WORKDAY.INTL(AV51,AT51*-1,1,Holidays[Date]))</f>
        <v/>
      </c>
      <c r="AR51" s="77" t="str">
        <f ca="1">IFERROR(IF(AS51="",WORKDAY.INTL(AM51,AP51,1,Holidays[Date]),AS51),"")</f>
        <v/>
      </c>
      <c r="AS51" s="78"/>
      <c r="AT51" s="80"/>
      <c r="AU51" s="68"/>
      <c r="AV51" s="77" t="str">
        <f>IF(BA51="","",WORKDAY.INTL(BA51,AY51*-1,1,Holidays[Date]))</f>
        <v/>
      </c>
      <c r="AW51" s="77" t="str">
        <f ca="1">IFERROR(IF(AX51="",WORKDAY.INTL(AR51,AU51,1,Holidays[Date]),AX51),"")</f>
        <v/>
      </c>
      <c r="AX51" s="78"/>
      <c r="AY51" s="80"/>
      <c r="AZ51" s="68"/>
      <c r="BA51" s="77" t="str">
        <f>IF(BF51="","",WORKDAY.INTL(BF51,BD51*-1,1,Holidays[Date]))</f>
        <v/>
      </c>
      <c r="BB51" s="77" t="str">
        <f ca="1">IFERROR(IF(BC51="",WORKDAY.INTL(AW51,AZ51,1,Holidays[Date]),BC51),"")</f>
        <v/>
      </c>
      <c r="BC51" s="78"/>
      <c r="BD51" s="80"/>
      <c r="BE51" s="68"/>
      <c r="BF51" s="77" t="str">
        <f>IF(BK51="","",WORKDAY.INTL(BK51,BI51*-1,1,Holidays[Date]))</f>
        <v/>
      </c>
      <c r="BG51" s="77" t="str">
        <f ca="1">IFERROR(IF(BH51="",WORKDAY.INTL(BB51,BE51,1,Holidays[Date]),BH51),"")</f>
        <v/>
      </c>
      <c r="BH51" s="78"/>
      <c r="BI51" s="80"/>
      <c r="BJ51" s="68"/>
      <c r="BK51" s="77" t="str">
        <f>IF(BP51="","",WORKDAY.INTL(BP51,BN51*-1,1,Holidays[Date]))</f>
        <v/>
      </c>
      <c r="BL51" s="77" t="str">
        <f ca="1">IFERROR(IF(BM51="",WORKDAY.INTL(BG51,BJ51,1,Holidays[Date]),BM51),"")</f>
        <v/>
      </c>
      <c r="BM51" s="78"/>
      <c r="BN51" s="80"/>
      <c r="BO51" s="68"/>
      <c r="BP51" s="77" t="str">
        <f>IF(BU51="","",WORKDAY.INTL(BU51,BS51*-1,1,Holidays[Date]))</f>
        <v/>
      </c>
      <c r="BQ51" s="77" t="str">
        <f ca="1">IFERROR(IF(BR51="",WORKDAY.INTL(BL51,BO51,1,Holidays[Date]),BR51),"")</f>
        <v/>
      </c>
      <c r="BR51" s="78"/>
      <c r="BS51" s="80"/>
      <c r="BT51" s="68"/>
      <c r="BU51" s="77" t="str">
        <f>IF(BZ51="","",WORKDAY.INTL(BZ51,BX51*-1,1,Holidays[Date]))</f>
        <v/>
      </c>
      <c r="BV51" s="77" t="str">
        <f ca="1">IFERROR(IF(BW51="",WORKDAY.INTL(BQ51,BT51,1,Holidays[Date]),BW51),"")</f>
        <v/>
      </c>
      <c r="BW51" s="78"/>
      <c r="BX51" s="80"/>
      <c r="BY51" s="68"/>
      <c r="BZ51" s="81"/>
      <c r="CA51" s="77" t="str">
        <f ca="1">IFERROR(IF(CB51="",WORKDAY.INTL(BV51,BY51,1,Holidays[Date]),CB51),"")</f>
        <v/>
      </c>
      <c r="CB51" s="78"/>
    </row>
    <row r="52" spans="1:80" ht="19" customHeight="1" x14ac:dyDescent="0.35">
      <c r="A52" s="31"/>
      <c r="B52" s="82"/>
      <c r="C52" s="1"/>
      <c r="D52" s="8"/>
      <c r="E52" s="8"/>
      <c r="F52" s="8"/>
      <c r="G52" s="8"/>
      <c r="H52" s="8"/>
      <c r="I52" s="9"/>
      <c r="J52" s="8"/>
      <c r="K52" s="8"/>
      <c r="L52" s="8"/>
      <c r="M52" s="8"/>
      <c r="N52" s="8"/>
      <c r="O52" s="8"/>
      <c r="P52" s="8"/>
      <c r="Q52" s="2"/>
      <c r="R52" s="2"/>
      <c r="S52" s="88" t="str">
        <f>IF(tblProcRegister[[#This Row],[Award]]&lt;&gt;"",tblProcRegister[[#This Row],[Budget]]-tblProcRegister[[#This Row],[Award]],"")</f>
        <v/>
      </c>
      <c r="T52" s="68"/>
      <c r="U52" s="68"/>
      <c r="V52" s="68"/>
      <c r="W52" s="77" t="str">
        <f>IF(AB52="","",WORKDAY.INTL(AB52,Z52*-1,1,Holidays[Date]))</f>
        <v/>
      </c>
      <c r="X52" s="77" t="str">
        <f t="shared" ca="1" si="0"/>
        <v/>
      </c>
      <c r="Y52" s="78"/>
      <c r="Z52" s="79"/>
      <c r="AA52" s="68"/>
      <c r="AB52" s="77" t="str">
        <f>IF(AG52="","",WORKDAY.INTL(AG52,AE52*-1,1,Holidays[Date]))</f>
        <v/>
      </c>
      <c r="AC52" s="77" t="str">
        <f ca="1">IFERROR(IF(AD52="",WORKDAY.INTL(X52,AA52,1,Holidays[Date]),AD52),"")</f>
        <v/>
      </c>
      <c r="AD52" s="78"/>
      <c r="AE52" s="80"/>
      <c r="AF52" s="68"/>
      <c r="AG52" s="77" t="str">
        <f>IF(AL52="","",WORKDAY.INTL(AL52,AJ52*-1,1,Holidays[Date]))</f>
        <v/>
      </c>
      <c r="AH52" s="77" t="str">
        <f ca="1">IFERROR(IF(AI52="",WORKDAY.INTL(AC52,AF52,1,Holidays[Date]),AI52),"")</f>
        <v/>
      </c>
      <c r="AI52" s="78"/>
      <c r="AJ52" s="80"/>
      <c r="AK52" s="68"/>
      <c r="AL52" s="77" t="str">
        <f>IF(AQ52="","",WORKDAY.INTL(AQ52,AO52*-1,1,Holidays[Date]))</f>
        <v/>
      </c>
      <c r="AM52" s="77" t="str">
        <f ca="1">IFERROR(IF(AN52="",WORKDAY.INTL(AH52,AK52,1,Holidays[Date]),AN52),"")</f>
        <v/>
      </c>
      <c r="AN52" s="78"/>
      <c r="AO52" s="80"/>
      <c r="AP52" s="68"/>
      <c r="AQ52" s="77" t="str">
        <f>IF(AV52="","",WORKDAY.INTL(AV52,AT52*-1,1,Holidays[Date]))</f>
        <v/>
      </c>
      <c r="AR52" s="77" t="str">
        <f ca="1">IFERROR(IF(AS52="",WORKDAY.INTL(AM52,AP52,1,Holidays[Date]),AS52),"")</f>
        <v/>
      </c>
      <c r="AS52" s="78"/>
      <c r="AT52" s="80"/>
      <c r="AU52" s="68"/>
      <c r="AV52" s="77" t="str">
        <f>IF(BA52="","",WORKDAY.INTL(BA52,AY52*-1,1,Holidays[Date]))</f>
        <v/>
      </c>
      <c r="AW52" s="77" t="str">
        <f ca="1">IFERROR(IF(AX52="",WORKDAY.INTL(AR52,AU52,1,Holidays[Date]),AX52),"")</f>
        <v/>
      </c>
      <c r="AX52" s="78"/>
      <c r="AY52" s="80"/>
      <c r="AZ52" s="68"/>
      <c r="BA52" s="77" t="str">
        <f>IF(BF52="","",WORKDAY.INTL(BF52,BD52*-1,1,Holidays[Date]))</f>
        <v/>
      </c>
      <c r="BB52" s="77" t="str">
        <f ca="1">IFERROR(IF(BC52="",WORKDAY.INTL(AW52,AZ52,1,Holidays[Date]),BC52),"")</f>
        <v/>
      </c>
      <c r="BC52" s="78"/>
      <c r="BD52" s="80"/>
      <c r="BE52" s="68"/>
      <c r="BF52" s="77" t="str">
        <f>IF(BK52="","",WORKDAY.INTL(BK52,BI52*-1,1,Holidays[Date]))</f>
        <v/>
      </c>
      <c r="BG52" s="77" t="str">
        <f ca="1">IFERROR(IF(BH52="",WORKDAY.INTL(BB52,BE52,1,Holidays[Date]),BH52),"")</f>
        <v/>
      </c>
      <c r="BH52" s="78"/>
      <c r="BI52" s="80"/>
      <c r="BJ52" s="68"/>
      <c r="BK52" s="77" t="str">
        <f>IF(BP52="","",WORKDAY.INTL(BP52,BN52*-1,1,Holidays[Date]))</f>
        <v/>
      </c>
      <c r="BL52" s="77" t="str">
        <f ca="1">IFERROR(IF(BM52="",WORKDAY.INTL(BG52,BJ52,1,Holidays[Date]),BM52),"")</f>
        <v/>
      </c>
      <c r="BM52" s="78"/>
      <c r="BN52" s="80"/>
      <c r="BO52" s="68"/>
      <c r="BP52" s="77" t="str">
        <f>IF(BU52="","",WORKDAY.INTL(BU52,BS52*-1,1,Holidays[Date]))</f>
        <v/>
      </c>
      <c r="BQ52" s="77" t="str">
        <f ca="1">IFERROR(IF(BR52="",WORKDAY.INTL(BL52,BO52,1,Holidays[Date]),BR52),"")</f>
        <v/>
      </c>
      <c r="BR52" s="78"/>
      <c r="BS52" s="80"/>
      <c r="BT52" s="68"/>
      <c r="BU52" s="77" t="str">
        <f>IF(BZ52="","",WORKDAY.INTL(BZ52,BX52*-1,1,Holidays[Date]))</f>
        <v/>
      </c>
      <c r="BV52" s="77" t="str">
        <f ca="1">IFERROR(IF(BW52="",WORKDAY.INTL(BQ52,BT52,1,Holidays[Date]),BW52),"")</f>
        <v/>
      </c>
      <c r="BW52" s="78"/>
      <c r="BX52" s="80"/>
      <c r="BY52" s="68"/>
      <c r="BZ52" s="81"/>
      <c r="CA52" s="77" t="str">
        <f ca="1">IFERROR(IF(CB52="",WORKDAY.INTL(BV52,BY52,1,Holidays[Date]),CB52),"")</f>
        <v/>
      </c>
      <c r="CB52" s="78"/>
    </row>
    <row r="53" spans="1:80" ht="19" customHeight="1" x14ac:dyDescent="0.35">
      <c r="A53" s="31"/>
      <c r="B53" s="82"/>
      <c r="C53" s="1"/>
      <c r="D53" s="8"/>
      <c r="E53" s="8"/>
      <c r="F53" s="8"/>
      <c r="G53" s="8"/>
      <c r="H53" s="8"/>
      <c r="I53" s="9"/>
      <c r="J53" s="8"/>
      <c r="K53" s="8"/>
      <c r="L53" s="8"/>
      <c r="M53" s="8"/>
      <c r="N53" s="8"/>
      <c r="O53" s="8"/>
      <c r="P53" s="8"/>
      <c r="Q53" s="2"/>
      <c r="R53" s="2"/>
      <c r="S53" s="88" t="str">
        <f>IF(tblProcRegister[[#This Row],[Award]]&lt;&gt;"",tblProcRegister[[#This Row],[Budget]]-tblProcRegister[[#This Row],[Award]],"")</f>
        <v/>
      </c>
      <c r="T53" s="68"/>
      <c r="U53" s="68"/>
      <c r="V53" s="68"/>
      <c r="W53" s="77" t="str">
        <f>IF(AB53="","",WORKDAY.INTL(AB53,Z53*-1,1,Holidays[Date]))</f>
        <v/>
      </c>
      <c r="X53" s="77" t="str">
        <f t="shared" ca="1" si="0"/>
        <v/>
      </c>
      <c r="Y53" s="78"/>
      <c r="Z53" s="79"/>
      <c r="AA53" s="68"/>
      <c r="AB53" s="77" t="str">
        <f>IF(AG53="","",WORKDAY.INTL(AG53,AE53*-1,1,Holidays[Date]))</f>
        <v/>
      </c>
      <c r="AC53" s="77" t="str">
        <f ca="1">IFERROR(IF(AD53="",WORKDAY.INTL(X53,AA53,1,Holidays[Date]),AD53),"")</f>
        <v/>
      </c>
      <c r="AD53" s="78"/>
      <c r="AE53" s="80"/>
      <c r="AF53" s="68"/>
      <c r="AG53" s="77" t="str">
        <f>IF(AL53="","",WORKDAY.INTL(AL53,AJ53*-1,1,Holidays[Date]))</f>
        <v/>
      </c>
      <c r="AH53" s="77" t="str">
        <f ca="1">IFERROR(IF(AI53="",WORKDAY.INTL(AC53,AF53,1,Holidays[Date]),AI53),"")</f>
        <v/>
      </c>
      <c r="AI53" s="78"/>
      <c r="AJ53" s="80"/>
      <c r="AK53" s="68"/>
      <c r="AL53" s="77" t="str">
        <f>IF(AQ53="","",WORKDAY.INTL(AQ53,AO53*-1,1,Holidays[Date]))</f>
        <v/>
      </c>
      <c r="AM53" s="77" t="str">
        <f ca="1">IFERROR(IF(AN53="",WORKDAY.INTL(AH53,AK53,1,Holidays[Date]),AN53),"")</f>
        <v/>
      </c>
      <c r="AN53" s="78"/>
      <c r="AO53" s="80"/>
      <c r="AP53" s="68"/>
      <c r="AQ53" s="77" t="str">
        <f>IF(AV53="","",WORKDAY.INTL(AV53,AT53*-1,1,Holidays[Date]))</f>
        <v/>
      </c>
      <c r="AR53" s="77" t="str">
        <f ca="1">IFERROR(IF(AS53="",WORKDAY.INTL(AM53,AP53,1,Holidays[Date]),AS53),"")</f>
        <v/>
      </c>
      <c r="AS53" s="78"/>
      <c r="AT53" s="80"/>
      <c r="AU53" s="68"/>
      <c r="AV53" s="77" t="str">
        <f>IF(BA53="","",WORKDAY.INTL(BA53,AY53*-1,1,Holidays[Date]))</f>
        <v/>
      </c>
      <c r="AW53" s="77" t="str">
        <f ca="1">IFERROR(IF(AX53="",WORKDAY.INTL(AR53,AU53,1,Holidays[Date]),AX53),"")</f>
        <v/>
      </c>
      <c r="AX53" s="78"/>
      <c r="AY53" s="80"/>
      <c r="AZ53" s="68"/>
      <c r="BA53" s="77" t="str">
        <f>IF(BF53="","",WORKDAY.INTL(BF53,BD53*-1,1,Holidays[Date]))</f>
        <v/>
      </c>
      <c r="BB53" s="77" t="str">
        <f ca="1">IFERROR(IF(BC53="",WORKDAY.INTL(AW53,AZ53,1,Holidays[Date]),BC53),"")</f>
        <v/>
      </c>
      <c r="BC53" s="78"/>
      <c r="BD53" s="80"/>
      <c r="BE53" s="68"/>
      <c r="BF53" s="77" t="str">
        <f>IF(BK53="","",WORKDAY.INTL(BK53,BI53*-1,1,Holidays[Date]))</f>
        <v/>
      </c>
      <c r="BG53" s="77" t="str">
        <f ca="1">IFERROR(IF(BH53="",WORKDAY.INTL(BB53,BE53,1,Holidays[Date]),BH53),"")</f>
        <v/>
      </c>
      <c r="BH53" s="78"/>
      <c r="BI53" s="80"/>
      <c r="BJ53" s="68"/>
      <c r="BK53" s="77" t="str">
        <f>IF(BP53="","",WORKDAY.INTL(BP53,BN53*-1,1,Holidays[Date]))</f>
        <v/>
      </c>
      <c r="BL53" s="77" t="str">
        <f ca="1">IFERROR(IF(BM53="",WORKDAY.INTL(BG53,BJ53,1,Holidays[Date]),BM53),"")</f>
        <v/>
      </c>
      <c r="BM53" s="78"/>
      <c r="BN53" s="80"/>
      <c r="BO53" s="68"/>
      <c r="BP53" s="77" t="str">
        <f>IF(BU53="","",WORKDAY.INTL(BU53,BS53*-1,1,Holidays[Date]))</f>
        <v/>
      </c>
      <c r="BQ53" s="77" t="str">
        <f ca="1">IFERROR(IF(BR53="",WORKDAY.INTL(BL53,BO53,1,Holidays[Date]),BR53),"")</f>
        <v/>
      </c>
      <c r="BR53" s="78"/>
      <c r="BS53" s="80"/>
      <c r="BT53" s="68"/>
      <c r="BU53" s="77" t="str">
        <f>IF(BZ53="","",WORKDAY.INTL(BZ53,BX53*-1,1,Holidays[Date]))</f>
        <v/>
      </c>
      <c r="BV53" s="77" t="str">
        <f ca="1">IFERROR(IF(BW53="",WORKDAY.INTL(BQ53,BT53,1,Holidays[Date]),BW53),"")</f>
        <v/>
      </c>
      <c r="BW53" s="78"/>
      <c r="BX53" s="80"/>
      <c r="BY53" s="68"/>
      <c r="BZ53" s="81"/>
      <c r="CA53" s="77" t="str">
        <f ca="1">IFERROR(IF(CB53="",WORKDAY.INTL(BV53,BY53,1,Holidays[Date]),CB53),"")</f>
        <v/>
      </c>
      <c r="CB53" s="78"/>
    </row>
    <row r="54" spans="1:80" ht="19" customHeight="1" x14ac:dyDescent="0.35">
      <c r="A54" s="31"/>
      <c r="B54" s="82"/>
      <c r="C54" s="1"/>
      <c r="D54" s="8"/>
      <c r="E54" s="8"/>
      <c r="F54" s="8"/>
      <c r="G54" s="8"/>
      <c r="H54" s="8"/>
      <c r="I54" s="9"/>
      <c r="J54" s="8"/>
      <c r="K54" s="8"/>
      <c r="L54" s="8"/>
      <c r="M54" s="8"/>
      <c r="N54" s="8"/>
      <c r="O54" s="8"/>
      <c r="P54" s="8"/>
      <c r="Q54" s="2"/>
      <c r="R54" s="2"/>
      <c r="S54" s="88" t="str">
        <f>IF(tblProcRegister[[#This Row],[Award]]&lt;&gt;"",tblProcRegister[[#This Row],[Budget]]-tblProcRegister[[#This Row],[Award]],"")</f>
        <v/>
      </c>
      <c r="T54" s="68"/>
      <c r="U54" s="68"/>
      <c r="V54" s="68"/>
      <c r="W54" s="77" t="str">
        <f>IF(AB54="","",WORKDAY.INTL(AB54,Z54*-1,1,Holidays[Date]))</f>
        <v/>
      </c>
      <c r="X54" s="77" t="str">
        <f t="shared" ca="1" si="0"/>
        <v/>
      </c>
      <c r="Y54" s="78"/>
      <c r="Z54" s="79"/>
      <c r="AA54" s="68"/>
      <c r="AB54" s="77" t="str">
        <f>IF(AG54="","",WORKDAY.INTL(AG54,AE54*-1,1,Holidays[Date]))</f>
        <v/>
      </c>
      <c r="AC54" s="77" t="str">
        <f ca="1">IFERROR(IF(AD54="",WORKDAY.INTL(X54,AA54,1,Holidays[Date]),AD54),"")</f>
        <v/>
      </c>
      <c r="AD54" s="78"/>
      <c r="AE54" s="80"/>
      <c r="AF54" s="68"/>
      <c r="AG54" s="77" t="str">
        <f>IF(AL54="","",WORKDAY.INTL(AL54,AJ54*-1,1,Holidays[Date]))</f>
        <v/>
      </c>
      <c r="AH54" s="77" t="str">
        <f ca="1">IFERROR(IF(AI54="",WORKDAY.INTL(AC54,AF54,1,Holidays[Date]),AI54),"")</f>
        <v/>
      </c>
      <c r="AI54" s="78"/>
      <c r="AJ54" s="80"/>
      <c r="AK54" s="68"/>
      <c r="AL54" s="77" t="str">
        <f>IF(AQ54="","",WORKDAY.INTL(AQ54,AO54*-1,1,Holidays[Date]))</f>
        <v/>
      </c>
      <c r="AM54" s="77" t="str">
        <f ca="1">IFERROR(IF(AN54="",WORKDAY.INTL(AH54,AK54,1,Holidays[Date]),AN54),"")</f>
        <v/>
      </c>
      <c r="AN54" s="78"/>
      <c r="AO54" s="80"/>
      <c r="AP54" s="68"/>
      <c r="AQ54" s="77" t="str">
        <f>IF(AV54="","",WORKDAY.INTL(AV54,AT54*-1,1,Holidays[Date]))</f>
        <v/>
      </c>
      <c r="AR54" s="77" t="str">
        <f ca="1">IFERROR(IF(AS54="",WORKDAY.INTL(AM54,AP54,1,Holidays[Date]),AS54),"")</f>
        <v/>
      </c>
      <c r="AS54" s="78"/>
      <c r="AT54" s="80"/>
      <c r="AU54" s="68"/>
      <c r="AV54" s="77" t="str">
        <f>IF(BA54="","",WORKDAY.INTL(BA54,AY54*-1,1,Holidays[Date]))</f>
        <v/>
      </c>
      <c r="AW54" s="77" t="str">
        <f ca="1">IFERROR(IF(AX54="",WORKDAY.INTL(AR54,AU54,1,Holidays[Date]),AX54),"")</f>
        <v/>
      </c>
      <c r="AX54" s="78"/>
      <c r="AY54" s="80"/>
      <c r="AZ54" s="68"/>
      <c r="BA54" s="77" t="str">
        <f>IF(BF54="","",WORKDAY.INTL(BF54,BD54*-1,1,Holidays[Date]))</f>
        <v/>
      </c>
      <c r="BB54" s="77" t="str">
        <f ca="1">IFERROR(IF(BC54="",WORKDAY.INTL(AW54,AZ54,1,Holidays[Date]),BC54),"")</f>
        <v/>
      </c>
      <c r="BC54" s="78"/>
      <c r="BD54" s="80"/>
      <c r="BE54" s="68"/>
      <c r="BF54" s="77" t="str">
        <f>IF(BK54="","",WORKDAY.INTL(BK54,BI54*-1,1,Holidays[Date]))</f>
        <v/>
      </c>
      <c r="BG54" s="77" t="str">
        <f ca="1">IFERROR(IF(BH54="",WORKDAY.INTL(BB54,BE54,1,Holidays[Date]),BH54),"")</f>
        <v/>
      </c>
      <c r="BH54" s="78"/>
      <c r="BI54" s="80"/>
      <c r="BJ54" s="68"/>
      <c r="BK54" s="77" t="str">
        <f>IF(BP54="","",WORKDAY.INTL(BP54,BN54*-1,1,Holidays[Date]))</f>
        <v/>
      </c>
      <c r="BL54" s="77" t="str">
        <f ca="1">IFERROR(IF(BM54="",WORKDAY.INTL(BG54,BJ54,1,Holidays[Date]),BM54),"")</f>
        <v/>
      </c>
      <c r="BM54" s="78"/>
      <c r="BN54" s="80"/>
      <c r="BO54" s="68"/>
      <c r="BP54" s="77" t="str">
        <f>IF(BU54="","",WORKDAY.INTL(BU54,BS54*-1,1,Holidays[Date]))</f>
        <v/>
      </c>
      <c r="BQ54" s="77" t="str">
        <f ca="1">IFERROR(IF(BR54="",WORKDAY.INTL(BL54,BO54,1,Holidays[Date]),BR54),"")</f>
        <v/>
      </c>
      <c r="BR54" s="78"/>
      <c r="BS54" s="80"/>
      <c r="BT54" s="68"/>
      <c r="BU54" s="77" t="str">
        <f>IF(BZ54="","",WORKDAY.INTL(BZ54,BX54*-1,1,Holidays[Date]))</f>
        <v/>
      </c>
      <c r="BV54" s="77" t="str">
        <f ca="1">IFERROR(IF(BW54="",WORKDAY.INTL(BQ54,BT54,1,Holidays[Date]),BW54),"")</f>
        <v/>
      </c>
      <c r="BW54" s="78"/>
      <c r="BX54" s="80"/>
      <c r="BY54" s="68"/>
      <c r="BZ54" s="81"/>
      <c r="CA54" s="77" t="str">
        <f ca="1">IFERROR(IF(CB54="",WORKDAY.INTL(BV54,BY54,1,Holidays[Date]),CB54),"")</f>
        <v/>
      </c>
      <c r="CB54" s="78"/>
    </row>
    <row r="55" spans="1:80" ht="19" customHeight="1" x14ac:dyDescent="0.35">
      <c r="A55" s="31"/>
      <c r="B55" s="82"/>
      <c r="C55" s="1"/>
      <c r="D55" s="8"/>
      <c r="E55" s="8"/>
      <c r="F55" s="8"/>
      <c r="G55" s="8"/>
      <c r="H55" s="8"/>
      <c r="I55" s="9"/>
      <c r="J55" s="8"/>
      <c r="K55" s="8"/>
      <c r="L55" s="8"/>
      <c r="M55" s="8"/>
      <c r="N55" s="8"/>
      <c r="O55" s="8"/>
      <c r="P55" s="8"/>
      <c r="Q55" s="2"/>
      <c r="R55" s="2"/>
      <c r="S55" s="88" t="str">
        <f>IF(tblProcRegister[[#This Row],[Award]]&lt;&gt;"",tblProcRegister[[#This Row],[Budget]]-tblProcRegister[[#This Row],[Award]],"")</f>
        <v/>
      </c>
      <c r="T55" s="68"/>
      <c r="U55" s="68"/>
      <c r="V55" s="68"/>
      <c r="W55" s="77" t="str">
        <f>IF(AB55="","",WORKDAY.INTL(AB55,Z55*-1,1,Holidays[Date]))</f>
        <v/>
      </c>
      <c r="X55" s="77" t="str">
        <f t="shared" ca="1" si="0"/>
        <v/>
      </c>
      <c r="Y55" s="78"/>
      <c r="Z55" s="79"/>
      <c r="AA55" s="68"/>
      <c r="AB55" s="77" t="str">
        <f>IF(AG55="","",WORKDAY.INTL(AG55,AE55*-1,1,Holidays[Date]))</f>
        <v/>
      </c>
      <c r="AC55" s="77" t="str">
        <f ca="1">IFERROR(IF(AD55="",WORKDAY.INTL(X55,AA55,1,Holidays[Date]),AD55),"")</f>
        <v/>
      </c>
      <c r="AD55" s="78"/>
      <c r="AE55" s="80"/>
      <c r="AF55" s="68"/>
      <c r="AG55" s="77" t="str">
        <f>IF(AL55="","",WORKDAY.INTL(AL55,AJ55*-1,1,Holidays[Date]))</f>
        <v/>
      </c>
      <c r="AH55" s="77" t="str">
        <f ca="1">IFERROR(IF(AI55="",WORKDAY.INTL(AC55,AF55,1,Holidays[Date]),AI55),"")</f>
        <v/>
      </c>
      <c r="AI55" s="78"/>
      <c r="AJ55" s="80"/>
      <c r="AK55" s="68"/>
      <c r="AL55" s="77" t="str">
        <f>IF(AQ55="","",WORKDAY.INTL(AQ55,AO55*-1,1,Holidays[Date]))</f>
        <v/>
      </c>
      <c r="AM55" s="77" t="str">
        <f ca="1">IFERROR(IF(AN55="",WORKDAY.INTL(AH55,AK55,1,Holidays[Date]),AN55),"")</f>
        <v/>
      </c>
      <c r="AN55" s="78"/>
      <c r="AO55" s="80"/>
      <c r="AP55" s="68"/>
      <c r="AQ55" s="77" t="str">
        <f>IF(AV55="","",WORKDAY.INTL(AV55,AT55*-1,1,Holidays[Date]))</f>
        <v/>
      </c>
      <c r="AR55" s="77" t="str">
        <f ca="1">IFERROR(IF(AS55="",WORKDAY.INTL(AM55,AP55,1,Holidays[Date]),AS55),"")</f>
        <v/>
      </c>
      <c r="AS55" s="78"/>
      <c r="AT55" s="80"/>
      <c r="AU55" s="68"/>
      <c r="AV55" s="77" t="str">
        <f>IF(BA55="","",WORKDAY.INTL(BA55,AY55*-1,1,Holidays[Date]))</f>
        <v/>
      </c>
      <c r="AW55" s="77" t="str">
        <f ca="1">IFERROR(IF(AX55="",WORKDAY.INTL(AR55,AU55,1,Holidays[Date]),AX55),"")</f>
        <v/>
      </c>
      <c r="AX55" s="78"/>
      <c r="AY55" s="80"/>
      <c r="AZ55" s="68"/>
      <c r="BA55" s="77" t="str">
        <f>IF(BF55="","",WORKDAY.INTL(BF55,BD55*-1,1,Holidays[Date]))</f>
        <v/>
      </c>
      <c r="BB55" s="77" t="str">
        <f ca="1">IFERROR(IF(BC55="",WORKDAY.INTL(AW55,AZ55,1,Holidays[Date]),BC55),"")</f>
        <v/>
      </c>
      <c r="BC55" s="78"/>
      <c r="BD55" s="80"/>
      <c r="BE55" s="68"/>
      <c r="BF55" s="77" t="str">
        <f>IF(BK55="","",WORKDAY.INTL(BK55,BI55*-1,1,Holidays[Date]))</f>
        <v/>
      </c>
      <c r="BG55" s="77" t="str">
        <f ca="1">IFERROR(IF(BH55="",WORKDAY.INTL(BB55,BE55,1,Holidays[Date]),BH55),"")</f>
        <v/>
      </c>
      <c r="BH55" s="78"/>
      <c r="BI55" s="80"/>
      <c r="BJ55" s="68"/>
      <c r="BK55" s="77" t="str">
        <f>IF(BP55="","",WORKDAY.INTL(BP55,BN55*-1,1,Holidays[Date]))</f>
        <v/>
      </c>
      <c r="BL55" s="77" t="str">
        <f ca="1">IFERROR(IF(BM55="",WORKDAY.INTL(BG55,BJ55,1,Holidays[Date]),BM55),"")</f>
        <v/>
      </c>
      <c r="BM55" s="78"/>
      <c r="BN55" s="80"/>
      <c r="BO55" s="68"/>
      <c r="BP55" s="77" t="str">
        <f>IF(BU55="","",WORKDAY.INTL(BU55,BS55*-1,1,Holidays[Date]))</f>
        <v/>
      </c>
      <c r="BQ55" s="77" t="str">
        <f ca="1">IFERROR(IF(BR55="",WORKDAY.INTL(BL55,BO55,1,Holidays[Date]),BR55),"")</f>
        <v/>
      </c>
      <c r="BR55" s="78"/>
      <c r="BS55" s="80"/>
      <c r="BT55" s="68"/>
      <c r="BU55" s="77" t="str">
        <f>IF(BZ55="","",WORKDAY.INTL(BZ55,BX55*-1,1,Holidays[Date]))</f>
        <v/>
      </c>
      <c r="BV55" s="77" t="str">
        <f ca="1">IFERROR(IF(BW55="",WORKDAY.INTL(BQ55,BT55,1,Holidays[Date]),BW55),"")</f>
        <v/>
      </c>
      <c r="BW55" s="78"/>
      <c r="BX55" s="80"/>
      <c r="BY55" s="68"/>
      <c r="BZ55" s="81"/>
      <c r="CA55" s="77" t="str">
        <f ca="1">IFERROR(IF(CB55="",WORKDAY.INTL(BV55,BY55,1,Holidays[Date]),CB55),"")</f>
        <v/>
      </c>
      <c r="CB55" s="78"/>
    </row>
    <row r="56" spans="1:80" ht="19" customHeight="1" x14ac:dyDescent="0.35">
      <c r="A56" s="31"/>
      <c r="B56" s="82"/>
      <c r="C56" s="1"/>
      <c r="D56" s="8"/>
      <c r="E56" s="8"/>
      <c r="F56" s="8"/>
      <c r="G56" s="8"/>
      <c r="H56" s="8"/>
      <c r="I56" s="9"/>
      <c r="J56" s="8"/>
      <c r="K56" s="8"/>
      <c r="L56" s="8"/>
      <c r="M56" s="8"/>
      <c r="N56" s="8"/>
      <c r="O56" s="8"/>
      <c r="P56" s="8"/>
      <c r="Q56" s="2"/>
      <c r="R56" s="2"/>
      <c r="S56" s="88" t="str">
        <f>IF(tblProcRegister[[#This Row],[Award]]&lt;&gt;"",tblProcRegister[[#This Row],[Budget]]-tblProcRegister[[#This Row],[Award]],"")</f>
        <v/>
      </c>
      <c r="T56" s="68"/>
      <c r="U56" s="68"/>
      <c r="V56" s="68"/>
      <c r="W56" s="77" t="str">
        <f>IF(AB56="","",WORKDAY.INTL(AB56,Z56*-1,1,Holidays[Date]))</f>
        <v/>
      </c>
      <c r="X56" s="77" t="str">
        <f t="shared" ca="1" si="0"/>
        <v/>
      </c>
      <c r="Y56" s="78"/>
      <c r="Z56" s="79"/>
      <c r="AA56" s="68"/>
      <c r="AB56" s="77" t="str">
        <f>IF(AG56="","",WORKDAY.INTL(AG56,AE56*-1,1,Holidays[Date]))</f>
        <v/>
      </c>
      <c r="AC56" s="77" t="str">
        <f ca="1">IFERROR(IF(AD56="",WORKDAY.INTL(X56,AA56,1,Holidays[Date]),AD56),"")</f>
        <v/>
      </c>
      <c r="AD56" s="78"/>
      <c r="AE56" s="80"/>
      <c r="AF56" s="68"/>
      <c r="AG56" s="77" t="str">
        <f>IF(AL56="","",WORKDAY.INTL(AL56,AJ56*-1,1,Holidays[Date]))</f>
        <v/>
      </c>
      <c r="AH56" s="77" t="str">
        <f ca="1">IFERROR(IF(AI56="",WORKDAY.INTL(AC56,AF56,1,Holidays[Date]),AI56),"")</f>
        <v/>
      </c>
      <c r="AI56" s="78"/>
      <c r="AJ56" s="80"/>
      <c r="AK56" s="68"/>
      <c r="AL56" s="77" t="str">
        <f>IF(AQ56="","",WORKDAY.INTL(AQ56,AO56*-1,1,Holidays[Date]))</f>
        <v/>
      </c>
      <c r="AM56" s="77" t="str">
        <f ca="1">IFERROR(IF(AN56="",WORKDAY.INTL(AH56,AK56,1,Holidays[Date]),AN56),"")</f>
        <v/>
      </c>
      <c r="AN56" s="78"/>
      <c r="AO56" s="80"/>
      <c r="AP56" s="68"/>
      <c r="AQ56" s="77" t="str">
        <f>IF(AV56="","",WORKDAY.INTL(AV56,AT56*-1,1,Holidays[Date]))</f>
        <v/>
      </c>
      <c r="AR56" s="77" t="str">
        <f ca="1">IFERROR(IF(AS56="",WORKDAY.INTL(AM56,AP56,1,Holidays[Date]),AS56),"")</f>
        <v/>
      </c>
      <c r="AS56" s="78"/>
      <c r="AT56" s="80"/>
      <c r="AU56" s="68"/>
      <c r="AV56" s="77" t="str">
        <f>IF(BA56="","",WORKDAY.INTL(BA56,AY56*-1,1,Holidays[Date]))</f>
        <v/>
      </c>
      <c r="AW56" s="77" t="str">
        <f ca="1">IFERROR(IF(AX56="",WORKDAY.INTL(AR56,AU56,1,Holidays[Date]),AX56),"")</f>
        <v/>
      </c>
      <c r="AX56" s="78"/>
      <c r="AY56" s="80"/>
      <c r="AZ56" s="68"/>
      <c r="BA56" s="77" t="str">
        <f>IF(BF56="","",WORKDAY.INTL(BF56,BD56*-1,1,Holidays[Date]))</f>
        <v/>
      </c>
      <c r="BB56" s="77" t="str">
        <f ca="1">IFERROR(IF(BC56="",WORKDAY.INTL(AW56,AZ56,1,Holidays[Date]),BC56),"")</f>
        <v/>
      </c>
      <c r="BC56" s="78"/>
      <c r="BD56" s="80"/>
      <c r="BE56" s="68"/>
      <c r="BF56" s="77" t="str">
        <f>IF(BK56="","",WORKDAY.INTL(BK56,BI56*-1,1,Holidays[Date]))</f>
        <v/>
      </c>
      <c r="BG56" s="77" t="str">
        <f ca="1">IFERROR(IF(BH56="",WORKDAY.INTL(BB56,BE56,1,Holidays[Date]),BH56),"")</f>
        <v/>
      </c>
      <c r="BH56" s="78"/>
      <c r="BI56" s="80"/>
      <c r="BJ56" s="68"/>
      <c r="BK56" s="77" t="str">
        <f>IF(BP56="","",WORKDAY.INTL(BP56,BN56*-1,1,Holidays[Date]))</f>
        <v/>
      </c>
      <c r="BL56" s="77" t="str">
        <f ca="1">IFERROR(IF(BM56="",WORKDAY.INTL(BG56,BJ56,1,Holidays[Date]),BM56),"")</f>
        <v/>
      </c>
      <c r="BM56" s="78"/>
      <c r="BN56" s="80"/>
      <c r="BO56" s="68"/>
      <c r="BP56" s="77" t="str">
        <f>IF(BU56="","",WORKDAY.INTL(BU56,BS56*-1,1,Holidays[Date]))</f>
        <v/>
      </c>
      <c r="BQ56" s="77" t="str">
        <f ca="1">IFERROR(IF(BR56="",WORKDAY.INTL(BL56,BO56,1,Holidays[Date]),BR56),"")</f>
        <v/>
      </c>
      <c r="BR56" s="78"/>
      <c r="BS56" s="80"/>
      <c r="BT56" s="68"/>
      <c r="BU56" s="77" t="str">
        <f>IF(BZ56="","",WORKDAY.INTL(BZ56,BX56*-1,1,Holidays[Date]))</f>
        <v/>
      </c>
      <c r="BV56" s="77" t="str">
        <f ca="1">IFERROR(IF(BW56="",WORKDAY.INTL(BQ56,BT56,1,Holidays[Date]),BW56),"")</f>
        <v/>
      </c>
      <c r="BW56" s="78"/>
      <c r="BX56" s="80"/>
      <c r="BY56" s="68"/>
      <c r="BZ56" s="81"/>
      <c r="CA56" s="77" t="str">
        <f ca="1">IFERROR(IF(CB56="",WORKDAY.INTL(BV56,BY56,1,Holidays[Date]),CB56),"")</f>
        <v/>
      </c>
      <c r="CB56" s="78"/>
    </row>
    <row r="57" spans="1:80" ht="19" customHeight="1" x14ac:dyDescent="0.35">
      <c r="A57" s="31"/>
      <c r="B57" s="82"/>
      <c r="C57" s="1"/>
      <c r="D57" s="8"/>
      <c r="E57" s="8"/>
      <c r="F57" s="8"/>
      <c r="G57" s="8"/>
      <c r="H57" s="8"/>
      <c r="I57" s="9"/>
      <c r="J57" s="8"/>
      <c r="K57" s="8"/>
      <c r="L57" s="8"/>
      <c r="M57" s="8"/>
      <c r="N57" s="8"/>
      <c r="O57" s="8"/>
      <c r="P57" s="8"/>
      <c r="Q57" s="2"/>
      <c r="R57" s="2"/>
      <c r="S57" s="88" t="str">
        <f>IF(tblProcRegister[[#This Row],[Award]]&lt;&gt;"",tblProcRegister[[#This Row],[Budget]]-tblProcRegister[[#This Row],[Award]],"")</f>
        <v/>
      </c>
      <c r="T57" s="68"/>
      <c r="U57" s="68"/>
      <c r="V57" s="68"/>
      <c r="W57" s="77" t="str">
        <f>IF(AB57="","",WORKDAY.INTL(AB57,Z57*-1,1,Holidays[Date]))</f>
        <v/>
      </c>
      <c r="X57" s="77" t="str">
        <f t="shared" ca="1" si="0"/>
        <v/>
      </c>
      <c r="Y57" s="78"/>
      <c r="Z57" s="79"/>
      <c r="AA57" s="68"/>
      <c r="AB57" s="77" t="str">
        <f>IF(AG57="","",WORKDAY.INTL(AG57,AE57*-1,1,Holidays[Date]))</f>
        <v/>
      </c>
      <c r="AC57" s="77" t="str">
        <f ca="1">IFERROR(IF(AD57="",WORKDAY.INTL(X57,AA57,1,Holidays[Date]),AD57),"")</f>
        <v/>
      </c>
      <c r="AD57" s="78"/>
      <c r="AE57" s="80"/>
      <c r="AF57" s="68"/>
      <c r="AG57" s="77" t="str">
        <f>IF(AL57="","",WORKDAY.INTL(AL57,AJ57*-1,1,Holidays[Date]))</f>
        <v/>
      </c>
      <c r="AH57" s="77" t="str">
        <f ca="1">IFERROR(IF(AI57="",WORKDAY.INTL(AC57,AF57,1,Holidays[Date]),AI57),"")</f>
        <v/>
      </c>
      <c r="AI57" s="78"/>
      <c r="AJ57" s="80"/>
      <c r="AK57" s="68"/>
      <c r="AL57" s="77" t="str">
        <f>IF(AQ57="","",WORKDAY.INTL(AQ57,AO57*-1,1,Holidays[Date]))</f>
        <v/>
      </c>
      <c r="AM57" s="77" t="str">
        <f ca="1">IFERROR(IF(AN57="",WORKDAY.INTL(AH57,AK57,1,Holidays[Date]),AN57),"")</f>
        <v/>
      </c>
      <c r="AN57" s="78"/>
      <c r="AO57" s="80"/>
      <c r="AP57" s="68"/>
      <c r="AQ57" s="77" t="str">
        <f>IF(AV57="","",WORKDAY.INTL(AV57,AT57*-1,1,Holidays[Date]))</f>
        <v/>
      </c>
      <c r="AR57" s="77" t="str">
        <f ca="1">IFERROR(IF(AS57="",WORKDAY.INTL(AM57,AP57,1,Holidays[Date]),AS57),"")</f>
        <v/>
      </c>
      <c r="AS57" s="78"/>
      <c r="AT57" s="80"/>
      <c r="AU57" s="68"/>
      <c r="AV57" s="77" t="str">
        <f>IF(BA57="","",WORKDAY.INTL(BA57,AY57*-1,1,Holidays[Date]))</f>
        <v/>
      </c>
      <c r="AW57" s="77" t="str">
        <f ca="1">IFERROR(IF(AX57="",WORKDAY.INTL(AR57,AU57,1,Holidays[Date]),AX57),"")</f>
        <v/>
      </c>
      <c r="AX57" s="78"/>
      <c r="AY57" s="80"/>
      <c r="AZ57" s="68"/>
      <c r="BA57" s="77" t="str">
        <f>IF(BF57="","",WORKDAY.INTL(BF57,BD57*-1,1,Holidays[Date]))</f>
        <v/>
      </c>
      <c r="BB57" s="77" t="str">
        <f ca="1">IFERROR(IF(BC57="",WORKDAY.INTL(AW57,AZ57,1,Holidays[Date]),BC57),"")</f>
        <v/>
      </c>
      <c r="BC57" s="78"/>
      <c r="BD57" s="80"/>
      <c r="BE57" s="68"/>
      <c r="BF57" s="77" t="str">
        <f>IF(BK57="","",WORKDAY.INTL(BK57,BI57*-1,1,Holidays[Date]))</f>
        <v/>
      </c>
      <c r="BG57" s="77" t="str">
        <f ca="1">IFERROR(IF(BH57="",WORKDAY.INTL(BB57,BE57,1,Holidays[Date]),BH57),"")</f>
        <v/>
      </c>
      <c r="BH57" s="78"/>
      <c r="BI57" s="80"/>
      <c r="BJ57" s="68"/>
      <c r="BK57" s="77" t="str">
        <f>IF(BP57="","",WORKDAY.INTL(BP57,BN57*-1,1,Holidays[Date]))</f>
        <v/>
      </c>
      <c r="BL57" s="77" t="str">
        <f ca="1">IFERROR(IF(BM57="",WORKDAY.INTL(BG57,BJ57,1,Holidays[Date]),BM57),"")</f>
        <v/>
      </c>
      <c r="BM57" s="78"/>
      <c r="BN57" s="80"/>
      <c r="BO57" s="68"/>
      <c r="BP57" s="77" t="str">
        <f>IF(BU57="","",WORKDAY.INTL(BU57,BS57*-1,1,Holidays[Date]))</f>
        <v/>
      </c>
      <c r="BQ57" s="77" t="str">
        <f ca="1">IFERROR(IF(BR57="",WORKDAY.INTL(BL57,BO57,1,Holidays[Date]),BR57),"")</f>
        <v/>
      </c>
      <c r="BR57" s="78"/>
      <c r="BS57" s="80"/>
      <c r="BT57" s="68"/>
      <c r="BU57" s="77" t="str">
        <f>IF(BZ57="","",WORKDAY.INTL(BZ57,BX57*-1,1,Holidays[Date]))</f>
        <v/>
      </c>
      <c r="BV57" s="77" t="str">
        <f ca="1">IFERROR(IF(BW57="",WORKDAY.INTL(BQ57,BT57,1,Holidays[Date]),BW57),"")</f>
        <v/>
      </c>
      <c r="BW57" s="78"/>
      <c r="BX57" s="80"/>
      <c r="BY57" s="68"/>
      <c r="BZ57" s="81"/>
      <c r="CA57" s="77" t="str">
        <f ca="1">IFERROR(IF(CB57="",WORKDAY.INTL(BV57,BY57,1,Holidays[Date]),CB57),"")</f>
        <v/>
      </c>
      <c r="CB57" s="78"/>
    </row>
    <row r="58" spans="1:80" ht="19" customHeight="1" x14ac:dyDescent="0.35">
      <c r="A58" s="31"/>
      <c r="B58" s="82"/>
      <c r="C58" s="1"/>
      <c r="D58" s="8"/>
      <c r="E58" s="8"/>
      <c r="F58" s="8"/>
      <c r="G58" s="8"/>
      <c r="H58" s="8"/>
      <c r="I58" s="9"/>
      <c r="J58" s="8"/>
      <c r="K58" s="8"/>
      <c r="L58" s="8"/>
      <c r="M58" s="8"/>
      <c r="N58" s="8"/>
      <c r="O58" s="8"/>
      <c r="P58" s="8"/>
      <c r="Q58" s="2"/>
      <c r="R58" s="2"/>
      <c r="S58" s="88" t="str">
        <f>IF(tblProcRegister[[#This Row],[Award]]&lt;&gt;"",tblProcRegister[[#This Row],[Budget]]-tblProcRegister[[#This Row],[Award]],"")</f>
        <v/>
      </c>
      <c r="T58" s="68"/>
      <c r="U58" s="68"/>
      <c r="V58" s="68"/>
      <c r="W58" s="77" t="str">
        <f>IF(AB58="","",WORKDAY.INTL(AB58,Z58*-1,1,Holidays[Date]))</f>
        <v/>
      </c>
      <c r="X58" s="77" t="str">
        <f t="shared" ca="1" si="0"/>
        <v/>
      </c>
      <c r="Y58" s="78"/>
      <c r="Z58" s="79"/>
      <c r="AA58" s="68"/>
      <c r="AB58" s="77" t="str">
        <f>IF(AG58="","",WORKDAY.INTL(AG58,AE58*-1,1,Holidays[Date]))</f>
        <v/>
      </c>
      <c r="AC58" s="77" t="str">
        <f ca="1">IFERROR(IF(AD58="",WORKDAY.INTL(X58,AA58,1,Holidays[Date]),AD58),"")</f>
        <v/>
      </c>
      <c r="AD58" s="78"/>
      <c r="AE58" s="80"/>
      <c r="AF58" s="68"/>
      <c r="AG58" s="77" t="str">
        <f>IF(AL58="","",WORKDAY.INTL(AL58,AJ58*-1,1,Holidays[Date]))</f>
        <v/>
      </c>
      <c r="AH58" s="77" t="str">
        <f ca="1">IFERROR(IF(AI58="",WORKDAY.INTL(AC58,AF58,1,Holidays[Date]),AI58),"")</f>
        <v/>
      </c>
      <c r="AI58" s="78"/>
      <c r="AJ58" s="80"/>
      <c r="AK58" s="68"/>
      <c r="AL58" s="77" t="str">
        <f>IF(AQ58="","",WORKDAY.INTL(AQ58,AO58*-1,1,Holidays[Date]))</f>
        <v/>
      </c>
      <c r="AM58" s="77" t="str">
        <f ca="1">IFERROR(IF(AN58="",WORKDAY.INTL(AH58,AK58,1,Holidays[Date]),AN58),"")</f>
        <v/>
      </c>
      <c r="AN58" s="78"/>
      <c r="AO58" s="80"/>
      <c r="AP58" s="68"/>
      <c r="AQ58" s="77" t="str">
        <f>IF(AV58="","",WORKDAY.INTL(AV58,AT58*-1,1,Holidays[Date]))</f>
        <v/>
      </c>
      <c r="AR58" s="77" t="str">
        <f ca="1">IFERROR(IF(AS58="",WORKDAY.INTL(AM58,AP58,1,Holidays[Date]),AS58),"")</f>
        <v/>
      </c>
      <c r="AS58" s="78"/>
      <c r="AT58" s="80"/>
      <c r="AU58" s="68"/>
      <c r="AV58" s="77" t="str">
        <f>IF(BA58="","",WORKDAY.INTL(BA58,AY58*-1,1,Holidays[Date]))</f>
        <v/>
      </c>
      <c r="AW58" s="77" t="str">
        <f ca="1">IFERROR(IF(AX58="",WORKDAY.INTL(AR58,AU58,1,Holidays[Date]),AX58),"")</f>
        <v/>
      </c>
      <c r="AX58" s="78"/>
      <c r="AY58" s="80"/>
      <c r="AZ58" s="68"/>
      <c r="BA58" s="77" t="str">
        <f>IF(BF58="","",WORKDAY.INTL(BF58,BD58*-1,1,Holidays[Date]))</f>
        <v/>
      </c>
      <c r="BB58" s="77" t="str">
        <f ca="1">IFERROR(IF(BC58="",WORKDAY.INTL(AW58,AZ58,1,Holidays[Date]),BC58),"")</f>
        <v/>
      </c>
      <c r="BC58" s="78"/>
      <c r="BD58" s="80"/>
      <c r="BE58" s="68"/>
      <c r="BF58" s="77" t="str">
        <f>IF(BK58="","",WORKDAY.INTL(BK58,BI58*-1,1,Holidays[Date]))</f>
        <v/>
      </c>
      <c r="BG58" s="77" t="str">
        <f ca="1">IFERROR(IF(BH58="",WORKDAY.INTL(BB58,BE58,1,Holidays[Date]),BH58),"")</f>
        <v/>
      </c>
      <c r="BH58" s="78"/>
      <c r="BI58" s="80"/>
      <c r="BJ58" s="68"/>
      <c r="BK58" s="77" t="str">
        <f>IF(BP58="","",WORKDAY.INTL(BP58,BN58*-1,1,Holidays[Date]))</f>
        <v/>
      </c>
      <c r="BL58" s="77" t="str">
        <f ca="1">IFERROR(IF(BM58="",WORKDAY.INTL(BG58,BJ58,1,Holidays[Date]),BM58),"")</f>
        <v/>
      </c>
      <c r="BM58" s="78"/>
      <c r="BN58" s="80"/>
      <c r="BO58" s="68"/>
      <c r="BP58" s="77" t="str">
        <f>IF(BU58="","",WORKDAY.INTL(BU58,BS58*-1,1,Holidays[Date]))</f>
        <v/>
      </c>
      <c r="BQ58" s="77" t="str">
        <f ca="1">IFERROR(IF(BR58="",WORKDAY.INTL(BL58,BO58,1,Holidays[Date]),BR58),"")</f>
        <v/>
      </c>
      <c r="BR58" s="78"/>
      <c r="BS58" s="80"/>
      <c r="BT58" s="68"/>
      <c r="BU58" s="77" t="str">
        <f>IF(BZ58="","",WORKDAY.INTL(BZ58,BX58*-1,1,Holidays[Date]))</f>
        <v/>
      </c>
      <c r="BV58" s="77" t="str">
        <f ca="1">IFERROR(IF(BW58="",WORKDAY.INTL(BQ58,BT58,1,Holidays[Date]),BW58),"")</f>
        <v/>
      </c>
      <c r="BW58" s="78"/>
      <c r="BX58" s="80"/>
      <c r="BY58" s="68"/>
      <c r="BZ58" s="81"/>
      <c r="CA58" s="77" t="str">
        <f ca="1">IFERROR(IF(CB58="",WORKDAY.INTL(BV58,BY58,1,Holidays[Date]),CB58),"")</f>
        <v/>
      </c>
      <c r="CB58" s="78"/>
    </row>
    <row r="59" spans="1:80" ht="19" customHeight="1" x14ac:dyDescent="0.35">
      <c r="A59" s="31"/>
      <c r="B59" s="82"/>
      <c r="C59" s="1"/>
      <c r="D59" s="8"/>
      <c r="E59" s="8"/>
      <c r="F59" s="8"/>
      <c r="G59" s="8"/>
      <c r="H59" s="8"/>
      <c r="I59" s="9"/>
      <c r="J59" s="8"/>
      <c r="K59" s="8"/>
      <c r="L59" s="8"/>
      <c r="M59" s="8"/>
      <c r="N59" s="8"/>
      <c r="O59" s="8"/>
      <c r="P59" s="8"/>
      <c r="Q59" s="2"/>
      <c r="R59" s="2"/>
      <c r="S59" s="88" t="str">
        <f>IF(tblProcRegister[[#This Row],[Award]]&lt;&gt;"",tblProcRegister[[#This Row],[Budget]]-tblProcRegister[[#This Row],[Award]],"")</f>
        <v/>
      </c>
      <c r="T59" s="68"/>
      <c r="U59" s="68"/>
      <c r="V59" s="68"/>
      <c r="W59" s="77" t="str">
        <f>IF(AB59="","",WORKDAY.INTL(AB59,Z59*-1,1,Holidays[Date]))</f>
        <v/>
      </c>
      <c r="X59" s="77" t="str">
        <f t="shared" ca="1" si="0"/>
        <v/>
      </c>
      <c r="Y59" s="78"/>
      <c r="Z59" s="79"/>
      <c r="AA59" s="68"/>
      <c r="AB59" s="77" t="str">
        <f>IF(AG59="","",WORKDAY.INTL(AG59,AE59*-1,1,Holidays[Date]))</f>
        <v/>
      </c>
      <c r="AC59" s="77" t="str">
        <f ca="1">IFERROR(IF(AD59="",WORKDAY.INTL(X59,AA59,1,Holidays[Date]),AD59),"")</f>
        <v/>
      </c>
      <c r="AD59" s="78"/>
      <c r="AE59" s="80"/>
      <c r="AF59" s="68"/>
      <c r="AG59" s="77" t="str">
        <f>IF(AL59="","",WORKDAY.INTL(AL59,AJ59*-1,1,Holidays[Date]))</f>
        <v/>
      </c>
      <c r="AH59" s="77" t="str">
        <f ca="1">IFERROR(IF(AI59="",WORKDAY.INTL(AC59,AF59,1,Holidays[Date]),AI59),"")</f>
        <v/>
      </c>
      <c r="AI59" s="78"/>
      <c r="AJ59" s="80"/>
      <c r="AK59" s="68"/>
      <c r="AL59" s="77" t="str">
        <f>IF(AQ59="","",WORKDAY.INTL(AQ59,AO59*-1,1,Holidays[Date]))</f>
        <v/>
      </c>
      <c r="AM59" s="77" t="str">
        <f ca="1">IFERROR(IF(AN59="",WORKDAY.INTL(AH59,AK59,1,Holidays[Date]),AN59),"")</f>
        <v/>
      </c>
      <c r="AN59" s="78"/>
      <c r="AO59" s="80"/>
      <c r="AP59" s="68"/>
      <c r="AQ59" s="77" t="str">
        <f>IF(AV59="","",WORKDAY.INTL(AV59,AT59*-1,1,Holidays[Date]))</f>
        <v/>
      </c>
      <c r="AR59" s="77" t="str">
        <f ca="1">IFERROR(IF(AS59="",WORKDAY.INTL(AM59,AP59,1,Holidays[Date]),AS59),"")</f>
        <v/>
      </c>
      <c r="AS59" s="78"/>
      <c r="AT59" s="80"/>
      <c r="AU59" s="68"/>
      <c r="AV59" s="77" t="str">
        <f>IF(BA59="","",WORKDAY.INTL(BA59,AY59*-1,1,Holidays[Date]))</f>
        <v/>
      </c>
      <c r="AW59" s="77" t="str">
        <f ca="1">IFERROR(IF(AX59="",WORKDAY.INTL(AR59,AU59,1,Holidays[Date]),AX59),"")</f>
        <v/>
      </c>
      <c r="AX59" s="78"/>
      <c r="AY59" s="80"/>
      <c r="AZ59" s="68"/>
      <c r="BA59" s="77" t="str">
        <f>IF(BF59="","",WORKDAY.INTL(BF59,BD59*-1,1,Holidays[Date]))</f>
        <v/>
      </c>
      <c r="BB59" s="77" t="str">
        <f ca="1">IFERROR(IF(BC59="",WORKDAY.INTL(AW59,AZ59,1,Holidays[Date]),BC59),"")</f>
        <v/>
      </c>
      <c r="BC59" s="78"/>
      <c r="BD59" s="80"/>
      <c r="BE59" s="68"/>
      <c r="BF59" s="77" t="str">
        <f>IF(BK59="","",WORKDAY.INTL(BK59,BI59*-1,1,Holidays[Date]))</f>
        <v/>
      </c>
      <c r="BG59" s="77" t="str">
        <f ca="1">IFERROR(IF(BH59="",WORKDAY.INTL(BB59,BE59,1,Holidays[Date]),BH59),"")</f>
        <v/>
      </c>
      <c r="BH59" s="78"/>
      <c r="BI59" s="80"/>
      <c r="BJ59" s="68"/>
      <c r="BK59" s="77" t="str">
        <f>IF(BP59="","",WORKDAY.INTL(BP59,BN59*-1,1,Holidays[Date]))</f>
        <v/>
      </c>
      <c r="BL59" s="77" t="str">
        <f ca="1">IFERROR(IF(BM59="",WORKDAY.INTL(BG59,BJ59,1,Holidays[Date]),BM59),"")</f>
        <v/>
      </c>
      <c r="BM59" s="78"/>
      <c r="BN59" s="80"/>
      <c r="BO59" s="68"/>
      <c r="BP59" s="77" t="str">
        <f>IF(BU59="","",WORKDAY.INTL(BU59,BS59*-1,1,Holidays[Date]))</f>
        <v/>
      </c>
      <c r="BQ59" s="77" t="str">
        <f ca="1">IFERROR(IF(BR59="",WORKDAY.INTL(BL59,BO59,1,Holidays[Date]),BR59),"")</f>
        <v/>
      </c>
      <c r="BR59" s="78"/>
      <c r="BS59" s="80"/>
      <c r="BT59" s="68"/>
      <c r="BU59" s="77" t="str">
        <f>IF(BZ59="","",WORKDAY.INTL(BZ59,BX59*-1,1,Holidays[Date]))</f>
        <v/>
      </c>
      <c r="BV59" s="77" t="str">
        <f ca="1">IFERROR(IF(BW59="",WORKDAY.INTL(BQ59,BT59,1,Holidays[Date]),BW59),"")</f>
        <v/>
      </c>
      <c r="BW59" s="78"/>
      <c r="BX59" s="80"/>
      <c r="BY59" s="68"/>
      <c r="BZ59" s="81"/>
      <c r="CA59" s="77" t="str">
        <f ca="1">IFERROR(IF(CB59="",WORKDAY.INTL(BV59,BY59,1,Holidays[Date]),CB59),"")</f>
        <v/>
      </c>
      <c r="CB59" s="78"/>
    </row>
    <row r="60" spans="1:80" ht="19" customHeight="1" x14ac:dyDescent="0.35">
      <c r="A60" s="31"/>
      <c r="B60" s="82"/>
      <c r="C60" s="1"/>
      <c r="D60" s="8"/>
      <c r="E60" s="8"/>
      <c r="F60" s="8"/>
      <c r="G60" s="8"/>
      <c r="H60" s="8"/>
      <c r="I60" s="9"/>
      <c r="J60" s="8"/>
      <c r="K60" s="8"/>
      <c r="L60" s="8"/>
      <c r="M60" s="8"/>
      <c r="N60" s="8"/>
      <c r="O60" s="8"/>
      <c r="P60" s="8"/>
      <c r="Q60" s="2"/>
      <c r="R60" s="2"/>
      <c r="S60" s="88" t="str">
        <f>IF(tblProcRegister[[#This Row],[Award]]&lt;&gt;"",tblProcRegister[[#This Row],[Budget]]-tblProcRegister[[#This Row],[Award]],"")</f>
        <v/>
      </c>
      <c r="T60" s="68"/>
      <c r="U60" s="68"/>
      <c r="V60" s="68"/>
      <c r="W60" s="77" t="str">
        <f>IF(AB60="","",WORKDAY.INTL(AB60,Z60*-1,1,Holidays[Date]))</f>
        <v/>
      </c>
      <c r="X60" s="77" t="str">
        <f t="shared" ca="1" si="0"/>
        <v/>
      </c>
      <c r="Y60" s="78"/>
      <c r="Z60" s="79"/>
      <c r="AA60" s="68"/>
      <c r="AB60" s="77" t="str">
        <f>IF(AG60="","",WORKDAY.INTL(AG60,AE60*-1,1,Holidays[Date]))</f>
        <v/>
      </c>
      <c r="AC60" s="77" t="str">
        <f ca="1">IFERROR(IF(AD60="",WORKDAY.INTL(X60,AA60,1,Holidays[Date]),AD60),"")</f>
        <v/>
      </c>
      <c r="AD60" s="78"/>
      <c r="AE60" s="80"/>
      <c r="AF60" s="68"/>
      <c r="AG60" s="77" t="str">
        <f>IF(AL60="","",WORKDAY.INTL(AL60,AJ60*-1,1,Holidays[Date]))</f>
        <v/>
      </c>
      <c r="AH60" s="77" t="str">
        <f ca="1">IFERROR(IF(AI60="",WORKDAY.INTL(AC60,AF60,1,Holidays[Date]),AI60),"")</f>
        <v/>
      </c>
      <c r="AI60" s="78"/>
      <c r="AJ60" s="80"/>
      <c r="AK60" s="68"/>
      <c r="AL60" s="77" t="str">
        <f>IF(AQ60="","",WORKDAY.INTL(AQ60,AO60*-1,1,Holidays[Date]))</f>
        <v/>
      </c>
      <c r="AM60" s="77" t="str">
        <f ca="1">IFERROR(IF(AN60="",WORKDAY.INTL(AH60,AK60,1,Holidays[Date]),AN60),"")</f>
        <v/>
      </c>
      <c r="AN60" s="78"/>
      <c r="AO60" s="80"/>
      <c r="AP60" s="68"/>
      <c r="AQ60" s="77" t="str">
        <f>IF(AV60="","",WORKDAY.INTL(AV60,AT60*-1,1,Holidays[Date]))</f>
        <v/>
      </c>
      <c r="AR60" s="77" t="str">
        <f ca="1">IFERROR(IF(AS60="",WORKDAY.INTL(AM60,AP60,1,Holidays[Date]),AS60),"")</f>
        <v/>
      </c>
      <c r="AS60" s="78"/>
      <c r="AT60" s="80"/>
      <c r="AU60" s="68"/>
      <c r="AV60" s="77" t="str">
        <f>IF(BA60="","",WORKDAY.INTL(BA60,AY60*-1,1,Holidays[Date]))</f>
        <v/>
      </c>
      <c r="AW60" s="77" t="str">
        <f ca="1">IFERROR(IF(AX60="",WORKDAY.INTL(AR60,AU60,1,Holidays[Date]),AX60),"")</f>
        <v/>
      </c>
      <c r="AX60" s="78"/>
      <c r="AY60" s="80"/>
      <c r="AZ60" s="68"/>
      <c r="BA60" s="77" t="str">
        <f>IF(BF60="","",WORKDAY.INTL(BF60,BD60*-1,1,Holidays[Date]))</f>
        <v/>
      </c>
      <c r="BB60" s="77" t="str">
        <f ca="1">IFERROR(IF(BC60="",WORKDAY.INTL(AW60,AZ60,1,Holidays[Date]),BC60),"")</f>
        <v/>
      </c>
      <c r="BC60" s="78"/>
      <c r="BD60" s="80"/>
      <c r="BE60" s="68"/>
      <c r="BF60" s="77" t="str">
        <f>IF(BK60="","",WORKDAY.INTL(BK60,BI60*-1,1,Holidays[Date]))</f>
        <v/>
      </c>
      <c r="BG60" s="77" t="str">
        <f ca="1">IFERROR(IF(BH60="",WORKDAY.INTL(BB60,BE60,1,Holidays[Date]),BH60),"")</f>
        <v/>
      </c>
      <c r="BH60" s="78"/>
      <c r="BI60" s="80"/>
      <c r="BJ60" s="68"/>
      <c r="BK60" s="77" t="str">
        <f>IF(BP60="","",WORKDAY.INTL(BP60,BN60*-1,1,Holidays[Date]))</f>
        <v/>
      </c>
      <c r="BL60" s="77" t="str">
        <f ca="1">IFERROR(IF(BM60="",WORKDAY.INTL(BG60,BJ60,1,Holidays[Date]),BM60),"")</f>
        <v/>
      </c>
      <c r="BM60" s="78"/>
      <c r="BN60" s="80"/>
      <c r="BO60" s="68"/>
      <c r="BP60" s="77" t="str">
        <f>IF(BU60="","",WORKDAY.INTL(BU60,BS60*-1,1,Holidays[Date]))</f>
        <v/>
      </c>
      <c r="BQ60" s="77" t="str">
        <f ca="1">IFERROR(IF(BR60="",WORKDAY.INTL(BL60,BO60,1,Holidays[Date]),BR60),"")</f>
        <v/>
      </c>
      <c r="BR60" s="78"/>
      <c r="BS60" s="80"/>
      <c r="BT60" s="68"/>
      <c r="BU60" s="77" t="str">
        <f>IF(BZ60="","",WORKDAY.INTL(BZ60,BX60*-1,1,Holidays[Date]))</f>
        <v/>
      </c>
      <c r="BV60" s="77" t="str">
        <f ca="1">IFERROR(IF(BW60="",WORKDAY.INTL(BQ60,BT60,1,Holidays[Date]),BW60),"")</f>
        <v/>
      </c>
      <c r="BW60" s="78"/>
      <c r="BX60" s="80"/>
      <c r="BY60" s="68"/>
      <c r="BZ60" s="81"/>
      <c r="CA60" s="77" t="str">
        <f ca="1">IFERROR(IF(CB60="",WORKDAY.INTL(BV60,BY60,1,Holidays[Date]),CB60),"")</f>
        <v/>
      </c>
      <c r="CB60" s="78"/>
    </row>
    <row r="61" spans="1:80" ht="19" customHeight="1" x14ac:dyDescent="0.35">
      <c r="A61" s="31"/>
      <c r="B61" s="82"/>
      <c r="C61" s="1"/>
      <c r="D61" s="8"/>
      <c r="E61" s="8"/>
      <c r="F61" s="8"/>
      <c r="G61" s="8"/>
      <c r="H61" s="8"/>
      <c r="I61" s="9"/>
      <c r="J61" s="8"/>
      <c r="K61" s="8"/>
      <c r="L61" s="8"/>
      <c r="M61" s="8"/>
      <c r="N61" s="8"/>
      <c r="O61" s="8"/>
      <c r="P61" s="8"/>
      <c r="Q61" s="2"/>
      <c r="R61" s="2"/>
      <c r="S61" s="88" t="str">
        <f>IF(tblProcRegister[[#This Row],[Award]]&lt;&gt;"",tblProcRegister[[#This Row],[Budget]]-tblProcRegister[[#This Row],[Award]],"")</f>
        <v/>
      </c>
      <c r="T61" s="68"/>
      <c r="U61" s="68"/>
      <c r="V61" s="68"/>
      <c r="W61" s="77" t="str">
        <f>IF(AB61="","",WORKDAY.INTL(AB61,Z61*-1,1,Holidays[Date]))</f>
        <v/>
      </c>
      <c r="X61" s="77" t="str">
        <f t="shared" ca="1" si="0"/>
        <v/>
      </c>
      <c r="Y61" s="78"/>
      <c r="Z61" s="79"/>
      <c r="AA61" s="68"/>
      <c r="AB61" s="77" t="str">
        <f>IF(AG61="","",WORKDAY.INTL(AG61,AE61*-1,1,Holidays[Date]))</f>
        <v/>
      </c>
      <c r="AC61" s="77" t="str">
        <f ca="1">IFERROR(IF(AD61="",WORKDAY.INTL(X61,AA61,1,Holidays[Date]),AD61),"")</f>
        <v/>
      </c>
      <c r="AD61" s="78"/>
      <c r="AE61" s="80"/>
      <c r="AF61" s="68"/>
      <c r="AG61" s="77" t="str">
        <f>IF(AL61="","",WORKDAY.INTL(AL61,AJ61*-1,1,Holidays[Date]))</f>
        <v/>
      </c>
      <c r="AH61" s="77" t="str">
        <f ca="1">IFERROR(IF(AI61="",WORKDAY.INTL(AC61,AF61,1,Holidays[Date]),AI61),"")</f>
        <v/>
      </c>
      <c r="AI61" s="78"/>
      <c r="AJ61" s="80"/>
      <c r="AK61" s="68"/>
      <c r="AL61" s="77" t="str">
        <f>IF(AQ61="","",WORKDAY.INTL(AQ61,AO61*-1,1,Holidays[Date]))</f>
        <v/>
      </c>
      <c r="AM61" s="77" t="str">
        <f ca="1">IFERROR(IF(AN61="",WORKDAY.INTL(AH61,AK61,1,Holidays[Date]),AN61),"")</f>
        <v/>
      </c>
      <c r="AN61" s="78"/>
      <c r="AO61" s="80"/>
      <c r="AP61" s="68"/>
      <c r="AQ61" s="77" t="str">
        <f>IF(AV61="","",WORKDAY.INTL(AV61,AT61*-1,1,Holidays[Date]))</f>
        <v/>
      </c>
      <c r="AR61" s="77" t="str">
        <f ca="1">IFERROR(IF(AS61="",WORKDAY.INTL(AM61,AP61,1,Holidays[Date]),AS61),"")</f>
        <v/>
      </c>
      <c r="AS61" s="78"/>
      <c r="AT61" s="80"/>
      <c r="AU61" s="68"/>
      <c r="AV61" s="77" t="str">
        <f>IF(BA61="","",WORKDAY.INTL(BA61,AY61*-1,1,Holidays[Date]))</f>
        <v/>
      </c>
      <c r="AW61" s="77" t="str">
        <f ca="1">IFERROR(IF(AX61="",WORKDAY.INTL(AR61,AU61,1,Holidays[Date]),AX61),"")</f>
        <v/>
      </c>
      <c r="AX61" s="78"/>
      <c r="AY61" s="80"/>
      <c r="AZ61" s="68"/>
      <c r="BA61" s="77" t="str">
        <f>IF(BF61="","",WORKDAY.INTL(BF61,BD61*-1,1,Holidays[Date]))</f>
        <v/>
      </c>
      <c r="BB61" s="77" t="str">
        <f ca="1">IFERROR(IF(BC61="",WORKDAY.INTL(AW61,AZ61,1,Holidays[Date]),BC61),"")</f>
        <v/>
      </c>
      <c r="BC61" s="78"/>
      <c r="BD61" s="80"/>
      <c r="BE61" s="68"/>
      <c r="BF61" s="77" t="str">
        <f>IF(BK61="","",WORKDAY.INTL(BK61,BI61*-1,1,Holidays[Date]))</f>
        <v/>
      </c>
      <c r="BG61" s="77" t="str">
        <f ca="1">IFERROR(IF(BH61="",WORKDAY.INTL(BB61,BE61,1,Holidays[Date]),BH61),"")</f>
        <v/>
      </c>
      <c r="BH61" s="78"/>
      <c r="BI61" s="80"/>
      <c r="BJ61" s="68"/>
      <c r="BK61" s="77" t="str">
        <f>IF(BP61="","",WORKDAY.INTL(BP61,BN61*-1,1,Holidays[Date]))</f>
        <v/>
      </c>
      <c r="BL61" s="77" t="str">
        <f ca="1">IFERROR(IF(BM61="",WORKDAY.INTL(BG61,BJ61,1,Holidays[Date]),BM61),"")</f>
        <v/>
      </c>
      <c r="BM61" s="78"/>
      <c r="BN61" s="80"/>
      <c r="BO61" s="68"/>
      <c r="BP61" s="77" t="str">
        <f>IF(BU61="","",WORKDAY.INTL(BU61,BS61*-1,1,Holidays[Date]))</f>
        <v/>
      </c>
      <c r="BQ61" s="77" t="str">
        <f ca="1">IFERROR(IF(BR61="",WORKDAY.INTL(BL61,BO61,1,Holidays[Date]),BR61),"")</f>
        <v/>
      </c>
      <c r="BR61" s="78"/>
      <c r="BS61" s="80"/>
      <c r="BT61" s="68"/>
      <c r="BU61" s="77" t="str">
        <f>IF(BZ61="","",WORKDAY.INTL(BZ61,BX61*-1,1,Holidays[Date]))</f>
        <v/>
      </c>
      <c r="BV61" s="77" t="str">
        <f ca="1">IFERROR(IF(BW61="",WORKDAY.INTL(BQ61,BT61,1,Holidays[Date]),BW61),"")</f>
        <v/>
      </c>
      <c r="BW61" s="78"/>
      <c r="BX61" s="80"/>
      <c r="BY61" s="68"/>
      <c r="BZ61" s="81"/>
      <c r="CA61" s="77" t="str">
        <f ca="1">IFERROR(IF(CB61="",WORKDAY.INTL(BV61,BY61,1,Holidays[Date]),CB61),"")</f>
        <v/>
      </c>
      <c r="CB61" s="78"/>
    </row>
    <row r="62" spans="1:80" ht="19" customHeight="1" x14ac:dyDescent="0.35">
      <c r="A62" s="31"/>
      <c r="B62" s="82"/>
      <c r="C62" s="1"/>
      <c r="D62" s="8"/>
      <c r="E62" s="8"/>
      <c r="F62" s="8"/>
      <c r="G62" s="8"/>
      <c r="H62" s="8"/>
      <c r="I62" s="9"/>
      <c r="J62" s="8"/>
      <c r="K62" s="8"/>
      <c r="L62" s="8"/>
      <c r="M62" s="8"/>
      <c r="N62" s="8"/>
      <c r="O62" s="8"/>
      <c r="P62" s="8"/>
      <c r="Q62" s="2"/>
      <c r="R62" s="2"/>
      <c r="S62" s="88" t="str">
        <f>IF(tblProcRegister[[#This Row],[Award]]&lt;&gt;"",tblProcRegister[[#This Row],[Budget]]-tblProcRegister[[#This Row],[Award]],"")</f>
        <v/>
      </c>
      <c r="T62" s="68"/>
      <c r="U62" s="68"/>
      <c r="V62" s="68"/>
      <c r="W62" s="77" t="str">
        <f>IF(AB62="","",WORKDAY.INTL(AB62,Z62*-1,1,Holidays[Date]))</f>
        <v/>
      </c>
      <c r="X62" s="77" t="str">
        <f t="shared" ca="1" si="0"/>
        <v/>
      </c>
      <c r="Y62" s="78"/>
      <c r="Z62" s="79"/>
      <c r="AA62" s="68"/>
      <c r="AB62" s="77" t="str">
        <f>IF(AG62="","",WORKDAY.INTL(AG62,AE62*-1,1,Holidays[Date]))</f>
        <v/>
      </c>
      <c r="AC62" s="77" t="str">
        <f ca="1">IFERROR(IF(AD62="",WORKDAY.INTL(X62,AA62,1,Holidays[Date]),AD62),"")</f>
        <v/>
      </c>
      <c r="AD62" s="78"/>
      <c r="AE62" s="80"/>
      <c r="AF62" s="68"/>
      <c r="AG62" s="77" t="str">
        <f>IF(AL62="","",WORKDAY.INTL(AL62,AJ62*-1,1,Holidays[Date]))</f>
        <v/>
      </c>
      <c r="AH62" s="77" t="str">
        <f ca="1">IFERROR(IF(AI62="",WORKDAY.INTL(AC62,AF62,1,Holidays[Date]),AI62),"")</f>
        <v/>
      </c>
      <c r="AI62" s="78"/>
      <c r="AJ62" s="80"/>
      <c r="AK62" s="68"/>
      <c r="AL62" s="77" t="str">
        <f>IF(AQ62="","",WORKDAY.INTL(AQ62,AO62*-1,1,Holidays[Date]))</f>
        <v/>
      </c>
      <c r="AM62" s="77" t="str">
        <f ca="1">IFERROR(IF(AN62="",WORKDAY.INTL(AH62,AK62,1,Holidays[Date]),AN62),"")</f>
        <v/>
      </c>
      <c r="AN62" s="78"/>
      <c r="AO62" s="80"/>
      <c r="AP62" s="68"/>
      <c r="AQ62" s="77" t="str">
        <f>IF(AV62="","",WORKDAY.INTL(AV62,AT62*-1,1,Holidays[Date]))</f>
        <v/>
      </c>
      <c r="AR62" s="77" t="str">
        <f ca="1">IFERROR(IF(AS62="",WORKDAY.INTL(AM62,AP62,1,Holidays[Date]),AS62),"")</f>
        <v/>
      </c>
      <c r="AS62" s="78"/>
      <c r="AT62" s="80"/>
      <c r="AU62" s="68"/>
      <c r="AV62" s="77" t="str">
        <f>IF(BA62="","",WORKDAY.INTL(BA62,AY62*-1,1,Holidays[Date]))</f>
        <v/>
      </c>
      <c r="AW62" s="77" t="str">
        <f ca="1">IFERROR(IF(AX62="",WORKDAY.INTL(AR62,AU62,1,Holidays[Date]),AX62),"")</f>
        <v/>
      </c>
      <c r="AX62" s="78"/>
      <c r="AY62" s="80"/>
      <c r="AZ62" s="68"/>
      <c r="BA62" s="77" t="str">
        <f>IF(BF62="","",WORKDAY.INTL(BF62,BD62*-1,1,Holidays[Date]))</f>
        <v/>
      </c>
      <c r="BB62" s="77" t="str">
        <f ca="1">IFERROR(IF(BC62="",WORKDAY.INTL(AW62,AZ62,1,Holidays[Date]),BC62),"")</f>
        <v/>
      </c>
      <c r="BC62" s="78"/>
      <c r="BD62" s="80"/>
      <c r="BE62" s="68"/>
      <c r="BF62" s="77" t="str">
        <f>IF(BK62="","",WORKDAY.INTL(BK62,BI62*-1,1,Holidays[Date]))</f>
        <v/>
      </c>
      <c r="BG62" s="77" t="str">
        <f ca="1">IFERROR(IF(BH62="",WORKDAY.INTL(BB62,BE62,1,Holidays[Date]),BH62),"")</f>
        <v/>
      </c>
      <c r="BH62" s="78"/>
      <c r="BI62" s="80"/>
      <c r="BJ62" s="68"/>
      <c r="BK62" s="77" t="str">
        <f>IF(BP62="","",WORKDAY.INTL(BP62,BN62*-1,1,Holidays[Date]))</f>
        <v/>
      </c>
      <c r="BL62" s="77" t="str">
        <f ca="1">IFERROR(IF(BM62="",WORKDAY.INTL(BG62,BJ62,1,Holidays[Date]),BM62),"")</f>
        <v/>
      </c>
      <c r="BM62" s="78"/>
      <c r="BN62" s="80"/>
      <c r="BO62" s="68"/>
      <c r="BP62" s="77" t="str">
        <f>IF(BU62="","",WORKDAY.INTL(BU62,BS62*-1,1,Holidays[Date]))</f>
        <v/>
      </c>
      <c r="BQ62" s="77" t="str">
        <f ca="1">IFERROR(IF(BR62="",WORKDAY.INTL(BL62,BO62,1,Holidays[Date]),BR62),"")</f>
        <v/>
      </c>
      <c r="BR62" s="78"/>
      <c r="BS62" s="80"/>
      <c r="BT62" s="68"/>
      <c r="BU62" s="77" t="str">
        <f>IF(BZ62="","",WORKDAY.INTL(BZ62,BX62*-1,1,Holidays[Date]))</f>
        <v/>
      </c>
      <c r="BV62" s="77" t="str">
        <f ca="1">IFERROR(IF(BW62="",WORKDAY.INTL(BQ62,BT62,1,Holidays[Date]),BW62),"")</f>
        <v/>
      </c>
      <c r="BW62" s="78"/>
      <c r="BX62" s="80"/>
      <c r="BY62" s="68"/>
      <c r="BZ62" s="81"/>
      <c r="CA62" s="77" t="str">
        <f ca="1">IFERROR(IF(CB62="",WORKDAY.INTL(BV62,BY62,1,Holidays[Date]),CB62),"")</f>
        <v/>
      </c>
      <c r="CB62" s="78"/>
    </row>
    <row r="63" spans="1:80" ht="19" customHeight="1" x14ac:dyDescent="0.35">
      <c r="A63" s="31"/>
      <c r="B63" s="82"/>
      <c r="C63" s="1"/>
      <c r="D63" s="8"/>
      <c r="E63" s="8"/>
      <c r="F63" s="8"/>
      <c r="G63" s="8"/>
      <c r="H63" s="8"/>
      <c r="I63" s="9"/>
      <c r="J63" s="8"/>
      <c r="K63" s="8"/>
      <c r="L63" s="8"/>
      <c r="M63" s="8"/>
      <c r="N63" s="8"/>
      <c r="O63" s="8"/>
      <c r="P63" s="8"/>
      <c r="Q63" s="2"/>
      <c r="R63" s="2"/>
      <c r="S63" s="88" t="str">
        <f>IF(tblProcRegister[[#This Row],[Award]]&lt;&gt;"",tblProcRegister[[#This Row],[Budget]]-tblProcRegister[[#This Row],[Award]],"")</f>
        <v/>
      </c>
      <c r="T63" s="68"/>
      <c r="U63" s="68"/>
      <c r="V63" s="68"/>
      <c r="W63" s="77" t="str">
        <f>IF(AB63="","",WORKDAY.INTL(AB63,Z63*-1,1,Holidays[Date]))</f>
        <v/>
      </c>
      <c r="X63" s="77" t="str">
        <f t="shared" ca="1" si="0"/>
        <v/>
      </c>
      <c r="Y63" s="78"/>
      <c r="Z63" s="79"/>
      <c r="AA63" s="68"/>
      <c r="AB63" s="77" t="str">
        <f>IF(AG63="","",WORKDAY.INTL(AG63,AE63*-1,1,Holidays[Date]))</f>
        <v/>
      </c>
      <c r="AC63" s="77" t="str">
        <f ca="1">IFERROR(IF(AD63="",WORKDAY.INTL(X63,AA63,1,Holidays[Date]),AD63),"")</f>
        <v/>
      </c>
      <c r="AD63" s="78"/>
      <c r="AE63" s="80"/>
      <c r="AF63" s="68"/>
      <c r="AG63" s="77" t="str">
        <f>IF(AL63="","",WORKDAY.INTL(AL63,AJ63*-1,1,Holidays[Date]))</f>
        <v/>
      </c>
      <c r="AH63" s="77" t="str">
        <f ca="1">IFERROR(IF(AI63="",WORKDAY.INTL(AC63,AF63,1,Holidays[Date]),AI63),"")</f>
        <v/>
      </c>
      <c r="AI63" s="78"/>
      <c r="AJ63" s="80"/>
      <c r="AK63" s="68"/>
      <c r="AL63" s="77" t="str">
        <f>IF(AQ63="","",WORKDAY.INTL(AQ63,AO63*-1,1,Holidays[Date]))</f>
        <v/>
      </c>
      <c r="AM63" s="77" t="str">
        <f ca="1">IFERROR(IF(AN63="",WORKDAY.INTL(AH63,AK63,1,Holidays[Date]),AN63),"")</f>
        <v/>
      </c>
      <c r="AN63" s="78"/>
      <c r="AO63" s="80"/>
      <c r="AP63" s="68"/>
      <c r="AQ63" s="77" t="str">
        <f>IF(AV63="","",WORKDAY.INTL(AV63,AT63*-1,1,Holidays[Date]))</f>
        <v/>
      </c>
      <c r="AR63" s="77" t="str">
        <f ca="1">IFERROR(IF(AS63="",WORKDAY.INTL(AM63,AP63,1,Holidays[Date]),AS63),"")</f>
        <v/>
      </c>
      <c r="AS63" s="78"/>
      <c r="AT63" s="80"/>
      <c r="AU63" s="68"/>
      <c r="AV63" s="77" t="str">
        <f>IF(BA63="","",WORKDAY.INTL(BA63,AY63*-1,1,Holidays[Date]))</f>
        <v/>
      </c>
      <c r="AW63" s="77" t="str">
        <f ca="1">IFERROR(IF(AX63="",WORKDAY.INTL(AR63,AU63,1,Holidays[Date]),AX63),"")</f>
        <v/>
      </c>
      <c r="AX63" s="78"/>
      <c r="AY63" s="80"/>
      <c r="AZ63" s="68"/>
      <c r="BA63" s="77" t="str">
        <f>IF(BF63="","",WORKDAY.INTL(BF63,BD63*-1,1,Holidays[Date]))</f>
        <v/>
      </c>
      <c r="BB63" s="77" t="str">
        <f ca="1">IFERROR(IF(BC63="",WORKDAY.INTL(AW63,AZ63,1,Holidays[Date]),BC63),"")</f>
        <v/>
      </c>
      <c r="BC63" s="78"/>
      <c r="BD63" s="80"/>
      <c r="BE63" s="68"/>
      <c r="BF63" s="77" t="str">
        <f>IF(BK63="","",WORKDAY.INTL(BK63,BI63*-1,1,Holidays[Date]))</f>
        <v/>
      </c>
      <c r="BG63" s="77" t="str">
        <f ca="1">IFERROR(IF(BH63="",WORKDAY.INTL(BB63,BE63,1,Holidays[Date]),BH63),"")</f>
        <v/>
      </c>
      <c r="BH63" s="78"/>
      <c r="BI63" s="80"/>
      <c r="BJ63" s="68"/>
      <c r="BK63" s="77" t="str">
        <f>IF(BP63="","",WORKDAY.INTL(BP63,BN63*-1,1,Holidays[Date]))</f>
        <v/>
      </c>
      <c r="BL63" s="77" t="str">
        <f ca="1">IFERROR(IF(BM63="",WORKDAY.INTL(BG63,BJ63,1,Holidays[Date]),BM63),"")</f>
        <v/>
      </c>
      <c r="BM63" s="78"/>
      <c r="BN63" s="80"/>
      <c r="BO63" s="68"/>
      <c r="BP63" s="77" t="str">
        <f>IF(BU63="","",WORKDAY.INTL(BU63,BS63*-1,1,Holidays[Date]))</f>
        <v/>
      </c>
      <c r="BQ63" s="77" t="str">
        <f ca="1">IFERROR(IF(BR63="",WORKDAY.INTL(BL63,BO63,1,Holidays[Date]),BR63),"")</f>
        <v/>
      </c>
      <c r="BR63" s="78"/>
      <c r="BS63" s="80"/>
      <c r="BT63" s="68"/>
      <c r="BU63" s="77" t="str">
        <f>IF(BZ63="","",WORKDAY.INTL(BZ63,BX63*-1,1,Holidays[Date]))</f>
        <v/>
      </c>
      <c r="BV63" s="77" t="str">
        <f ca="1">IFERROR(IF(BW63="",WORKDAY.INTL(BQ63,BT63,1,Holidays[Date]),BW63),"")</f>
        <v/>
      </c>
      <c r="BW63" s="78"/>
      <c r="BX63" s="80"/>
      <c r="BY63" s="68"/>
      <c r="BZ63" s="81"/>
      <c r="CA63" s="77" t="str">
        <f ca="1">IFERROR(IF(CB63="",WORKDAY.INTL(BV63,BY63,1,Holidays[Date]),CB63),"")</f>
        <v/>
      </c>
      <c r="CB63" s="78"/>
    </row>
    <row r="64" spans="1:80" ht="19" customHeight="1" x14ac:dyDescent="0.35">
      <c r="A64" s="31"/>
      <c r="B64" s="82"/>
      <c r="C64" s="1"/>
      <c r="D64" s="8"/>
      <c r="E64" s="8"/>
      <c r="F64" s="8"/>
      <c r="G64" s="8"/>
      <c r="H64" s="8"/>
      <c r="I64" s="9"/>
      <c r="J64" s="8"/>
      <c r="K64" s="8"/>
      <c r="L64" s="8"/>
      <c r="M64" s="8"/>
      <c r="N64" s="8"/>
      <c r="O64" s="8"/>
      <c r="P64" s="8"/>
      <c r="Q64" s="2"/>
      <c r="R64" s="2"/>
      <c r="S64" s="88" t="str">
        <f>IF(tblProcRegister[[#This Row],[Award]]&lt;&gt;"",tblProcRegister[[#This Row],[Budget]]-tblProcRegister[[#This Row],[Award]],"")</f>
        <v/>
      </c>
      <c r="T64" s="68"/>
      <c r="U64" s="68"/>
      <c r="V64" s="68"/>
      <c r="W64" s="77" t="str">
        <f>IF(AB64="","",WORKDAY.INTL(AB64,Z64*-1,1,Holidays[Date]))</f>
        <v/>
      </c>
      <c r="X64" s="77" t="str">
        <f t="shared" ca="1" si="0"/>
        <v/>
      </c>
      <c r="Y64" s="78"/>
      <c r="Z64" s="79"/>
      <c r="AA64" s="68"/>
      <c r="AB64" s="77" t="str">
        <f>IF(AG64="","",WORKDAY.INTL(AG64,AE64*-1,1,Holidays[Date]))</f>
        <v/>
      </c>
      <c r="AC64" s="77" t="str">
        <f ca="1">IFERROR(IF(AD64="",WORKDAY.INTL(X64,AA64,1,Holidays[Date]),AD64),"")</f>
        <v/>
      </c>
      <c r="AD64" s="78"/>
      <c r="AE64" s="80"/>
      <c r="AF64" s="68"/>
      <c r="AG64" s="77" t="str">
        <f>IF(AL64="","",WORKDAY.INTL(AL64,AJ64*-1,1,Holidays[Date]))</f>
        <v/>
      </c>
      <c r="AH64" s="77" t="str">
        <f ca="1">IFERROR(IF(AI64="",WORKDAY.INTL(AC64,AF64,1,Holidays[Date]),AI64),"")</f>
        <v/>
      </c>
      <c r="AI64" s="78"/>
      <c r="AJ64" s="80"/>
      <c r="AK64" s="68"/>
      <c r="AL64" s="77" t="str">
        <f>IF(AQ64="","",WORKDAY.INTL(AQ64,AO64*-1,1,Holidays[Date]))</f>
        <v/>
      </c>
      <c r="AM64" s="77" t="str">
        <f ca="1">IFERROR(IF(AN64="",WORKDAY.INTL(AH64,AK64,1,Holidays[Date]),AN64),"")</f>
        <v/>
      </c>
      <c r="AN64" s="78"/>
      <c r="AO64" s="80"/>
      <c r="AP64" s="68"/>
      <c r="AQ64" s="77" t="str">
        <f>IF(AV64="","",WORKDAY.INTL(AV64,AT64*-1,1,Holidays[Date]))</f>
        <v/>
      </c>
      <c r="AR64" s="77" t="str">
        <f ca="1">IFERROR(IF(AS64="",WORKDAY.INTL(AM64,AP64,1,Holidays[Date]),AS64),"")</f>
        <v/>
      </c>
      <c r="AS64" s="78"/>
      <c r="AT64" s="80"/>
      <c r="AU64" s="68"/>
      <c r="AV64" s="77" t="str">
        <f>IF(BA64="","",WORKDAY.INTL(BA64,AY64*-1,1,Holidays[Date]))</f>
        <v/>
      </c>
      <c r="AW64" s="77" t="str">
        <f ca="1">IFERROR(IF(AX64="",WORKDAY.INTL(AR64,AU64,1,Holidays[Date]),AX64),"")</f>
        <v/>
      </c>
      <c r="AX64" s="78"/>
      <c r="AY64" s="80"/>
      <c r="AZ64" s="68"/>
      <c r="BA64" s="77" t="str">
        <f>IF(BF64="","",WORKDAY.INTL(BF64,BD64*-1,1,Holidays[Date]))</f>
        <v/>
      </c>
      <c r="BB64" s="77" t="str">
        <f ca="1">IFERROR(IF(BC64="",WORKDAY.INTL(AW64,AZ64,1,Holidays[Date]),BC64),"")</f>
        <v/>
      </c>
      <c r="BC64" s="78"/>
      <c r="BD64" s="80"/>
      <c r="BE64" s="68"/>
      <c r="BF64" s="77" t="str">
        <f>IF(BK64="","",WORKDAY.INTL(BK64,BI64*-1,1,Holidays[Date]))</f>
        <v/>
      </c>
      <c r="BG64" s="77" t="str">
        <f ca="1">IFERROR(IF(BH64="",WORKDAY.INTL(BB64,BE64,1,Holidays[Date]),BH64),"")</f>
        <v/>
      </c>
      <c r="BH64" s="78"/>
      <c r="BI64" s="80"/>
      <c r="BJ64" s="68"/>
      <c r="BK64" s="77" t="str">
        <f>IF(BP64="","",WORKDAY.INTL(BP64,BN64*-1,1,Holidays[Date]))</f>
        <v/>
      </c>
      <c r="BL64" s="77" t="str">
        <f ca="1">IFERROR(IF(BM64="",WORKDAY.INTL(BG64,BJ64,1,Holidays[Date]),BM64),"")</f>
        <v/>
      </c>
      <c r="BM64" s="78"/>
      <c r="BN64" s="80"/>
      <c r="BO64" s="68"/>
      <c r="BP64" s="77" t="str">
        <f>IF(BU64="","",WORKDAY.INTL(BU64,BS64*-1,1,Holidays[Date]))</f>
        <v/>
      </c>
      <c r="BQ64" s="77" t="str">
        <f ca="1">IFERROR(IF(BR64="",WORKDAY.INTL(BL64,BO64,1,Holidays[Date]),BR64),"")</f>
        <v/>
      </c>
      <c r="BR64" s="78"/>
      <c r="BS64" s="80"/>
      <c r="BT64" s="68"/>
      <c r="BU64" s="77" t="str">
        <f>IF(BZ64="","",WORKDAY.INTL(BZ64,BX64*-1,1,Holidays[Date]))</f>
        <v/>
      </c>
      <c r="BV64" s="77" t="str">
        <f ca="1">IFERROR(IF(BW64="",WORKDAY.INTL(BQ64,BT64,1,Holidays[Date]),BW64),"")</f>
        <v/>
      </c>
      <c r="BW64" s="78"/>
      <c r="BX64" s="80"/>
      <c r="BY64" s="68"/>
      <c r="BZ64" s="81"/>
      <c r="CA64" s="77" t="str">
        <f ca="1">IFERROR(IF(CB64="",WORKDAY.INTL(BV64,BY64,1,Holidays[Date]),CB64),"")</f>
        <v/>
      </c>
      <c r="CB64" s="78"/>
    </row>
    <row r="65" spans="1:80" ht="19" customHeight="1" x14ac:dyDescent="0.35">
      <c r="A65" s="31"/>
      <c r="B65" s="82"/>
      <c r="C65" s="1"/>
      <c r="D65" s="8"/>
      <c r="E65" s="8"/>
      <c r="F65" s="8"/>
      <c r="G65" s="8"/>
      <c r="H65" s="8"/>
      <c r="I65" s="9"/>
      <c r="J65" s="8"/>
      <c r="K65" s="8"/>
      <c r="L65" s="8"/>
      <c r="M65" s="8"/>
      <c r="N65" s="8"/>
      <c r="O65" s="8"/>
      <c r="P65" s="8"/>
      <c r="Q65" s="2"/>
      <c r="R65" s="2"/>
      <c r="S65" s="88" t="str">
        <f>IF(tblProcRegister[[#This Row],[Award]]&lt;&gt;"",tblProcRegister[[#This Row],[Budget]]-tblProcRegister[[#This Row],[Award]],"")</f>
        <v/>
      </c>
      <c r="T65" s="68"/>
      <c r="U65" s="68"/>
      <c r="V65" s="68"/>
      <c r="W65" s="77" t="str">
        <f>IF(AB65="","",WORKDAY.INTL(AB65,Z65*-1,1,Holidays[Date]))</f>
        <v/>
      </c>
      <c r="X65" s="77" t="str">
        <f t="shared" ca="1" si="0"/>
        <v/>
      </c>
      <c r="Y65" s="78"/>
      <c r="Z65" s="79"/>
      <c r="AA65" s="68"/>
      <c r="AB65" s="77" t="str">
        <f>IF(AG65="","",WORKDAY.INTL(AG65,AE65*-1,1,Holidays[Date]))</f>
        <v/>
      </c>
      <c r="AC65" s="77" t="str">
        <f ca="1">IFERROR(IF(AD65="",WORKDAY.INTL(X65,AA65,1,Holidays[Date]),AD65),"")</f>
        <v/>
      </c>
      <c r="AD65" s="78"/>
      <c r="AE65" s="80"/>
      <c r="AF65" s="68"/>
      <c r="AG65" s="77" t="str">
        <f>IF(AL65="","",WORKDAY.INTL(AL65,AJ65*-1,1,Holidays[Date]))</f>
        <v/>
      </c>
      <c r="AH65" s="77" t="str">
        <f ca="1">IFERROR(IF(AI65="",WORKDAY.INTL(AC65,AF65,1,Holidays[Date]),AI65),"")</f>
        <v/>
      </c>
      <c r="AI65" s="78"/>
      <c r="AJ65" s="80"/>
      <c r="AK65" s="68"/>
      <c r="AL65" s="77" t="str">
        <f>IF(AQ65="","",WORKDAY.INTL(AQ65,AO65*-1,1,Holidays[Date]))</f>
        <v/>
      </c>
      <c r="AM65" s="77" t="str">
        <f ca="1">IFERROR(IF(AN65="",WORKDAY.INTL(AH65,AK65,1,Holidays[Date]),AN65),"")</f>
        <v/>
      </c>
      <c r="AN65" s="78"/>
      <c r="AO65" s="80"/>
      <c r="AP65" s="68"/>
      <c r="AQ65" s="77" t="str">
        <f>IF(AV65="","",WORKDAY.INTL(AV65,AT65*-1,1,Holidays[Date]))</f>
        <v/>
      </c>
      <c r="AR65" s="77" t="str">
        <f ca="1">IFERROR(IF(AS65="",WORKDAY.INTL(AM65,AP65,1,Holidays[Date]),AS65),"")</f>
        <v/>
      </c>
      <c r="AS65" s="78"/>
      <c r="AT65" s="80"/>
      <c r="AU65" s="68"/>
      <c r="AV65" s="77" t="str">
        <f>IF(BA65="","",WORKDAY.INTL(BA65,AY65*-1,1,Holidays[Date]))</f>
        <v/>
      </c>
      <c r="AW65" s="77" t="str">
        <f ca="1">IFERROR(IF(AX65="",WORKDAY.INTL(AR65,AU65,1,Holidays[Date]),AX65),"")</f>
        <v/>
      </c>
      <c r="AX65" s="78"/>
      <c r="AY65" s="80"/>
      <c r="AZ65" s="68"/>
      <c r="BA65" s="77" t="str">
        <f>IF(BF65="","",WORKDAY.INTL(BF65,BD65*-1,1,Holidays[Date]))</f>
        <v/>
      </c>
      <c r="BB65" s="77" t="str">
        <f ca="1">IFERROR(IF(BC65="",WORKDAY.INTL(AW65,AZ65,1,Holidays[Date]),BC65),"")</f>
        <v/>
      </c>
      <c r="BC65" s="78"/>
      <c r="BD65" s="80"/>
      <c r="BE65" s="68"/>
      <c r="BF65" s="77" t="str">
        <f>IF(BK65="","",WORKDAY.INTL(BK65,BI65*-1,1,Holidays[Date]))</f>
        <v/>
      </c>
      <c r="BG65" s="77" t="str">
        <f ca="1">IFERROR(IF(BH65="",WORKDAY.INTL(BB65,BE65,1,Holidays[Date]),BH65),"")</f>
        <v/>
      </c>
      <c r="BH65" s="78"/>
      <c r="BI65" s="80"/>
      <c r="BJ65" s="68"/>
      <c r="BK65" s="77" t="str">
        <f>IF(BP65="","",WORKDAY.INTL(BP65,BN65*-1,1,Holidays[Date]))</f>
        <v/>
      </c>
      <c r="BL65" s="77" t="str">
        <f ca="1">IFERROR(IF(BM65="",WORKDAY.INTL(BG65,BJ65,1,Holidays[Date]),BM65),"")</f>
        <v/>
      </c>
      <c r="BM65" s="78"/>
      <c r="BN65" s="80"/>
      <c r="BO65" s="68"/>
      <c r="BP65" s="77" t="str">
        <f>IF(BU65="","",WORKDAY.INTL(BU65,BS65*-1,1,Holidays[Date]))</f>
        <v/>
      </c>
      <c r="BQ65" s="77" t="str">
        <f ca="1">IFERROR(IF(BR65="",WORKDAY.INTL(BL65,BO65,1,Holidays[Date]),BR65),"")</f>
        <v/>
      </c>
      <c r="BR65" s="78"/>
      <c r="BS65" s="80"/>
      <c r="BT65" s="68"/>
      <c r="BU65" s="77" t="str">
        <f>IF(BZ65="","",WORKDAY.INTL(BZ65,BX65*-1,1,Holidays[Date]))</f>
        <v/>
      </c>
      <c r="BV65" s="77" t="str">
        <f ca="1">IFERROR(IF(BW65="",WORKDAY.INTL(BQ65,BT65,1,Holidays[Date]),BW65),"")</f>
        <v/>
      </c>
      <c r="BW65" s="78"/>
      <c r="BX65" s="80"/>
      <c r="BY65" s="68"/>
      <c r="BZ65" s="81"/>
      <c r="CA65" s="77" t="str">
        <f ca="1">IFERROR(IF(CB65="",WORKDAY.INTL(BV65,BY65,1,Holidays[Date]),CB65),"")</f>
        <v/>
      </c>
      <c r="CB65" s="78"/>
    </row>
    <row r="66" spans="1:80" ht="19" customHeight="1" x14ac:dyDescent="0.35">
      <c r="A66" s="31"/>
      <c r="B66" s="82"/>
      <c r="C66" s="1"/>
      <c r="D66" s="8"/>
      <c r="E66" s="8"/>
      <c r="F66" s="8"/>
      <c r="G66" s="8"/>
      <c r="H66" s="8"/>
      <c r="I66" s="9"/>
      <c r="J66" s="8"/>
      <c r="K66" s="8"/>
      <c r="L66" s="8"/>
      <c r="M66" s="8"/>
      <c r="N66" s="8"/>
      <c r="O66" s="8"/>
      <c r="P66" s="8"/>
      <c r="Q66" s="2"/>
      <c r="R66" s="2"/>
      <c r="S66" s="88" t="str">
        <f>IF(tblProcRegister[[#This Row],[Award]]&lt;&gt;"",tblProcRegister[[#This Row],[Budget]]-tblProcRegister[[#This Row],[Award]],"")</f>
        <v/>
      </c>
      <c r="T66" s="68"/>
      <c r="U66" s="68"/>
      <c r="V66" s="68"/>
      <c r="W66" s="77" t="str">
        <f>IF(AB66="","",WORKDAY.INTL(AB66,Z66*-1,1,Holidays[Date]))</f>
        <v/>
      </c>
      <c r="X66" s="77" t="str">
        <f t="shared" ca="1" si="0"/>
        <v/>
      </c>
      <c r="Y66" s="78"/>
      <c r="Z66" s="79"/>
      <c r="AA66" s="68"/>
      <c r="AB66" s="77" t="str">
        <f>IF(AG66="","",WORKDAY.INTL(AG66,AE66*-1,1,Holidays[Date]))</f>
        <v/>
      </c>
      <c r="AC66" s="77" t="str">
        <f ca="1">IFERROR(IF(AD66="",WORKDAY.INTL(X66,AA66,1,Holidays[Date]),AD66),"")</f>
        <v/>
      </c>
      <c r="AD66" s="78"/>
      <c r="AE66" s="80"/>
      <c r="AF66" s="68"/>
      <c r="AG66" s="77" t="str">
        <f>IF(AL66="","",WORKDAY.INTL(AL66,AJ66*-1,1,Holidays[Date]))</f>
        <v/>
      </c>
      <c r="AH66" s="77" t="str">
        <f ca="1">IFERROR(IF(AI66="",WORKDAY.INTL(AC66,AF66,1,Holidays[Date]),AI66),"")</f>
        <v/>
      </c>
      <c r="AI66" s="78"/>
      <c r="AJ66" s="80"/>
      <c r="AK66" s="68"/>
      <c r="AL66" s="77" t="str">
        <f>IF(AQ66="","",WORKDAY.INTL(AQ66,AO66*-1,1,Holidays[Date]))</f>
        <v/>
      </c>
      <c r="AM66" s="77" t="str">
        <f ca="1">IFERROR(IF(AN66="",WORKDAY.INTL(AH66,AK66,1,Holidays[Date]),AN66),"")</f>
        <v/>
      </c>
      <c r="AN66" s="78"/>
      <c r="AO66" s="80"/>
      <c r="AP66" s="68"/>
      <c r="AQ66" s="77" t="str">
        <f>IF(AV66="","",WORKDAY.INTL(AV66,AT66*-1,1,Holidays[Date]))</f>
        <v/>
      </c>
      <c r="AR66" s="77" t="str">
        <f ca="1">IFERROR(IF(AS66="",WORKDAY.INTL(AM66,AP66,1,Holidays[Date]),AS66),"")</f>
        <v/>
      </c>
      <c r="AS66" s="78"/>
      <c r="AT66" s="80"/>
      <c r="AU66" s="68"/>
      <c r="AV66" s="77" t="str">
        <f>IF(BA66="","",WORKDAY.INTL(BA66,AY66*-1,1,Holidays[Date]))</f>
        <v/>
      </c>
      <c r="AW66" s="77" t="str">
        <f ca="1">IFERROR(IF(AX66="",WORKDAY.INTL(AR66,AU66,1,Holidays[Date]),AX66),"")</f>
        <v/>
      </c>
      <c r="AX66" s="78"/>
      <c r="AY66" s="80"/>
      <c r="AZ66" s="68"/>
      <c r="BA66" s="77" t="str">
        <f>IF(BF66="","",WORKDAY.INTL(BF66,BD66*-1,1,Holidays[Date]))</f>
        <v/>
      </c>
      <c r="BB66" s="77" t="str">
        <f ca="1">IFERROR(IF(BC66="",WORKDAY.INTL(AW66,AZ66,1,Holidays[Date]),BC66),"")</f>
        <v/>
      </c>
      <c r="BC66" s="78"/>
      <c r="BD66" s="80"/>
      <c r="BE66" s="68"/>
      <c r="BF66" s="77" t="str">
        <f>IF(BK66="","",WORKDAY.INTL(BK66,BI66*-1,1,Holidays[Date]))</f>
        <v/>
      </c>
      <c r="BG66" s="77" t="str">
        <f ca="1">IFERROR(IF(BH66="",WORKDAY.INTL(BB66,BE66,1,Holidays[Date]),BH66),"")</f>
        <v/>
      </c>
      <c r="BH66" s="78"/>
      <c r="BI66" s="80"/>
      <c r="BJ66" s="68"/>
      <c r="BK66" s="77" t="str">
        <f>IF(BP66="","",WORKDAY.INTL(BP66,BN66*-1,1,Holidays[Date]))</f>
        <v/>
      </c>
      <c r="BL66" s="77" t="str">
        <f ca="1">IFERROR(IF(BM66="",WORKDAY.INTL(BG66,BJ66,1,Holidays[Date]),BM66),"")</f>
        <v/>
      </c>
      <c r="BM66" s="78"/>
      <c r="BN66" s="80"/>
      <c r="BO66" s="68"/>
      <c r="BP66" s="77" t="str">
        <f>IF(BU66="","",WORKDAY.INTL(BU66,BS66*-1,1,Holidays[Date]))</f>
        <v/>
      </c>
      <c r="BQ66" s="77" t="str">
        <f ca="1">IFERROR(IF(BR66="",WORKDAY.INTL(BL66,BO66,1,Holidays[Date]),BR66),"")</f>
        <v/>
      </c>
      <c r="BR66" s="78"/>
      <c r="BS66" s="80"/>
      <c r="BT66" s="68"/>
      <c r="BU66" s="77" t="str">
        <f>IF(BZ66="","",WORKDAY.INTL(BZ66,BX66*-1,1,Holidays[Date]))</f>
        <v/>
      </c>
      <c r="BV66" s="77" t="str">
        <f ca="1">IFERROR(IF(BW66="",WORKDAY.INTL(BQ66,BT66,1,Holidays[Date]),BW66),"")</f>
        <v/>
      </c>
      <c r="BW66" s="78"/>
      <c r="BX66" s="80"/>
      <c r="BY66" s="68"/>
      <c r="BZ66" s="81"/>
      <c r="CA66" s="77" t="str">
        <f ca="1">IFERROR(IF(CB66="",WORKDAY.INTL(BV66,BY66,1,Holidays[Date]),CB66),"")</f>
        <v/>
      </c>
      <c r="CB66" s="78"/>
    </row>
    <row r="67" spans="1:80" ht="19" customHeight="1" x14ac:dyDescent="0.35">
      <c r="A67" s="31"/>
      <c r="B67" s="82"/>
      <c r="C67" s="1"/>
      <c r="D67" s="8"/>
      <c r="E67" s="8"/>
      <c r="F67" s="8"/>
      <c r="G67" s="8"/>
      <c r="H67" s="8"/>
      <c r="I67" s="9"/>
      <c r="J67" s="8"/>
      <c r="K67" s="8"/>
      <c r="L67" s="8"/>
      <c r="M67" s="8"/>
      <c r="N67" s="8"/>
      <c r="O67" s="8"/>
      <c r="P67" s="8"/>
      <c r="Q67" s="2"/>
      <c r="R67" s="2"/>
      <c r="S67" s="88" t="str">
        <f>IF(tblProcRegister[[#This Row],[Award]]&lt;&gt;"",tblProcRegister[[#This Row],[Budget]]-tblProcRegister[[#This Row],[Award]],"")</f>
        <v/>
      </c>
      <c r="T67" s="68"/>
      <c r="U67" s="68"/>
      <c r="V67" s="68"/>
      <c r="W67" s="77" t="str">
        <f>IF(AB67="","",WORKDAY.INTL(AB67,Z67*-1,1,Holidays[Date]))</f>
        <v/>
      </c>
      <c r="X67" s="77" t="str">
        <f t="shared" ca="1" si="0"/>
        <v/>
      </c>
      <c r="Y67" s="78"/>
      <c r="Z67" s="79"/>
      <c r="AA67" s="68"/>
      <c r="AB67" s="77" t="str">
        <f>IF(AG67="","",WORKDAY.INTL(AG67,AE67*-1,1,Holidays[Date]))</f>
        <v/>
      </c>
      <c r="AC67" s="77" t="str">
        <f ca="1">IFERROR(IF(AD67="",WORKDAY.INTL(X67,AA67,1,Holidays[Date]),AD67),"")</f>
        <v/>
      </c>
      <c r="AD67" s="78"/>
      <c r="AE67" s="80"/>
      <c r="AF67" s="68"/>
      <c r="AG67" s="77" t="str">
        <f>IF(AL67="","",WORKDAY.INTL(AL67,AJ67*-1,1,Holidays[Date]))</f>
        <v/>
      </c>
      <c r="AH67" s="77" t="str">
        <f ca="1">IFERROR(IF(AI67="",WORKDAY.INTL(AC67,AF67,1,Holidays[Date]),AI67),"")</f>
        <v/>
      </c>
      <c r="AI67" s="78"/>
      <c r="AJ67" s="80"/>
      <c r="AK67" s="68"/>
      <c r="AL67" s="77" t="str">
        <f>IF(AQ67="","",WORKDAY.INTL(AQ67,AO67*-1,1,Holidays[Date]))</f>
        <v/>
      </c>
      <c r="AM67" s="77" t="str">
        <f ca="1">IFERROR(IF(AN67="",WORKDAY.INTL(AH67,AK67,1,Holidays[Date]),AN67),"")</f>
        <v/>
      </c>
      <c r="AN67" s="78"/>
      <c r="AO67" s="80"/>
      <c r="AP67" s="68"/>
      <c r="AQ67" s="77" t="str">
        <f>IF(AV67="","",WORKDAY.INTL(AV67,AT67*-1,1,Holidays[Date]))</f>
        <v/>
      </c>
      <c r="AR67" s="77" t="str">
        <f ca="1">IFERROR(IF(AS67="",WORKDAY.INTL(AM67,AP67,1,Holidays[Date]),AS67),"")</f>
        <v/>
      </c>
      <c r="AS67" s="78"/>
      <c r="AT67" s="80"/>
      <c r="AU67" s="68"/>
      <c r="AV67" s="77" t="str">
        <f>IF(BA67="","",WORKDAY.INTL(BA67,AY67*-1,1,Holidays[Date]))</f>
        <v/>
      </c>
      <c r="AW67" s="77" t="str">
        <f ca="1">IFERROR(IF(AX67="",WORKDAY.INTL(AR67,AU67,1,Holidays[Date]),AX67),"")</f>
        <v/>
      </c>
      <c r="AX67" s="78"/>
      <c r="AY67" s="80"/>
      <c r="AZ67" s="68"/>
      <c r="BA67" s="77" t="str">
        <f>IF(BF67="","",WORKDAY.INTL(BF67,BD67*-1,1,Holidays[Date]))</f>
        <v/>
      </c>
      <c r="BB67" s="77" t="str">
        <f ca="1">IFERROR(IF(BC67="",WORKDAY.INTL(AW67,AZ67,1,Holidays[Date]),BC67),"")</f>
        <v/>
      </c>
      <c r="BC67" s="78"/>
      <c r="BD67" s="80"/>
      <c r="BE67" s="68"/>
      <c r="BF67" s="77" t="str">
        <f>IF(BK67="","",WORKDAY.INTL(BK67,BI67*-1,1,Holidays[Date]))</f>
        <v/>
      </c>
      <c r="BG67" s="77" t="str">
        <f ca="1">IFERROR(IF(BH67="",WORKDAY.INTL(BB67,BE67,1,Holidays[Date]),BH67),"")</f>
        <v/>
      </c>
      <c r="BH67" s="78"/>
      <c r="BI67" s="80"/>
      <c r="BJ67" s="68"/>
      <c r="BK67" s="77" t="str">
        <f>IF(BP67="","",WORKDAY.INTL(BP67,BN67*-1,1,Holidays[Date]))</f>
        <v/>
      </c>
      <c r="BL67" s="77" t="str">
        <f ca="1">IFERROR(IF(BM67="",WORKDAY.INTL(BG67,BJ67,1,Holidays[Date]),BM67),"")</f>
        <v/>
      </c>
      <c r="BM67" s="78"/>
      <c r="BN67" s="80"/>
      <c r="BO67" s="68"/>
      <c r="BP67" s="77" t="str">
        <f>IF(BU67="","",WORKDAY.INTL(BU67,BS67*-1,1,Holidays[Date]))</f>
        <v/>
      </c>
      <c r="BQ67" s="77" t="str">
        <f ca="1">IFERROR(IF(BR67="",WORKDAY.INTL(BL67,BO67,1,Holidays[Date]),BR67),"")</f>
        <v/>
      </c>
      <c r="BR67" s="78"/>
      <c r="BS67" s="80"/>
      <c r="BT67" s="68"/>
      <c r="BU67" s="77" t="str">
        <f>IF(BZ67="","",WORKDAY.INTL(BZ67,BX67*-1,1,Holidays[Date]))</f>
        <v/>
      </c>
      <c r="BV67" s="77" t="str">
        <f ca="1">IFERROR(IF(BW67="",WORKDAY.INTL(BQ67,BT67,1,Holidays[Date]),BW67),"")</f>
        <v/>
      </c>
      <c r="BW67" s="78"/>
      <c r="BX67" s="80"/>
      <c r="BY67" s="68"/>
      <c r="BZ67" s="81"/>
      <c r="CA67" s="77" t="str">
        <f ca="1">IFERROR(IF(CB67="",WORKDAY.INTL(BV67,BY67,1,Holidays[Date]),CB67),"")</f>
        <v/>
      </c>
      <c r="CB67" s="78"/>
    </row>
    <row r="68" spans="1:80" ht="19" customHeight="1" x14ac:dyDescent="0.35">
      <c r="A68" s="31"/>
      <c r="B68" s="82"/>
      <c r="C68" s="1"/>
      <c r="D68" s="8"/>
      <c r="E68" s="8"/>
      <c r="F68" s="8"/>
      <c r="G68" s="8"/>
      <c r="H68" s="8"/>
      <c r="I68" s="9"/>
      <c r="J68" s="8"/>
      <c r="K68" s="8"/>
      <c r="L68" s="8"/>
      <c r="M68" s="8"/>
      <c r="N68" s="8"/>
      <c r="O68" s="8"/>
      <c r="P68" s="8"/>
      <c r="Q68" s="2"/>
      <c r="R68" s="2"/>
      <c r="S68" s="88" t="str">
        <f>IF(tblProcRegister[[#This Row],[Award]]&lt;&gt;"",tblProcRegister[[#This Row],[Budget]]-tblProcRegister[[#This Row],[Award]],"")</f>
        <v/>
      </c>
      <c r="T68" s="68"/>
      <c r="U68" s="68"/>
      <c r="V68" s="68"/>
      <c r="W68" s="77" t="str">
        <f>IF(AB68="","",WORKDAY.INTL(AB68,Z68*-1,1,Holidays[Date]))</f>
        <v/>
      </c>
      <c r="X68" s="77" t="str">
        <f t="shared" ca="1" si="0"/>
        <v/>
      </c>
      <c r="Y68" s="78"/>
      <c r="Z68" s="79"/>
      <c r="AA68" s="68"/>
      <c r="AB68" s="77" t="str">
        <f>IF(AG68="","",WORKDAY.INTL(AG68,AE68*-1,1,Holidays[Date]))</f>
        <v/>
      </c>
      <c r="AC68" s="77" t="str">
        <f ca="1">IFERROR(IF(AD68="",WORKDAY.INTL(X68,AA68,1,Holidays[Date]),AD68),"")</f>
        <v/>
      </c>
      <c r="AD68" s="78"/>
      <c r="AE68" s="80"/>
      <c r="AF68" s="68"/>
      <c r="AG68" s="77" t="str">
        <f>IF(AL68="","",WORKDAY.INTL(AL68,AJ68*-1,1,Holidays[Date]))</f>
        <v/>
      </c>
      <c r="AH68" s="77" t="str">
        <f ca="1">IFERROR(IF(AI68="",WORKDAY.INTL(AC68,AF68,1,Holidays[Date]),AI68),"")</f>
        <v/>
      </c>
      <c r="AI68" s="78"/>
      <c r="AJ68" s="80"/>
      <c r="AK68" s="68"/>
      <c r="AL68" s="77" t="str">
        <f>IF(AQ68="","",WORKDAY.INTL(AQ68,AO68*-1,1,Holidays[Date]))</f>
        <v/>
      </c>
      <c r="AM68" s="77" t="str">
        <f ca="1">IFERROR(IF(AN68="",WORKDAY.INTL(AH68,AK68,1,Holidays[Date]),AN68),"")</f>
        <v/>
      </c>
      <c r="AN68" s="78"/>
      <c r="AO68" s="80"/>
      <c r="AP68" s="68"/>
      <c r="AQ68" s="77" t="str">
        <f>IF(AV68="","",WORKDAY.INTL(AV68,AT68*-1,1,Holidays[Date]))</f>
        <v/>
      </c>
      <c r="AR68" s="77" t="str">
        <f ca="1">IFERROR(IF(AS68="",WORKDAY.INTL(AM68,AP68,1,Holidays[Date]),AS68),"")</f>
        <v/>
      </c>
      <c r="AS68" s="78"/>
      <c r="AT68" s="80"/>
      <c r="AU68" s="68"/>
      <c r="AV68" s="77" t="str">
        <f>IF(BA68="","",WORKDAY.INTL(BA68,AY68*-1,1,Holidays[Date]))</f>
        <v/>
      </c>
      <c r="AW68" s="77" t="str">
        <f ca="1">IFERROR(IF(AX68="",WORKDAY.INTL(AR68,AU68,1,Holidays[Date]),AX68),"")</f>
        <v/>
      </c>
      <c r="AX68" s="78"/>
      <c r="AY68" s="80"/>
      <c r="AZ68" s="68"/>
      <c r="BA68" s="77" t="str">
        <f>IF(BF68="","",WORKDAY.INTL(BF68,BD68*-1,1,Holidays[Date]))</f>
        <v/>
      </c>
      <c r="BB68" s="77" t="str">
        <f ca="1">IFERROR(IF(BC68="",WORKDAY.INTL(AW68,AZ68,1,Holidays[Date]),BC68),"")</f>
        <v/>
      </c>
      <c r="BC68" s="78"/>
      <c r="BD68" s="80"/>
      <c r="BE68" s="68"/>
      <c r="BF68" s="77" t="str">
        <f>IF(BK68="","",WORKDAY.INTL(BK68,BI68*-1,1,Holidays[Date]))</f>
        <v/>
      </c>
      <c r="BG68" s="77" t="str">
        <f ca="1">IFERROR(IF(BH68="",WORKDAY.INTL(BB68,BE68,1,Holidays[Date]),BH68),"")</f>
        <v/>
      </c>
      <c r="BH68" s="78"/>
      <c r="BI68" s="80"/>
      <c r="BJ68" s="68"/>
      <c r="BK68" s="77" t="str">
        <f>IF(BP68="","",WORKDAY.INTL(BP68,BN68*-1,1,Holidays[Date]))</f>
        <v/>
      </c>
      <c r="BL68" s="77" t="str">
        <f ca="1">IFERROR(IF(BM68="",WORKDAY.INTL(BG68,BJ68,1,Holidays[Date]),BM68),"")</f>
        <v/>
      </c>
      <c r="BM68" s="78"/>
      <c r="BN68" s="80"/>
      <c r="BO68" s="68"/>
      <c r="BP68" s="77" t="str">
        <f>IF(BU68="","",WORKDAY.INTL(BU68,BS68*-1,1,Holidays[Date]))</f>
        <v/>
      </c>
      <c r="BQ68" s="77" t="str">
        <f ca="1">IFERROR(IF(BR68="",WORKDAY.INTL(BL68,BO68,1,Holidays[Date]),BR68),"")</f>
        <v/>
      </c>
      <c r="BR68" s="78"/>
      <c r="BS68" s="80"/>
      <c r="BT68" s="68"/>
      <c r="BU68" s="77" t="str">
        <f>IF(BZ68="","",WORKDAY.INTL(BZ68,BX68*-1,1,Holidays[Date]))</f>
        <v/>
      </c>
      <c r="BV68" s="77" t="str">
        <f ca="1">IFERROR(IF(BW68="",WORKDAY.INTL(BQ68,BT68,1,Holidays[Date]),BW68),"")</f>
        <v/>
      </c>
      <c r="BW68" s="78"/>
      <c r="BX68" s="80"/>
      <c r="BY68" s="68"/>
      <c r="BZ68" s="81"/>
      <c r="CA68" s="77" t="str">
        <f ca="1">IFERROR(IF(CB68="",WORKDAY.INTL(BV68,BY68,1,Holidays[Date]),CB68),"")</f>
        <v/>
      </c>
      <c r="CB68" s="78"/>
    </row>
    <row r="69" spans="1:80" ht="19" customHeight="1" x14ac:dyDescent="0.35">
      <c r="A69" s="31"/>
      <c r="B69" s="82"/>
      <c r="C69" s="1"/>
      <c r="D69" s="8"/>
      <c r="E69" s="8"/>
      <c r="F69" s="8"/>
      <c r="G69" s="8"/>
      <c r="H69" s="8"/>
      <c r="I69" s="9"/>
      <c r="J69" s="8"/>
      <c r="K69" s="8"/>
      <c r="L69" s="8"/>
      <c r="M69" s="8"/>
      <c r="N69" s="8"/>
      <c r="O69" s="8"/>
      <c r="P69" s="8"/>
      <c r="Q69" s="2"/>
      <c r="R69" s="2"/>
      <c r="S69" s="88" t="str">
        <f>IF(tblProcRegister[[#This Row],[Award]]&lt;&gt;"",tblProcRegister[[#This Row],[Budget]]-tblProcRegister[[#This Row],[Award]],"")</f>
        <v/>
      </c>
      <c r="T69" s="68"/>
      <c r="U69" s="68"/>
      <c r="V69" s="68"/>
      <c r="W69" s="77" t="str">
        <f>IF(AB69="","",WORKDAY.INTL(AB69,Z69*-1,1,Holidays[Date]))</f>
        <v/>
      </c>
      <c r="X69" s="77" t="str">
        <f t="shared" ca="1" si="0"/>
        <v/>
      </c>
      <c r="Y69" s="78"/>
      <c r="Z69" s="79"/>
      <c r="AA69" s="68"/>
      <c r="AB69" s="77" t="str">
        <f>IF(AG69="","",WORKDAY.INTL(AG69,AE69*-1,1,Holidays[Date]))</f>
        <v/>
      </c>
      <c r="AC69" s="77" t="str">
        <f ca="1">IFERROR(IF(AD69="",WORKDAY.INTL(X69,AA69,1,Holidays[Date]),AD69),"")</f>
        <v/>
      </c>
      <c r="AD69" s="78"/>
      <c r="AE69" s="80"/>
      <c r="AF69" s="68"/>
      <c r="AG69" s="77" t="str">
        <f>IF(AL69="","",WORKDAY.INTL(AL69,AJ69*-1,1,Holidays[Date]))</f>
        <v/>
      </c>
      <c r="AH69" s="77" t="str">
        <f ca="1">IFERROR(IF(AI69="",WORKDAY.INTL(AC69,AF69,1,Holidays[Date]),AI69),"")</f>
        <v/>
      </c>
      <c r="AI69" s="78"/>
      <c r="AJ69" s="80"/>
      <c r="AK69" s="68"/>
      <c r="AL69" s="77" t="str">
        <f>IF(AQ69="","",WORKDAY.INTL(AQ69,AO69*-1,1,Holidays[Date]))</f>
        <v/>
      </c>
      <c r="AM69" s="77" t="str">
        <f ca="1">IFERROR(IF(AN69="",WORKDAY.INTL(AH69,AK69,1,Holidays[Date]),AN69),"")</f>
        <v/>
      </c>
      <c r="AN69" s="78"/>
      <c r="AO69" s="80"/>
      <c r="AP69" s="68"/>
      <c r="AQ69" s="77" t="str">
        <f>IF(AV69="","",WORKDAY.INTL(AV69,AT69*-1,1,Holidays[Date]))</f>
        <v/>
      </c>
      <c r="AR69" s="77" t="str">
        <f ca="1">IFERROR(IF(AS69="",WORKDAY.INTL(AM69,AP69,1,Holidays[Date]),AS69),"")</f>
        <v/>
      </c>
      <c r="AS69" s="78"/>
      <c r="AT69" s="80"/>
      <c r="AU69" s="68"/>
      <c r="AV69" s="77" t="str">
        <f>IF(BA69="","",WORKDAY.INTL(BA69,AY69*-1,1,Holidays[Date]))</f>
        <v/>
      </c>
      <c r="AW69" s="77" t="str">
        <f ca="1">IFERROR(IF(AX69="",WORKDAY.INTL(AR69,AU69,1,Holidays[Date]),AX69),"")</f>
        <v/>
      </c>
      <c r="AX69" s="78"/>
      <c r="AY69" s="80"/>
      <c r="AZ69" s="68"/>
      <c r="BA69" s="77" t="str">
        <f>IF(BF69="","",WORKDAY.INTL(BF69,BD69*-1,1,Holidays[Date]))</f>
        <v/>
      </c>
      <c r="BB69" s="77" t="str">
        <f ca="1">IFERROR(IF(BC69="",WORKDAY.INTL(AW69,AZ69,1,Holidays[Date]),BC69),"")</f>
        <v/>
      </c>
      <c r="BC69" s="78"/>
      <c r="BD69" s="80"/>
      <c r="BE69" s="68"/>
      <c r="BF69" s="77" t="str">
        <f>IF(BK69="","",WORKDAY.INTL(BK69,BI69*-1,1,Holidays[Date]))</f>
        <v/>
      </c>
      <c r="BG69" s="77" t="str">
        <f ca="1">IFERROR(IF(BH69="",WORKDAY.INTL(BB69,BE69,1,Holidays[Date]),BH69),"")</f>
        <v/>
      </c>
      <c r="BH69" s="78"/>
      <c r="BI69" s="80"/>
      <c r="BJ69" s="68"/>
      <c r="BK69" s="77" t="str">
        <f>IF(BP69="","",WORKDAY.INTL(BP69,BN69*-1,1,Holidays[Date]))</f>
        <v/>
      </c>
      <c r="BL69" s="77" t="str">
        <f ca="1">IFERROR(IF(BM69="",WORKDAY.INTL(BG69,BJ69,1,Holidays[Date]),BM69),"")</f>
        <v/>
      </c>
      <c r="BM69" s="78"/>
      <c r="BN69" s="80"/>
      <c r="BO69" s="68"/>
      <c r="BP69" s="77" t="str">
        <f>IF(BU69="","",WORKDAY.INTL(BU69,BS69*-1,1,Holidays[Date]))</f>
        <v/>
      </c>
      <c r="BQ69" s="77" t="str">
        <f ca="1">IFERROR(IF(BR69="",WORKDAY.INTL(BL69,BO69,1,Holidays[Date]),BR69),"")</f>
        <v/>
      </c>
      <c r="BR69" s="78"/>
      <c r="BS69" s="80"/>
      <c r="BT69" s="68"/>
      <c r="BU69" s="77" t="str">
        <f>IF(BZ69="","",WORKDAY.INTL(BZ69,BX69*-1,1,Holidays[Date]))</f>
        <v/>
      </c>
      <c r="BV69" s="77" t="str">
        <f ca="1">IFERROR(IF(BW69="",WORKDAY.INTL(BQ69,BT69,1,Holidays[Date]),BW69),"")</f>
        <v/>
      </c>
      <c r="BW69" s="78"/>
      <c r="BX69" s="80"/>
      <c r="BY69" s="68"/>
      <c r="BZ69" s="81"/>
      <c r="CA69" s="77" t="str">
        <f ca="1">IFERROR(IF(CB69="",WORKDAY.INTL(BV69,BY69,1,Holidays[Date]),CB69),"")</f>
        <v/>
      </c>
      <c r="CB69" s="78"/>
    </row>
    <row r="70" spans="1:80" ht="19" customHeight="1" x14ac:dyDescent="0.35">
      <c r="A70" s="31"/>
      <c r="B70" s="82"/>
      <c r="C70" s="1"/>
      <c r="D70" s="8"/>
      <c r="E70" s="8"/>
      <c r="F70" s="8"/>
      <c r="G70" s="8"/>
      <c r="H70" s="8"/>
      <c r="I70" s="9"/>
      <c r="J70" s="8"/>
      <c r="K70" s="8"/>
      <c r="L70" s="8"/>
      <c r="M70" s="8"/>
      <c r="N70" s="8"/>
      <c r="O70" s="8"/>
      <c r="P70" s="8"/>
      <c r="Q70" s="2"/>
      <c r="R70" s="2"/>
      <c r="S70" s="88" t="str">
        <f>IF(tblProcRegister[[#This Row],[Award]]&lt;&gt;"",tblProcRegister[[#This Row],[Budget]]-tblProcRegister[[#This Row],[Award]],"")</f>
        <v/>
      </c>
      <c r="T70" s="68"/>
      <c r="U70" s="68"/>
      <c r="V70" s="68"/>
      <c r="W70" s="77" t="str">
        <f>IF(AB70="","",WORKDAY.INTL(AB70,Z70*-1,1,Holidays[Date]))</f>
        <v/>
      </c>
      <c r="X70" s="77" t="str">
        <f t="shared" ca="1" si="0"/>
        <v/>
      </c>
      <c r="Y70" s="78"/>
      <c r="Z70" s="79"/>
      <c r="AA70" s="68"/>
      <c r="AB70" s="77" t="str">
        <f>IF(AG70="","",WORKDAY.INTL(AG70,AE70*-1,1,Holidays[Date]))</f>
        <v/>
      </c>
      <c r="AC70" s="77" t="str">
        <f ca="1">IFERROR(IF(AD70="",WORKDAY.INTL(X70,AA70,1,Holidays[Date]),AD70),"")</f>
        <v/>
      </c>
      <c r="AD70" s="78"/>
      <c r="AE70" s="80"/>
      <c r="AF70" s="68"/>
      <c r="AG70" s="77" t="str">
        <f>IF(AL70="","",WORKDAY.INTL(AL70,AJ70*-1,1,Holidays[Date]))</f>
        <v/>
      </c>
      <c r="AH70" s="77" t="str">
        <f ca="1">IFERROR(IF(AI70="",WORKDAY.INTL(AC70,AF70,1,Holidays[Date]),AI70),"")</f>
        <v/>
      </c>
      <c r="AI70" s="78"/>
      <c r="AJ70" s="80"/>
      <c r="AK70" s="68"/>
      <c r="AL70" s="77" t="str">
        <f>IF(AQ70="","",WORKDAY.INTL(AQ70,AO70*-1,1,Holidays[Date]))</f>
        <v/>
      </c>
      <c r="AM70" s="77" t="str">
        <f ca="1">IFERROR(IF(AN70="",WORKDAY.INTL(AH70,AK70,1,Holidays[Date]),AN70),"")</f>
        <v/>
      </c>
      <c r="AN70" s="78"/>
      <c r="AO70" s="80"/>
      <c r="AP70" s="68"/>
      <c r="AQ70" s="77" t="str">
        <f>IF(AV70="","",WORKDAY.INTL(AV70,AT70*-1,1,Holidays[Date]))</f>
        <v/>
      </c>
      <c r="AR70" s="77" t="str">
        <f ca="1">IFERROR(IF(AS70="",WORKDAY.INTL(AM70,AP70,1,Holidays[Date]),AS70),"")</f>
        <v/>
      </c>
      <c r="AS70" s="78"/>
      <c r="AT70" s="80"/>
      <c r="AU70" s="68"/>
      <c r="AV70" s="77" t="str">
        <f>IF(BA70="","",WORKDAY.INTL(BA70,AY70*-1,1,Holidays[Date]))</f>
        <v/>
      </c>
      <c r="AW70" s="77" t="str">
        <f ca="1">IFERROR(IF(AX70="",WORKDAY.INTL(AR70,AU70,1,Holidays[Date]),AX70),"")</f>
        <v/>
      </c>
      <c r="AX70" s="78"/>
      <c r="AY70" s="80"/>
      <c r="AZ70" s="68"/>
      <c r="BA70" s="77" t="str">
        <f>IF(BF70="","",WORKDAY.INTL(BF70,BD70*-1,1,Holidays[Date]))</f>
        <v/>
      </c>
      <c r="BB70" s="77" t="str">
        <f ca="1">IFERROR(IF(BC70="",WORKDAY.INTL(AW70,AZ70,1,Holidays[Date]),BC70),"")</f>
        <v/>
      </c>
      <c r="BC70" s="78"/>
      <c r="BD70" s="80"/>
      <c r="BE70" s="68"/>
      <c r="BF70" s="77" t="str">
        <f>IF(BK70="","",WORKDAY.INTL(BK70,BI70*-1,1,Holidays[Date]))</f>
        <v/>
      </c>
      <c r="BG70" s="77" t="str">
        <f ca="1">IFERROR(IF(BH70="",WORKDAY.INTL(BB70,BE70,1,Holidays[Date]),BH70),"")</f>
        <v/>
      </c>
      <c r="BH70" s="78"/>
      <c r="BI70" s="80"/>
      <c r="BJ70" s="68"/>
      <c r="BK70" s="77" t="str">
        <f>IF(BP70="","",WORKDAY.INTL(BP70,BN70*-1,1,Holidays[Date]))</f>
        <v/>
      </c>
      <c r="BL70" s="77" t="str">
        <f ca="1">IFERROR(IF(BM70="",WORKDAY.INTL(BG70,BJ70,1,Holidays[Date]),BM70),"")</f>
        <v/>
      </c>
      <c r="BM70" s="78"/>
      <c r="BN70" s="80"/>
      <c r="BO70" s="68"/>
      <c r="BP70" s="77" t="str">
        <f>IF(BU70="","",WORKDAY.INTL(BU70,BS70*-1,1,Holidays[Date]))</f>
        <v/>
      </c>
      <c r="BQ70" s="77" t="str">
        <f ca="1">IFERROR(IF(BR70="",WORKDAY.INTL(BL70,BO70,1,Holidays[Date]),BR70),"")</f>
        <v/>
      </c>
      <c r="BR70" s="78"/>
      <c r="BS70" s="80"/>
      <c r="BT70" s="68"/>
      <c r="BU70" s="77" t="str">
        <f>IF(BZ70="","",WORKDAY.INTL(BZ70,BX70*-1,1,Holidays[Date]))</f>
        <v/>
      </c>
      <c r="BV70" s="77" t="str">
        <f ca="1">IFERROR(IF(BW70="",WORKDAY.INTL(BQ70,BT70,1,Holidays[Date]),BW70),"")</f>
        <v/>
      </c>
      <c r="BW70" s="78"/>
      <c r="BX70" s="80"/>
      <c r="BY70" s="68"/>
      <c r="BZ70" s="81"/>
      <c r="CA70" s="77" t="str">
        <f ca="1">IFERROR(IF(CB70="",WORKDAY.INTL(BV70,BY70,1,Holidays[Date]),CB70),"")</f>
        <v/>
      </c>
      <c r="CB70" s="78"/>
    </row>
    <row r="71" spans="1:80" ht="19" customHeight="1" x14ac:dyDescent="0.35">
      <c r="A71" s="31"/>
      <c r="B71" s="82"/>
      <c r="C71" s="1"/>
      <c r="D71" s="8"/>
      <c r="E71" s="8"/>
      <c r="F71" s="8"/>
      <c r="G71" s="8"/>
      <c r="H71" s="8"/>
      <c r="I71" s="9"/>
      <c r="J71" s="8"/>
      <c r="K71" s="8"/>
      <c r="L71" s="8"/>
      <c r="M71" s="8"/>
      <c r="N71" s="8"/>
      <c r="O71" s="8"/>
      <c r="P71" s="8"/>
      <c r="Q71" s="2"/>
      <c r="R71" s="2"/>
      <c r="S71" s="88" t="str">
        <f>IF(tblProcRegister[[#This Row],[Award]]&lt;&gt;"",tblProcRegister[[#This Row],[Budget]]-tblProcRegister[[#This Row],[Award]],"")</f>
        <v/>
      </c>
      <c r="T71" s="68"/>
      <c r="U71" s="68"/>
      <c r="V71" s="68"/>
      <c r="W71" s="77" t="str">
        <f>IF(AB71="","",WORKDAY.INTL(AB71,Z71*-1,1,Holidays[Date]))</f>
        <v/>
      </c>
      <c r="X71" s="77" t="str">
        <f t="shared" ca="1" si="0"/>
        <v/>
      </c>
      <c r="Y71" s="78"/>
      <c r="Z71" s="79"/>
      <c r="AA71" s="68"/>
      <c r="AB71" s="77" t="str">
        <f>IF(AG71="","",WORKDAY.INTL(AG71,AE71*-1,1,Holidays[Date]))</f>
        <v/>
      </c>
      <c r="AC71" s="77" t="str">
        <f ca="1">IFERROR(IF(AD71="",WORKDAY.INTL(X71,AA71,1,Holidays[Date]),AD71),"")</f>
        <v/>
      </c>
      <c r="AD71" s="78"/>
      <c r="AE71" s="80"/>
      <c r="AF71" s="68"/>
      <c r="AG71" s="77" t="str">
        <f>IF(AL71="","",WORKDAY.INTL(AL71,AJ71*-1,1,Holidays[Date]))</f>
        <v/>
      </c>
      <c r="AH71" s="77" t="str">
        <f ca="1">IFERROR(IF(AI71="",WORKDAY.INTL(AC71,AF71,1,Holidays[Date]),AI71),"")</f>
        <v/>
      </c>
      <c r="AI71" s="78"/>
      <c r="AJ71" s="80"/>
      <c r="AK71" s="68"/>
      <c r="AL71" s="77" t="str">
        <f>IF(AQ71="","",WORKDAY.INTL(AQ71,AO71*-1,1,Holidays[Date]))</f>
        <v/>
      </c>
      <c r="AM71" s="77" t="str">
        <f ca="1">IFERROR(IF(AN71="",WORKDAY.INTL(AH71,AK71,1,Holidays[Date]),AN71),"")</f>
        <v/>
      </c>
      <c r="AN71" s="78"/>
      <c r="AO71" s="80"/>
      <c r="AP71" s="68"/>
      <c r="AQ71" s="77" t="str">
        <f>IF(AV71="","",WORKDAY.INTL(AV71,AT71*-1,1,Holidays[Date]))</f>
        <v/>
      </c>
      <c r="AR71" s="77" t="str">
        <f ca="1">IFERROR(IF(AS71="",WORKDAY.INTL(AM71,AP71,1,Holidays[Date]),AS71),"")</f>
        <v/>
      </c>
      <c r="AS71" s="78"/>
      <c r="AT71" s="80"/>
      <c r="AU71" s="68"/>
      <c r="AV71" s="77" t="str">
        <f>IF(BA71="","",WORKDAY.INTL(BA71,AY71*-1,1,Holidays[Date]))</f>
        <v/>
      </c>
      <c r="AW71" s="77" t="str">
        <f ca="1">IFERROR(IF(AX71="",WORKDAY.INTL(AR71,AU71,1,Holidays[Date]),AX71),"")</f>
        <v/>
      </c>
      <c r="AX71" s="78"/>
      <c r="AY71" s="80"/>
      <c r="AZ71" s="68"/>
      <c r="BA71" s="77" t="str">
        <f>IF(BF71="","",WORKDAY.INTL(BF71,BD71*-1,1,Holidays[Date]))</f>
        <v/>
      </c>
      <c r="BB71" s="77" t="str">
        <f ca="1">IFERROR(IF(BC71="",WORKDAY.INTL(AW71,AZ71,1,Holidays[Date]),BC71),"")</f>
        <v/>
      </c>
      <c r="BC71" s="78"/>
      <c r="BD71" s="80"/>
      <c r="BE71" s="68"/>
      <c r="BF71" s="77" t="str">
        <f>IF(BK71="","",WORKDAY.INTL(BK71,BI71*-1,1,Holidays[Date]))</f>
        <v/>
      </c>
      <c r="BG71" s="77" t="str">
        <f ca="1">IFERROR(IF(BH71="",WORKDAY.INTL(BB71,BE71,1,Holidays[Date]),BH71),"")</f>
        <v/>
      </c>
      <c r="BH71" s="78"/>
      <c r="BI71" s="80"/>
      <c r="BJ71" s="68"/>
      <c r="BK71" s="77" t="str">
        <f>IF(BP71="","",WORKDAY.INTL(BP71,BN71*-1,1,Holidays[Date]))</f>
        <v/>
      </c>
      <c r="BL71" s="77" t="str">
        <f ca="1">IFERROR(IF(BM71="",WORKDAY.INTL(BG71,BJ71,1,Holidays[Date]),BM71),"")</f>
        <v/>
      </c>
      <c r="BM71" s="78"/>
      <c r="BN71" s="80"/>
      <c r="BO71" s="68"/>
      <c r="BP71" s="77" t="str">
        <f>IF(BU71="","",WORKDAY.INTL(BU71,BS71*-1,1,Holidays[Date]))</f>
        <v/>
      </c>
      <c r="BQ71" s="77" t="str">
        <f ca="1">IFERROR(IF(BR71="",WORKDAY.INTL(BL71,BO71,1,Holidays[Date]),BR71),"")</f>
        <v/>
      </c>
      <c r="BR71" s="78"/>
      <c r="BS71" s="80"/>
      <c r="BT71" s="68"/>
      <c r="BU71" s="77" t="str">
        <f>IF(BZ71="","",WORKDAY.INTL(BZ71,BX71*-1,1,Holidays[Date]))</f>
        <v/>
      </c>
      <c r="BV71" s="77" t="str">
        <f ca="1">IFERROR(IF(BW71="",WORKDAY.INTL(BQ71,BT71,1,Holidays[Date]),BW71),"")</f>
        <v/>
      </c>
      <c r="BW71" s="78"/>
      <c r="BX71" s="80"/>
      <c r="BY71" s="68"/>
      <c r="BZ71" s="81"/>
      <c r="CA71" s="77" t="str">
        <f ca="1">IFERROR(IF(CB71="",WORKDAY.INTL(BV71,BY71,1,Holidays[Date]),CB71),"")</f>
        <v/>
      </c>
      <c r="CB71" s="78"/>
    </row>
    <row r="72" spans="1:80" ht="19" customHeight="1" x14ac:dyDescent="0.35">
      <c r="A72" s="31"/>
      <c r="B72" s="82"/>
      <c r="C72" s="1"/>
      <c r="D72" s="8"/>
      <c r="E72" s="8"/>
      <c r="F72" s="8"/>
      <c r="G72" s="8"/>
      <c r="H72" s="8"/>
      <c r="I72" s="9"/>
      <c r="J72" s="8"/>
      <c r="K72" s="8"/>
      <c r="L72" s="8"/>
      <c r="M72" s="8"/>
      <c r="N72" s="8"/>
      <c r="O72" s="8"/>
      <c r="P72" s="8"/>
      <c r="Q72" s="2"/>
      <c r="R72" s="2"/>
      <c r="S72" s="88" t="str">
        <f>IF(tblProcRegister[[#This Row],[Award]]&lt;&gt;"",tblProcRegister[[#This Row],[Budget]]-tblProcRegister[[#This Row],[Award]],"")</f>
        <v/>
      </c>
      <c r="T72" s="68"/>
      <c r="U72" s="68"/>
      <c r="V72" s="68"/>
      <c r="W72" s="77" t="str">
        <f>IF(AB72="","",WORKDAY.INTL(AB72,Z72*-1,1,Holidays[Date]))</f>
        <v/>
      </c>
      <c r="X72" s="77" t="str">
        <f t="shared" ca="1" si="0"/>
        <v/>
      </c>
      <c r="Y72" s="78"/>
      <c r="Z72" s="79"/>
      <c r="AA72" s="68"/>
      <c r="AB72" s="77" t="str">
        <f>IF(AG72="","",WORKDAY.INTL(AG72,AE72*-1,1,Holidays[Date]))</f>
        <v/>
      </c>
      <c r="AC72" s="77" t="str">
        <f ca="1">IFERROR(IF(AD72="",WORKDAY.INTL(X72,AA72,1,Holidays[Date]),AD72),"")</f>
        <v/>
      </c>
      <c r="AD72" s="78"/>
      <c r="AE72" s="80"/>
      <c r="AF72" s="68"/>
      <c r="AG72" s="77" t="str">
        <f>IF(AL72="","",WORKDAY.INTL(AL72,AJ72*-1,1,Holidays[Date]))</f>
        <v/>
      </c>
      <c r="AH72" s="77" t="str">
        <f ca="1">IFERROR(IF(AI72="",WORKDAY.INTL(AC72,AF72,1,Holidays[Date]),AI72),"")</f>
        <v/>
      </c>
      <c r="AI72" s="78"/>
      <c r="AJ72" s="80"/>
      <c r="AK72" s="68"/>
      <c r="AL72" s="77" t="str">
        <f>IF(AQ72="","",WORKDAY.INTL(AQ72,AO72*-1,1,Holidays[Date]))</f>
        <v/>
      </c>
      <c r="AM72" s="77" t="str">
        <f ca="1">IFERROR(IF(AN72="",WORKDAY.INTL(AH72,AK72,1,Holidays[Date]),AN72),"")</f>
        <v/>
      </c>
      <c r="AN72" s="78"/>
      <c r="AO72" s="80"/>
      <c r="AP72" s="68"/>
      <c r="AQ72" s="77" t="str">
        <f>IF(AV72="","",WORKDAY.INTL(AV72,AT72*-1,1,Holidays[Date]))</f>
        <v/>
      </c>
      <c r="AR72" s="77" t="str">
        <f ca="1">IFERROR(IF(AS72="",WORKDAY.INTL(AM72,AP72,1,Holidays[Date]),AS72),"")</f>
        <v/>
      </c>
      <c r="AS72" s="78"/>
      <c r="AT72" s="80"/>
      <c r="AU72" s="68"/>
      <c r="AV72" s="77" t="str">
        <f>IF(BA72="","",WORKDAY.INTL(BA72,AY72*-1,1,Holidays[Date]))</f>
        <v/>
      </c>
      <c r="AW72" s="77" t="str">
        <f ca="1">IFERROR(IF(AX72="",WORKDAY.INTL(AR72,AU72,1,Holidays[Date]),AX72),"")</f>
        <v/>
      </c>
      <c r="AX72" s="78"/>
      <c r="AY72" s="80"/>
      <c r="AZ72" s="68"/>
      <c r="BA72" s="77" t="str">
        <f>IF(BF72="","",WORKDAY.INTL(BF72,BD72*-1,1,Holidays[Date]))</f>
        <v/>
      </c>
      <c r="BB72" s="77" t="str">
        <f ca="1">IFERROR(IF(BC72="",WORKDAY.INTL(AW72,AZ72,1,Holidays[Date]),BC72),"")</f>
        <v/>
      </c>
      <c r="BC72" s="78"/>
      <c r="BD72" s="80"/>
      <c r="BE72" s="68"/>
      <c r="BF72" s="77" t="str">
        <f>IF(BK72="","",WORKDAY.INTL(BK72,BI72*-1,1,Holidays[Date]))</f>
        <v/>
      </c>
      <c r="BG72" s="77" t="str">
        <f ca="1">IFERROR(IF(BH72="",WORKDAY.INTL(BB72,BE72,1,Holidays[Date]),BH72),"")</f>
        <v/>
      </c>
      <c r="BH72" s="78"/>
      <c r="BI72" s="80"/>
      <c r="BJ72" s="68"/>
      <c r="BK72" s="77" t="str">
        <f>IF(BP72="","",WORKDAY.INTL(BP72,BN72*-1,1,Holidays[Date]))</f>
        <v/>
      </c>
      <c r="BL72" s="77" t="str">
        <f ca="1">IFERROR(IF(BM72="",WORKDAY.INTL(BG72,BJ72,1,Holidays[Date]),BM72),"")</f>
        <v/>
      </c>
      <c r="BM72" s="78"/>
      <c r="BN72" s="80"/>
      <c r="BO72" s="68"/>
      <c r="BP72" s="77" t="str">
        <f>IF(BU72="","",WORKDAY.INTL(BU72,BS72*-1,1,Holidays[Date]))</f>
        <v/>
      </c>
      <c r="BQ72" s="77" t="str">
        <f ca="1">IFERROR(IF(BR72="",WORKDAY.INTL(BL72,BO72,1,Holidays[Date]),BR72),"")</f>
        <v/>
      </c>
      <c r="BR72" s="78"/>
      <c r="BS72" s="80"/>
      <c r="BT72" s="68"/>
      <c r="BU72" s="77" t="str">
        <f>IF(BZ72="","",WORKDAY.INTL(BZ72,BX72*-1,1,Holidays[Date]))</f>
        <v/>
      </c>
      <c r="BV72" s="77" t="str">
        <f ca="1">IFERROR(IF(BW72="",WORKDAY.INTL(BQ72,BT72,1,Holidays[Date]),BW72),"")</f>
        <v/>
      </c>
      <c r="BW72" s="78"/>
      <c r="BX72" s="80"/>
      <c r="BY72" s="68"/>
      <c r="BZ72" s="81"/>
      <c r="CA72" s="77" t="str">
        <f ca="1">IFERROR(IF(CB72="",WORKDAY.INTL(BV72,BY72,1,Holidays[Date]),CB72),"")</f>
        <v/>
      </c>
      <c r="CB72" s="78"/>
    </row>
    <row r="73" spans="1:80" ht="19" customHeight="1" x14ac:dyDescent="0.35">
      <c r="A73" s="31"/>
      <c r="B73" s="82"/>
      <c r="C73" s="1"/>
      <c r="D73" s="8"/>
      <c r="E73" s="8"/>
      <c r="F73" s="8"/>
      <c r="G73" s="8"/>
      <c r="H73" s="8"/>
      <c r="I73" s="9"/>
      <c r="J73" s="8"/>
      <c r="K73" s="8"/>
      <c r="L73" s="8"/>
      <c r="M73" s="8"/>
      <c r="N73" s="8"/>
      <c r="O73" s="8"/>
      <c r="P73" s="8"/>
      <c r="Q73" s="2"/>
      <c r="R73" s="2"/>
      <c r="S73" s="88" t="str">
        <f>IF(tblProcRegister[[#This Row],[Award]]&lt;&gt;"",tblProcRegister[[#This Row],[Budget]]-tblProcRegister[[#This Row],[Award]],"")</f>
        <v/>
      </c>
      <c r="T73" s="68"/>
      <c r="U73" s="68"/>
      <c r="V73" s="68"/>
      <c r="W73" s="77" t="str">
        <f>IF(AB73="","",WORKDAY.INTL(AB73,Z73*-1,1,Holidays[Date]))</f>
        <v/>
      </c>
      <c r="X73" s="77" t="str">
        <f t="shared" ca="1" si="0"/>
        <v/>
      </c>
      <c r="Y73" s="78"/>
      <c r="Z73" s="79"/>
      <c r="AA73" s="68"/>
      <c r="AB73" s="77" t="str">
        <f>IF(AG73="","",WORKDAY.INTL(AG73,AE73*-1,1,Holidays[Date]))</f>
        <v/>
      </c>
      <c r="AC73" s="77" t="str">
        <f ca="1">IFERROR(IF(AD73="",WORKDAY.INTL(X73,AA73,1,Holidays[Date]),AD73),"")</f>
        <v/>
      </c>
      <c r="AD73" s="78"/>
      <c r="AE73" s="80"/>
      <c r="AF73" s="68"/>
      <c r="AG73" s="77" t="str">
        <f>IF(AL73="","",WORKDAY.INTL(AL73,AJ73*-1,1,Holidays[Date]))</f>
        <v/>
      </c>
      <c r="AH73" s="77" t="str">
        <f ca="1">IFERROR(IF(AI73="",WORKDAY.INTL(AC73,AF73,1,Holidays[Date]),AI73),"")</f>
        <v/>
      </c>
      <c r="AI73" s="78"/>
      <c r="AJ73" s="80"/>
      <c r="AK73" s="68"/>
      <c r="AL73" s="77" t="str">
        <f>IF(AQ73="","",WORKDAY.INTL(AQ73,AO73*-1,1,Holidays[Date]))</f>
        <v/>
      </c>
      <c r="AM73" s="77" t="str">
        <f ca="1">IFERROR(IF(AN73="",WORKDAY.INTL(AH73,AK73,1,Holidays[Date]),AN73),"")</f>
        <v/>
      </c>
      <c r="AN73" s="78"/>
      <c r="AO73" s="80"/>
      <c r="AP73" s="68"/>
      <c r="AQ73" s="77" t="str">
        <f>IF(AV73="","",WORKDAY.INTL(AV73,AT73*-1,1,Holidays[Date]))</f>
        <v/>
      </c>
      <c r="AR73" s="77" t="str">
        <f ca="1">IFERROR(IF(AS73="",WORKDAY.INTL(AM73,AP73,1,Holidays[Date]),AS73),"")</f>
        <v/>
      </c>
      <c r="AS73" s="78"/>
      <c r="AT73" s="80"/>
      <c r="AU73" s="68"/>
      <c r="AV73" s="77" t="str">
        <f>IF(BA73="","",WORKDAY.INTL(BA73,AY73*-1,1,Holidays[Date]))</f>
        <v/>
      </c>
      <c r="AW73" s="77" t="str">
        <f ca="1">IFERROR(IF(AX73="",WORKDAY.INTL(AR73,AU73,1,Holidays[Date]),AX73),"")</f>
        <v/>
      </c>
      <c r="AX73" s="78"/>
      <c r="AY73" s="80"/>
      <c r="AZ73" s="68"/>
      <c r="BA73" s="77" t="str">
        <f>IF(BF73="","",WORKDAY.INTL(BF73,BD73*-1,1,Holidays[Date]))</f>
        <v/>
      </c>
      <c r="BB73" s="77" t="str">
        <f ca="1">IFERROR(IF(BC73="",WORKDAY.INTL(AW73,AZ73,1,Holidays[Date]),BC73),"")</f>
        <v/>
      </c>
      <c r="BC73" s="78"/>
      <c r="BD73" s="80"/>
      <c r="BE73" s="68"/>
      <c r="BF73" s="77" t="str">
        <f>IF(BK73="","",WORKDAY.INTL(BK73,BI73*-1,1,Holidays[Date]))</f>
        <v/>
      </c>
      <c r="BG73" s="77" t="str">
        <f ca="1">IFERROR(IF(BH73="",WORKDAY.INTL(BB73,BE73,1,Holidays[Date]),BH73),"")</f>
        <v/>
      </c>
      <c r="BH73" s="78"/>
      <c r="BI73" s="80"/>
      <c r="BJ73" s="68"/>
      <c r="BK73" s="77" t="str">
        <f>IF(BP73="","",WORKDAY.INTL(BP73,BN73*-1,1,Holidays[Date]))</f>
        <v/>
      </c>
      <c r="BL73" s="77" t="str">
        <f ca="1">IFERROR(IF(BM73="",WORKDAY.INTL(BG73,BJ73,1,Holidays[Date]),BM73),"")</f>
        <v/>
      </c>
      <c r="BM73" s="78"/>
      <c r="BN73" s="80"/>
      <c r="BO73" s="68"/>
      <c r="BP73" s="77" t="str">
        <f>IF(BU73="","",WORKDAY.INTL(BU73,BS73*-1,1,Holidays[Date]))</f>
        <v/>
      </c>
      <c r="BQ73" s="77" t="str">
        <f ca="1">IFERROR(IF(BR73="",WORKDAY.INTL(BL73,BO73,1,Holidays[Date]),BR73),"")</f>
        <v/>
      </c>
      <c r="BR73" s="78"/>
      <c r="BS73" s="80"/>
      <c r="BT73" s="68"/>
      <c r="BU73" s="77" t="str">
        <f>IF(BZ73="","",WORKDAY.INTL(BZ73,BX73*-1,1,Holidays[Date]))</f>
        <v/>
      </c>
      <c r="BV73" s="77" t="str">
        <f ca="1">IFERROR(IF(BW73="",WORKDAY.INTL(BQ73,BT73,1,Holidays[Date]),BW73),"")</f>
        <v/>
      </c>
      <c r="BW73" s="78"/>
      <c r="BX73" s="80"/>
      <c r="BY73" s="68"/>
      <c r="BZ73" s="81"/>
      <c r="CA73" s="77" t="str">
        <f ca="1">IFERROR(IF(CB73="",WORKDAY.INTL(BV73,BY73,1,Holidays[Date]),CB73),"")</f>
        <v/>
      </c>
      <c r="CB73" s="78"/>
    </row>
    <row r="74" spans="1:80" ht="19" customHeight="1" x14ac:dyDescent="0.35">
      <c r="A74" s="31"/>
      <c r="B74" s="82"/>
      <c r="C74" s="1"/>
      <c r="D74" s="8"/>
      <c r="E74" s="8"/>
      <c r="F74" s="8"/>
      <c r="G74" s="8"/>
      <c r="H74" s="8"/>
      <c r="I74" s="9"/>
      <c r="J74" s="8"/>
      <c r="K74" s="8"/>
      <c r="L74" s="8"/>
      <c r="M74" s="8"/>
      <c r="N74" s="8"/>
      <c r="O74" s="8"/>
      <c r="P74" s="8"/>
      <c r="Q74" s="2"/>
      <c r="R74" s="2"/>
      <c r="S74" s="88" t="str">
        <f>IF(tblProcRegister[[#This Row],[Award]]&lt;&gt;"",tblProcRegister[[#This Row],[Budget]]-tblProcRegister[[#This Row],[Award]],"")</f>
        <v/>
      </c>
      <c r="T74" s="68"/>
      <c r="U74" s="68"/>
      <c r="V74" s="68"/>
      <c r="W74" s="77" t="str">
        <f>IF(AB74="","",WORKDAY.INTL(AB74,Z74*-1,1,Holidays[Date]))</f>
        <v/>
      </c>
      <c r="X74" s="77" t="str">
        <f t="shared" ca="1" si="0"/>
        <v/>
      </c>
      <c r="Y74" s="78"/>
      <c r="Z74" s="79"/>
      <c r="AA74" s="68"/>
      <c r="AB74" s="77" t="str">
        <f>IF(AG74="","",WORKDAY.INTL(AG74,AE74*-1,1,Holidays[Date]))</f>
        <v/>
      </c>
      <c r="AC74" s="77" t="str">
        <f ca="1">IFERROR(IF(AD74="",WORKDAY.INTL(X74,AA74,1,Holidays[Date]),AD74),"")</f>
        <v/>
      </c>
      <c r="AD74" s="78"/>
      <c r="AE74" s="80"/>
      <c r="AF74" s="68"/>
      <c r="AG74" s="77" t="str">
        <f>IF(AL74="","",WORKDAY.INTL(AL74,AJ74*-1,1,Holidays[Date]))</f>
        <v/>
      </c>
      <c r="AH74" s="77" t="str">
        <f ca="1">IFERROR(IF(AI74="",WORKDAY.INTL(AC74,AF74,1,Holidays[Date]),AI74),"")</f>
        <v/>
      </c>
      <c r="AI74" s="78"/>
      <c r="AJ74" s="80"/>
      <c r="AK74" s="68"/>
      <c r="AL74" s="77" t="str">
        <f>IF(AQ74="","",WORKDAY.INTL(AQ74,AO74*-1,1,Holidays[Date]))</f>
        <v/>
      </c>
      <c r="AM74" s="77" t="str">
        <f ca="1">IFERROR(IF(AN74="",WORKDAY.INTL(AH74,AK74,1,Holidays[Date]),AN74),"")</f>
        <v/>
      </c>
      <c r="AN74" s="78"/>
      <c r="AO74" s="80"/>
      <c r="AP74" s="68"/>
      <c r="AQ74" s="77" t="str">
        <f>IF(AV74="","",WORKDAY.INTL(AV74,AT74*-1,1,Holidays[Date]))</f>
        <v/>
      </c>
      <c r="AR74" s="77" t="str">
        <f ca="1">IFERROR(IF(AS74="",WORKDAY.INTL(AM74,AP74,1,Holidays[Date]),AS74),"")</f>
        <v/>
      </c>
      <c r="AS74" s="78"/>
      <c r="AT74" s="80"/>
      <c r="AU74" s="68"/>
      <c r="AV74" s="77" t="str">
        <f>IF(BA74="","",WORKDAY.INTL(BA74,AY74*-1,1,Holidays[Date]))</f>
        <v/>
      </c>
      <c r="AW74" s="77" t="str">
        <f ca="1">IFERROR(IF(AX74="",WORKDAY.INTL(AR74,AU74,1,Holidays[Date]),AX74),"")</f>
        <v/>
      </c>
      <c r="AX74" s="78"/>
      <c r="AY74" s="80"/>
      <c r="AZ74" s="68"/>
      <c r="BA74" s="77" t="str">
        <f>IF(BF74="","",WORKDAY.INTL(BF74,BD74*-1,1,Holidays[Date]))</f>
        <v/>
      </c>
      <c r="BB74" s="77" t="str">
        <f ca="1">IFERROR(IF(BC74="",WORKDAY.INTL(AW74,AZ74,1,Holidays[Date]),BC74),"")</f>
        <v/>
      </c>
      <c r="BC74" s="78"/>
      <c r="BD74" s="80"/>
      <c r="BE74" s="68"/>
      <c r="BF74" s="77" t="str">
        <f>IF(BK74="","",WORKDAY.INTL(BK74,BI74*-1,1,Holidays[Date]))</f>
        <v/>
      </c>
      <c r="BG74" s="77" t="str">
        <f ca="1">IFERROR(IF(BH74="",WORKDAY.INTL(BB74,BE74,1,Holidays[Date]),BH74),"")</f>
        <v/>
      </c>
      <c r="BH74" s="78"/>
      <c r="BI74" s="80"/>
      <c r="BJ74" s="68"/>
      <c r="BK74" s="77" t="str">
        <f>IF(BP74="","",WORKDAY.INTL(BP74,BN74*-1,1,Holidays[Date]))</f>
        <v/>
      </c>
      <c r="BL74" s="77" t="str">
        <f ca="1">IFERROR(IF(BM74="",WORKDAY.INTL(BG74,BJ74,1,Holidays[Date]),BM74),"")</f>
        <v/>
      </c>
      <c r="BM74" s="78"/>
      <c r="BN74" s="80"/>
      <c r="BO74" s="68"/>
      <c r="BP74" s="77" t="str">
        <f>IF(BU74="","",WORKDAY.INTL(BU74,BS74*-1,1,Holidays[Date]))</f>
        <v/>
      </c>
      <c r="BQ74" s="77" t="str">
        <f ca="1">IFERROR(IF(BR74="",WORKDAY.INTL(BL74,BO74,1,Holidays[Date]),BR74),"")</f>
        <v/>
      </c>
      <c r="BR74" s="78"/>
      <c r="BS74" s="80"/>
      <c r="BT74" s="68"/>
      <c r="BU74" s="77" t="str">
        <f>IF(BZ74="","",WORKDAY.INTL(BZ74,BX74*-1,1,Holidays[Date]))</f>
        <v/>
      </c>
      <c r="BV74" s="77" t="str">
        <f ca="1">IFERROR(IF(BW74="",WORKDAY.INTL(BQ74,BT74,1,Holidays[Date]),BW74),"")</f>
        <v/>
      </c>
      <c r="BW74" s="78"/>
      <c r="BX74" s="80"/>
      <c r="BY74" s="68"/>
      <c r="BZ74" s="81"/>
      <c r="CA74" s="77" t="str">
        <f ca="1">IFERROR(IF(CB74="",WORKDAY.INTL(BV74,BY74,1,Holidays[Date]),CB74),"")</f>
        <v/>
      </c>
      <c r="CB74" s="78"/>
    </row>
    <row r="75" spans="1:80" ht="19" customHeight="1" x14ac:dyDescent="0.35">
      <c r="A75" s="31"/>
      <c r="B75" s="82"/>
      <c r="C75" s="1"/>
      <c r="D75" s="8"/>
      <c r="E75" s="8"/>
      <c r="F75" s="8"/>
      <c r="G75" s="8"/>
      <c r="H75" s="8"/>
      <c r="I75" s="9"/>
      <c r="J75" s="8"/>
      <c r="K75" s="8"/>
      <c r="L75" s="8"/>
      <c r="M75" s="8"/>
      <c r="N75" s="8"/>
      <c r="O75" s="8"/>
      <c r="P75" s="8"/>
      <c r="Q75" s="2"/>
      <c r="R75" s="2"/>
      <c r="S75" s="88" t="str">
        <f>IF(tblProcRegister[[#This Row],[Award]]&lt;&gt;"",tblProcRegister[[#This Row],[Budget]]-tblProcRegister[[#This Row],[Award]],"")</f>
        <v/>
      </c>
      <c r="T75" s="68"/>
      <c r="U75" s="68"/>
      <c r="V75" s="68"/>
      <c r="W75" s="77" t="str">
        <f>IF(AB75="","",WORKDAY.INTL(AB75,Z75*-1,1,Holidays[Date]))</f>
        <v/>
      </c>
      <c r="X75" s="77" t="str">
        <f t="shared" ca="1" si="0"/>
        <v/>
      </c>
      <c r="Y75" s="78"/>
      <c r="Z75" s="79"/>
      <c r="AA75" s="68"/>
      <c r="AB75" s="77" t="str">
        <f>IF(AG75="","",WORKDAY.INTL(AG75,AE75*-1,1,Holidays[Date]))</f>
        <v/>
      </c>
      <c r="AC75" s="77" t="str">
        <f ca="1">IFERROR(IF(AD75="",WORKDAY.INTL(X75,AA75,1,Holidays[Date]),AD75),"")</f>
        <v/>
      </c>
      <c r="AD75" s="78"/>
      <c r="AE75" s="80"/>
      <c r="AF75" s="68"/>
      <c r="AG75" s="77" t="str">
        <f>IF(AL75="","",WORKDAY.INTL(AL75,AJ75*-1,1,Holidays[Date]))</f>
        <v/>
      </c>
      <c r="AH75" s="77" t="str">
        <f ca="1">IFERROR(IF(AI75="",WORKDAY.INTL(AC75,AF75,1,Holidays[Date]),AI75),"")</f>
        <v/>
      </c>
      <c r="AI75" s="78"/>
      <c r="AJ75" s="80"/>
      <c r="AK75" s="68"/>
      <c r="AL75" s="77" t="str">
        <f>IF(AQ75="","",WORKDAY.INTL(AQ75,AO75*-1,1,Holidays[Date]))</f>
        <v/>
      </c>
      <c r="AM75" s="77" t="str">
        <f ca="1">IFERROR(IF(AN75="",WORKDAY.INTL(AH75,AK75,1,Holidays[Date]),AN75),"")</f>
        <v/>
      </c>
      <c r="AN75" s="78"/>
      <c r="AO75" s="80"/>
      <c r="AP75" s="68"/>
      <c r="AQ75" s="77" t="str">
        <f>IF(AV75="","",WORKDAY.INTL(AV75,AT75*-1,1,Holidays[Date]))</f>
        <v/>
      </c>
      <c r="AR75" s="77" t="str">
        <f ca="1">IFERROR(IF(AS75="",WORKDAY.INTL(AM75,AP75,1,Holidays[Date]),AS75),"")</f>
        <v/>
      </c>
      <c r="AS75" s="78"/>
      <c r="AT75" s="80"/>
      <c r="AU75" s="68"/>
      <c r="AV75" s="77" t="str">
        <f>IF(BA75="","",WORKDAY.INTL(BA75,AY75*-1,1,Holidays[Date]))</f>
        <v/>
      </c>
      <c r="AW75" s="77" t="str">
        <f ca="1">IFERROR(IF(AX75="",WORKDAY.INTL(AR75,AU75,1,Holidays[Date]),AX75),"")</f>
        <v/>
      </c>
      <c r="AX75" s="78"/>
      <c r="AY75" s="80"/>
      <c r="AZ75" s="68"/>
      <c r="BA75" s="77" t="str">
        <f>IF(BF75="","",WORKDAY.INTL(BF75,BD75*-1,1,Holidays[Date]))</f>
        <v/>
      </c>
      <c r="BB75" s="77" t="str">
        <f ca="1">IFERROR(IF(BC75="",WORKDAY.INTL(AW75,AZ75,1,Holidays[Date]),BC75),"")</f>
        <v/>
      </c>
      <c r="BC75" s="78"/>
      <c r="BD75" s="80"/>
      <c r="BE75" s="68"/>
      <c r="BF75" s="77" t="str">
        <f>IF(BK75="","",WORKDAY.INTL(BK75,BI75*-1,1,Holidays[Date]))</f>
        <v/>
      </c>
      <c r="BG75" s="77" t="str">
        <f ca="1">IFERROR(IF(BH75="",WORKDAY.INTL(BB75,BE75,1,Holidays[Date]),BH75),"")</f>
        <v/>
      </c>
      <c r="BH75" s="78"/>
      <c r="BI75" s="80"/>
      <c r="BJ75" s="68"/>
      <c r="BK75" s="77" t="str">
        <f>IF(BP75="","",WORKDAY.INTL(BP75,BN75*-1,1,Holidays[Date]))</f>
        <v/>
      </c>
      <c r="BL75" s="77" t="str">
        <f ca="1">IFERROR(IF(BM75="",WORKDAY.INTL(BG75,BJ75,1,Holidays[Date]),BM75),"")</f>
        <v/>
      </c>
      <c r="BM75" s="78"/>
      <c r="BN75" s="80"/>
      <c r="BO75" s="68"/>
      <c r="BP75" s="77" t="str">
        <f>IF(BU75="","",WORKDAY.INTL(BU75,BS75*-1,1,Holidays[Date]))</f>
        <v/>
      </c>
      <c r="BQ75" s="77" t="str">
        <f ca="1">IFERROR(IF(BR75="",WORKDAY.INTL(BL75,BO75,1,Holidays[Date]),BR75),"")</f>
        <v/>
      </c>
      <c r="BR75" s="78"/>
      <c r="BS75" s="80"/>
      <c r="BT75" s="68"/>
      <c r="BU75" s="77" t="str">
        <f>IF(BZ75="","",WORKDAY.INTL(BZ75,BX75*-1,1,Holidays[Date]))</f>
        <v/>
      </c>
      <c r="BV75" s="77" t="str">
        <f ca="1">IFERROR(IF(BW75="",WORKDAY.INTL(BQ75,BT75,1,Holidays[Date]),BW75),"")</f>
        <v/>
      </c>
      <c r="BW75" s="78"/>
      <c r="BX75" s="80"/>
      <c r="BY75" s="68"/>
      <c r="BZ75" s="81"/>
      <c r="CA75" s="77" t="str">
        <f ca="1">IFERROR(IF(CB75="",WORKDAY.INTL(BV75,BY75,1,Holidays[Date]),CB75),"")</f>
        <v/>
      </c>
      <c r="CB75" s="78"/>
    </row>
    <row r="76" spans="1:80" ht="19" customHeight="1" x14ac:dyDescent="0.35">
      <c r="A76" s="31"/>
      <c r="B76" s="82"/>
      <c r="C76" s="1"/>
      <c r="D76" s="8"/>
      <c r="E76" s="8"/>
      <c r="F76" s="8"/>
      <c r="G76" s="8"/>
      <c r="H76" s="8"/>
      <c r="I76" s="9"/>
      <c r="J76" s="8"/>
      <c r="K76" s="8"/>
      <c r="L76" s="8"/>
      <c r="M76" s="8"/>
      <c r="N76" s="8"/>
      <c r="O76" s="8"/>
      <c r="P76" s="8"/>
      <c r="Q76" s="2"/>
      <c r="R76" s="2"/>
      <c r="S76" s="88" t="str">
        <f>IF(tblProcRegister[[#This Row],[Award]]&lt;&gt;"",tblProcRegister[[#This Row],[Budget]]-tblProcRegister[[#This Row],[Award]],"")</f>
        <v/>
      </c>
      <c r="T76" s="68"/>
      <c r="U76" s="68"/>
      <c r="V76" s="68"/>
      <c r="W76" s="77" t="str">
        <f>IF(AB76="","",WORKDAY.INTL(AB76,Z76*-1,1,Holidays[Date]))</f>
        <v/>
      </c>
      <c r="X76" s="77" t="str">
        <f t="shared" ref="X76:X139" ca="1" si="1">IF(Y76="",IF(W76&gt;$C$8,W76,$C$8),Y76)</f>
        <v/>
      </c>
      <c r="Y76" s="78"/>
      <c r="Z76" s="79"/>
      <c r="AA76" s="68"/>
      <c r="AB76" s="77" t="str">
        <f>IF(AG76="","",WORKDAY.INTL(AG76,AE76*-1,1,Holidays[Date]))</f>
        <v/>
      </c>
      <c r="AC76" s="77" t="str">
        <f ca="1">IFERROR(IF(AD76="",WORKDAY.INTL(X76,AA76,1,Holidays[Date]),AD76),"")</f>
        <v/>
      </c>
      <c r="AD76" s="78"/>
      <c r="AE76" s="80"/>
      <c r="AF76" s="68"/>
      <c r="AG76" s="77" t="str">
        <f>IF(AL76="","",WORKDAY.INTL(AL76,AJ76*-1,1,Holidays[Date]))</f>
        <v/>
      </c>
      <c r="AH76" s="77" t="str">
        <f ca="1">IFERROR(IF(AI76="",WORKDAY.INTL(AC76,AF76,1,Holidays[Date]),AI76),"")</f>
        <v/>
      </c>
      <c r="AI76" s="78"/>
      <c r="AJ76" s="80"/>
      <c r="AK76" s="68"/>
      <c r="AL76" s="77" t="str">
        <f>IF(AQ76="","",WORKDAY.INTL(AQ76,AO76*-1,1,Holidays[Date]))</f>
        <v/>
      </c>
      <c r="AM76" s="77" t="str">
        <f ca="1">IFERROR(IF(AN76="",WORKDAY.INTL(AH76,AK76,1,Holidays[Date]),AN76),"")</f>
        <v/>
      </c>
      <c r="AN76" s="78"/>
      <c r="AO76" s="80"/>
      <c r="AP76" s="68"/>
      <c r="AQ76" s="77" t="str">
        <f>IF(AV76="","",WORKDAY.INTL(AV76,AT76*-1,1,Holidays[Date]))</f>
        <v/>
      </c>
      <c r="AR76" s="77" t="str">
        <f ca="1">IFERROR(IF(AS76="",WORKDAY.INTL(AM76,AP76,1,Holidays[Date]),AS76),"")</f>
        <v/>
      </c>
      <c r="AS76" s="78"/>
      <c r="AT76" s="80"/>
      <c r="AU76" s="68"/>
      <c r="AV76" s="77" t="str">
        <f>IF(BA76="","",WORKDAY.INTL(BA76,AY76*-1,1,Holidays[Date]))</f>
        <v/>
      </c>
      <c r="AW76" s="77" t="str">
        <f ca="1">IFERROR(IF(AX76="",WORKDAY.INTL(AR76,AU76,1,Holidays[Date]),AX76),"")</f>
        <v/>
      </c>
      <c r="AX76" s="78"/>
      <c r="AY76" s="80"/>
      <c r="AZ76" s="68"/>
      <c r="BA76" s="77" t="str">
        <f>IF(BF76="","",WORKDAY.INTL(BF76,BD76*-1,1,Holidays[Date]))</f>
        <v/>
      </c>
      <c r="BB76" s="77" t="str">
        <f ca="1">IFERROR(IF(BC76="",WORKDAY.INTL(AW76,AZ76,1,Holidays[Date]),BC76),"")</f>
        <v/>
      </c>
      <c r="BC76" s="78"/>
      <c r="BD76" s="80"/>
      <c r="BE76" s="68"/>
      <c r="BF76" s="77" t="str">
        <f>IF(BK76="","",WORKDAY.INTL(BK76,BI76*-1,1,Holidays[Date]))</f>
        <v/>
      </c>
      <c r="BG76" s="77" t="str">
        <f ca="1">IFERROR(IF(BH76="",WORKDAY.INTL(BB76,BE76,1,Holidays[Date]),BH76),"")</f>
        <v/>
      </c>
      <c r="BH76" s="78"/>
      <c r="BI76" s="80"/>
      <c r="BJ76" s="68"/>
      <c r="BK76" s="77" t="str">
        <f>IF(BP76="","",WORKDAY.INTL(BP76,BN76*-1,1,Holidays[Date]))</f>
        <v/>
      </c>
      <c r="BL76" s="77" t="str">
        <f ca="1">IFERROR(IF(BM76="",WORKDAY.INTL(BG76,BJ76,1,Holidays[Date]),BM76),"")</f>
        <v/>
      </c>
      <c r="BM76" s="78"/>
      <c r="BN76" s="80"/>
      <c r="BO76" s="68"/>
      <c r="BP76" s="77" t="str">
        <f>IF(BU76="","",WORKDAY.INTL(BU76,BS76*-1,1,Holidays[Date]))</f>
        <v/>
      </c>
      <c r="BQ76" s="77" t="str">
        <f ca="1">IFERROR(IF(BR76="",WORKDAY.INTL(BL76,BO76,1,Holidays[Date]),BR76),"")</f>
        <v/>
      </c>
      <c r="BR76" s="78"/>
      <c r="BS76" s="80"/>
      <c r="BT76" s="68"/>
      <c r="BU76" s="77" t="str">
        <f>IF(BZ76="","",WORKDAY.INTL(BZ76,BX76*-1,1,Holidays[Date]))</f>
        <v/>
      </c>
      <c r="BV76" s="77" t="str">
        <f ca="1">IFERROR(IF(BW76="",WORKDAY.INTL(BQ76,BT76,1,Holidays[Date]),BW76),"")</f>
        <v/>
      </c>
      <c r="BW76" s="78"/>
      <c r="BX76" s="80"/>
      <c r="BY76" s="68"/>
      <c r="BZ76" s="81"/>
      <c r="CA76" s="77" t="str">
        <f ca="1">IFERROR(IF(CB76="",WORKDAY.INTL(BV76,BY76,1,Holidays[Date]),CB76),"")</f>
        <v/>
      </c>
      <c r="CB76" s="78"/>
    </row>
    <row r="77" spans="1:80" ht="19" customHeight="1" x14ac:dyDescent="0.35">
      <c r="A77" s="31"/>
      <c r="B77" s="82"/>
      <c r="C77" s="1"/>
      <c r="D77" s="8"/>
      <c r="E77" s="8"/>
      <c r="F77" s="8"/>
      <c r="G77" s="8"/>
      <c r="H77" s="8"/>
      <c r="I77" s="9"/>
      <c r="J77" s="8"/>
      <c r="K77" s="8"/>
      <c r="L77" s="8"/>
      <c r="M77" s="8"/>
      <c r="N77" s="8"/>
      <c r="O77" s="8"/>
      <c r="P77" s="8"/>
      <c r="Q77" s="2"/>
      <c r="R77" s="2"/>
      <c r="S77" s="88" t="str">
        <f>IF(tblProcRegister[[#This Row],[Award]]&lt;&gt;"",tblProcRegister[[#This Row],[Budget]]-tblProcRegister[[#This Row],[Award]],"")</f>
        <v/>
      </c>
      <c r="T77" s="68"/>
      <c r="U77" s="68"/>
      <c r="V77" s="68"/>
      <c r="W77" s="77" t="str">
        <f>IF(AB77="","",WORKDAY.INTL(AB77,Z77*-1,1,Holidays[Date]))</f>
        <v/>
      </c>
      <c r="X77" s="77" t="str">
        <f t="shared" ca="1" si="1"/>
        <v/>
      </c>
      <c r="Y77" s="78"/>
      <c r="Z77" s="79"/>
      <c r="AA77" s="68"/>
      <c r="AB77" s="77" t="str">
        <f>IF(AG77="","",WORKDAY.INTL(AG77,AE77*-1,1,Holidays[Date]))</f>
        <v/>
      </c>
      <c r="AC77" s="77" t="str">
        <f ca="1">IFERROR(IF(AD77="",WORKDAY.INTL(X77,AA77,1,Holidays[Date]),AD77),"")</f>
        <v/>
      </c>
      <c r="AD77" s="78"/>
      <c r="AE77" s="80"/>
      <c r="AF77" s="68"/>
      <c r="AG77" s="77" t="str">
        <f>IF(AL77="","",WORKDAY.INTL(AL77,AJ77*-1,1,Holidays[Date]))</f>
        <v/>
      </c>
      <c r="AH77" s="77" t="str">
        <f ca="1">IFERROR(IF(AI77="",WORKDAY.INTL(AC77,AF77,1,Holidays[Date]),AI77),"")</f>
        <v/>
      </c>
      <c r="AI77" s="78"/>
      <c r="AJ77" s="80"/>
      <c r="AK77" s="68"/>
      <c r="AL77" s="77" t="str">
        <f>IF(AQ77="","",WORKDAY.INTL(AQ77,AO77*-1,1,Holidays[Date]))</f>
        <v/>
      </c>
      <c r="AM77" s="77" t="str">
        <f ca="1">IFERROR(IF(AN77="",WORKDAY.INTL(AH77,AK77,1,Holidays[Date]),AN77),"")</f>
        <v/>
      </c>
      <c r="AN77" s="78"/>
      <c r="AO77" s="80"/>
      <c r="AP77" s="68"/>
      <c r="AQ77" s="77" t="str">
        <f>IF(AV77="","",WORKDAY.INTL(AV77,AT77*-1,1,Holidays[Date]))</f>
        <v/>
      </c>
      <c r="AR77" s="77" t="str">
        <f ca="1">IFERROR(IF(AS77="",WORKDAY.INTL(AM77,AP77,1,Holidays[Date]),AS77),"")</f>
        <v/>
      </c>
      <c r="AS77" s="78"/>
      <c r="AT77" s="80"/>
      <c r="AU77" s="68"/>
      <c r="AV77" s="77" t="str">
        <f>IF(BA77="","",WORKDAY.INTL(BA77,AY77*-1,1,Holidays[Date]))</f>
        <v/>
      </c>
      <c r="AW77" s="77" t="str">
        <f ca="1">IFERROR(IF(AX77="",WORKDAY.INTL(AR77,AU77,1,Holidays[Date]),AX77),"")</f>
        <v/>
      </c>
      <c r="AX77" s="78"/>
      <c r="AY77" s="80"/>
      <c r="AZ77" s="68"/>
      <c r="BA77" s="77" t="str">
        <f>IF(BF77="","",WORKDAY.INTL(BF77,BD77*-1,1,Holidays[Date]))</f>
        <v/>
      </c>
      <c r="BB77" s="77" t="str">
        <f ca="1">IFERROR(IF(BC77="",WORKDAY.INTL(AW77,AZ77,1,Holidays[Date]),BC77),"")</f>
        <v/>
      </c>
      <c r="BC77" s="78"/>
      <c r="BD77" s="80"/>
      <c r="BE77" s="68"/>
      <c r="BF77" s="77" t="str">
        <f>IF(BK77="","",WORKDAY.INTL(BK77,BI77*-1,1,Holidays[Date]))</f>
        <v/>
      </c>
      <c r="BG77" s="77" t="str">
        <f ca="1">IFERROR(IF(BH77="",WORKDAY.INTL(BB77,BE77,1,Holidays[Date]),BH77),"")</f>
        <v/>
      </c>
      <c r="BH77" s="78"/>
      <c r="BI77" s="80"/>
      <c r="BJ77" s="68"/>
      <c r="BK77" s="77" t="str">
        <f>IF(BP77="","",WORKDAY.INTL(BP77,BN77*-1,1,Holidays[Date]))</f>
        <v/>
      </c>
      <c r="BL77" s="77" t="str">
        <f ca="1">IFERROR(IF(BM77="",WORKDAY.INTL(BG77,BJ77,1,Holidays[Date]),BM77),"")</f>
        <v/>
      </c>
      <c r="BM77" s="78"/>
      <c r="BN77" s="80"/>
      <c r="BO77" s="68"/>
      <c r="BP77" s="77" t="str">
        <f>IF(BU77="","",WORKDAY.INTL(BU77,BS77*-1,1,Holidays[Date]))</f>
        <v/>
      </c>
      <c r="BQ77" s="77" t="str">
        <f ca="1">IFERROR(IF(BR77="",WORKDAY.INTL(BL77,BO77,1,Holidays[Date]),BR77),"")</f>
        <v/>
      </c>
      <c r="BR77" s="78"/>
      <c r="BS77" s="80"/>
      <c r="BT77" s="68"/>
      <c r="BU77" s="77" t="str">
        <f>IF(BZ77="","",WORKDAY.INTL(BZ77,BX77*-1,1,Holidays[Date]))</f>
        <v/>
      </c>
      <c r="BV77" s="77" t="str">
        <f ca="1">IFERROR(IF(BW77="",WORKDAY.INTL(BQ77,BT77,1,Holidays[Date]),BW77),"")</f>
        <v/>
      </c>
      <c r="BW77" s="78"/>
      <c r="BX77" s="80"/>
      <c r="BY77" s="68"/>
      <c r="BZ77" s="81"/>
      <c r="CA77" s="77" t="str">
        <f ca="1">IFERROR(IF(CB77="",WORKDAY.INTL(BV77,BY77,1,Holidays[Date]),CB77),"")</f>
        <v/>
      </c>
      <c r="CB77" s="78"/>
    </row>
    <row r="78" spans="1:80" ht="19" customHeight="1" x14ac:dyDescent="0.35">
      <c r="A78" s="31"/>
      <c r="B78" s="82"/>
      <c r="C78" s="1"/>
      <c r="D78" s="8"/>
      <c r="E78" s="8"/>
      <c r="F78" s="8"/>
      <c r="G78" s="8"/>
      <c r="H78" s="8"/>
      <c r="I78" s="9"/>
      <c r="J78" s="8"/>
      <c r="K78" s="8"/>
      <c r="L78" s="8"/>
      <c r="M78" s="8"/>
      <c r="N78" s="8"/>
      <c r="O78" s="8"/>
      <c r="P78" s="8"/>
      <c r="Q78" s="2"/>
      <c r="R78" s="2"/>
      <c r="S78" s="88" t="str">
        <f>IF(tblProcRegister[[#This Row],[Award]]&lt;&gt;"",tblProcRegister[[#This Row],[Budget]]-tblProcRegister[[#This Row],[Award]],"")</f>
        <v/>
      </c>
      <c r="T78" s="68"/>
      <c r="U78" s="68"/>
      <c r="V78" s="68"/>
      <c r="W78" s="77" t="str">
        <f>IF(AB78="","",WORKDAY.INTL(AB78,Z78*-1,1,Holidays[Date]))</f>
        <v/>
      </c>
      <c r="X78" s="77" t="str">
        <f t="shared" ca="1" si="1"/>
        <v/>
      </c>
      <c r="Y78" s="78"/>
      <c r="Z78" s="79"/>
      <c r="AA78" s="68"/>
      <c r="AB78" s="77" t="str">
        <f>IF(AG78="","",WORKDAY.INTL(AG78,AE78*-1,1,Holidays[Date]))</f>
        <v/>
      </c>
      <c r="AC78" s="77" t="str">
        <f ca="1">IFERROR(IF(AD78="",WORKDAY.INTL(X78,AA78,1,Holidays[Date]),AD78),"")</f>
        <v/>
      </c>
      <c r="AD78" s="78"/>
      <c r="AE78" s="80"/>
      <c r="AF78" s="68"/>
      <c r="AG78" s="77" t="str">
        <f>IF(AL78="","",WORKDAY.INTL(AL78,AJ78*-1,1,Holidays[Date]))</f>
        <v/>
      </c>
      <c r="AH78" s="77" t="str">
        <f ca="1">IFERROR(IF(AI78="",WORKDAY.INTL(AC78,AF78,1,Holidays[Date]),AI78),"")</f>
        <v/>
      </c>
      <c r="AI78" s="78"/>
      <c r="AJ78" s="80"/>
      <c r="AK78" s="68"/>
      <c r="AL78" s="77" t="str">
        <f>IF(AQ78="","",WORKDAY.INTL(AQ78,AO78*-1,1,Holidays[Date]))</f>
        <v/>
      </c>
      <c r="AM78" s="77" t="str">
        <f ca="1">IFERROR(IF(AN78="",WORKDAY.INTL(AH78,AK78,1,Holidays[Date]),AN78),"")</f>
        <v/>
      </c>
      <c r="AN78" s="78"/>
      <c r="AO78" s="80"/>
      <c r="AP78" s="68"/>
      <c r="AQ78" s="77" t="str">
        <f>IF(AV78="","",WORKDAY.INTL(AV78,AT78*-1,1,Holidays[Date]))</f>
        <v/>
      </c>
      <c r="AR78" s="77" t="str">
        <f ca="1">IFERROR(IF(AS78="",WORKDAY.INTL(AM78,AP78,1,Holidays[Date]),AS78),"")</f>
        <v/>
      </c>
      <c r="AS78" s="78"/>
      <c r="AT78" s="80"/>
      <c r="AU78" s="68"/>
      <c r="AV78" s="77" t="str">
        <f>IF(BA78="","",WORKDAY.INTL(BA78,AY78*-1,1,Holidays[Date]))</f>
        <v/>
      </c>
      <c r="AW78" s="77" t="str">
        <f ca="1">IFERROR(IF(AX78="",WORKDAY.INTL(AR78,AU78,1,Holidays[Date]),AX78),"")</f>
        <v/>
      </c>
      <c r="AX78" s="78"/>
      <c r="AY78" s="80"/>
      <c r="AZ78" s="68"/>
      <c r="BA78" s="77" t="str">
        <f>IF(BF78="","",WORKDAY.INTL(BF78,BD78*-1,1,Holidays[Date]))</f>
        <v/>
      </c>
      <c r="BB78" s="77" t="str">
        <f ca="1">IFERROR(IF(BC78="",WORKDAY.INTL(AW78,AZ78,1,Holidays[Date]),BC78),"")</f>
        <v/>
      </c>
      <c r="BC78" s="78"/>
      <c r="BD78" s="80"/>
      <c r="BE78" s="68"/>
      <c r="BF78" s="77" t="str">
        <f>IF(BK78="","",WORKDAY.INTL(BK78,BI78*-1,1,Holidays[Date]))</f>
        <v/>
      </c>
      <c r="BG78" s="77" t="str">
        <f ca="1">IFERROR(IF(BH78="",WORKDAY.INTL(BB78,BE78,1,Holidays[Date]),BH78),"")</f>
        <v/>
      </c>
      <c r="BH78" s="78"/>
      <c r="BI78" s="80"/>
      <c r="BJ78" s="68"/>
      <c r="BK78" s="77" t="str">
        <f>IF(BP78="","",WORKDAY.INTL(BP78,BN78*-1,1,Holidays[Date]))</f>
        <v/>
      </c>
      <c r="BL78" s="77" t="str">
        <f ca="1">IFERROR(IF(BM78="",WORKDAY.INTL(BG78,BJ78,1,Holidays[Date]),BM78),"")</f>
        <v/>
      </c>
      <c r="BM78" s="78"/>
      <c r="BN78" s="80"/>
      <c r="BO78" s="68"/>
      <c r="BP78" s="77" t="str">
        <f>IF(BU78="","",WORKDAY.INTL(BU78,BS78*-1,1,Holidays[Date]))</f>
        <v/>
      </c>
      <c r="BQ78" s="77" t="str">
        <f ca="1">IFERROR(IF(BR78="",WORKDAY.INTL(BL78,BO78,1,Holidays[Date]),BR78),"")</f>
        <v/>
      </c>
      <c r="BR78" s="78"/>
      <c r="BS78" s="80"/>
      <c r="BT78" s="68"/>
      <c r="BU78" s="77" t="str">
        <f>IF(BZ78="","",WORKDAY.INTL(BZ78,BX78*-1,1,Holidays[Date]))</f>
        <v/>
      </c>
      <c r="BV78" s="77" t="str">
        <f ca="1">IFERROR(IF(BW78="",WORKDAY.INTL(BQ78,BT78,1,Holidays[Date]),BW78),"")</f>
        <v/>
      </c>
      <c r="BW78" s="78"/>
      <c r="BX78" s="80"/>
      <c r="BY78" s="68"/>
      <c r="BZ78" s="81"/>
      <c r="CA78" s="77" t="str">
        <f ca="1">IFERROR(IF(CB78="",WORKDAY.INTL(BV78,BY78,1,Holidays[Date]),CB78),"")</f>
        <v/>
      </c>
      <c r="CB78" s="78"/>
    </row>
    <row r="79" spans="1:80" ht="19" customHeight="1" x14ac:dyDescent="0.35">
      <c r="A79" s="31"/>
      <c r="B79" s="82"/>
      <c r="C79" s="1"/>
      <c r="D79" s="8"/>
      <c r="E79" s="8"/>
      <c r="F79" s="8"/>
      <c r="G79" s="8"/>
      <c r="H79" s="8"/>
      <c r="I79" s="9"/>
      <c r="J79" s="8"/>
      <c r="K79" s="8"/>
      <c r="L79" s="8"/>
      <c r="M79" s="8"/>
      <c r="N79" s="8"/>
      <c r="O79" s="8"/>
      <c r="P79" s="8"/>
      <c r="Q79" s="2"/>
      <c r="R79" s="2"/>
      <c r="S79" s="88" t="str">
        <f>IF(tblProcRegister[[#This Row],[Award]]&lt;&gt;"",tblProcRegister[[#This Row],[Budget]]-tblProcRegister[[#This Row],[Award]],"")</f>
        <v/>
      </c>
      <c r="T79" s="68"/>
      <c r="U79" s="68"/>
      <c r="V79" s="68"/>
      <c r="W79" s="77" t="str">
        <f>IF(AB79="","",WORKDAY.INTL(AB79,Z79*-1,1,Holidays[Date]))</f>
        <v/>
      </c>
      <c r="X79" s="77" t="str">
        <f t="shared" ca="1" si="1"/>
        <v/>
      </c>
      <c r="Y79" s="78"/>
      <c r="Z79" s="79"/>
      <c r="AA79" s="68"/>
      <c r="AB79" s="77" t="str">
        <f>IF(AG79="","",WORKDAY.INTL(AG79,AE79*-1,1,Holidays[Date]))</f>
        <v/>
      </c>
      <c r="AC79" s="77" t="str">
        <f ca="1">IFERROR(IF(AD79="",WORKDAY.INTL(X79,AA79,1,Holidays[Date]),AD79),"")</f>
        <v/>
      </c>
      <c r="AD79" s="78"/>
      <c r="AE79" s="80"/>
      <c r="AF79" s="68"/>
      <c r="AG79" s="77" t="str">
        <f>IF(AL79="","",WORKDAY.INTL(AL79,AJ79*-1,1,Holidays[Date]))</f>
        <v/>
      </c>
      <c r="AH79" s="77" t="str">
        <f ca="1">IFERROR(IF(AI79="",WORKDAY.INTL(AC79,AF79,1,Holidays[Date]),AI79),"")</f>
        <v/>
      </c>
      <c r="AI79" s="78"/>
      <c r="AJ79" s="80"/>
      <c r="AK79" s="68"/>
      <c r="AL79" s="77" t="str">
        <f>IF(AQ79="","",WORKDAY.INTL(AQ79,AO79*-1,1,Holidays[Date]))</f>
        <v/>
      </c>
      <c r="AM79" s="77" t="str">
        <f ca="1">IFERROR(IF(AN79="",WORKDAY.INTL(AH79,AK79,1,Holidays[Date]),AN79),"")</f>
        <v/>
      </c>
      <c r="AN79" s="78"/>
      <c r="AO79" s="80"/>
      <c r="AP79" s="68"/>
      <c r="AQ79" s="77" t="str">
        <f>IF(AV79="","",WORKDAY.INTL(AV79,AT79*-1,1,Holidays[Date]))</f>
        <v/>
      </c>
      <c r="AR79" s="77" t="str">
        <f ca="1">IFERROR(IF(AS79="",WORKDAY.INTL(AM79,AP79,1,Holidays[Date]),AS79),"")</f>
        <v/>
      </c>
      <c r="AS79" s="78"/>
      <c r="AT79" s="80"/>
      <c r="AU79" s="68"/>
      <c r="AV79" s="77" t="str">
        <f>IF(BA79="","",WORKDAY.INTL(BA79,AY79*-1,1,Holidays[Date]))</f>
        <v/>
      </c>
      <c r="AW79" s="77" t="str">
        <f ca="1">IFERROR(IF(AX79="",WORKDAY.INTL(AR79,AU79,1,Holidays[Date]),AX79),"")</f>
        <v/>
      </c>
      <c r="AX79" s="78"/>
      <c r="AY79" s="80"/>
      <c r="AZ79" s="68"/>
      <c r="BA79" s="77" t="str">
        <f>IF(BF79="","",WORKDAY.INTL(BF79,BD79*-1,1,Holidays[Date]))</f>
        <v/>
      </c>
      <c r="BB79" s="77" t="str">
        <f ca="1">IFERROR(IF(BC79="",WORKDAY.INTL(AW79,AZ79,1,Holidays[Date]),BC79),"")</f>
        <v/>
      </c>
      <c r="BC79" s="78"/>
      <c r="BD79" s="80"/>
      <c r="BE79" s="68"/>
      <c r="BF79" s="77" t="str">
        <f>IF(BK79="","",WORKDAY.INTL(BK79,BI79*-1,1,Holidays[Date]))</f>
        <v/>
      </c>
      <c r="BG79" s="77" t="str">
        <f ca="1">IFERROR(IF(BH79="",WORKDAY.INTL(BB79,BE79,1,Holidays[Date]),BH79),"")</f>
        <v/>
      </c>
      <c r="BH79" s="78"/>
      <c r="BI79" s="80"/>
      <c r="BJ79" s="68"/>
      <c r="BK79" s="77" t="str">
        <f>IF(BP79="","",WORKDAY.INTL(BP79,BN79*-1,1,Holidays[Date]))</f>
        <v/>
      </c>
      <c r="BL79" s="77" t="str">
        <f ca="1">IFERROR(IF(BM79="",WORKDAY.INTL(BG79,BJ79,1,Holidays[Date]),BM79),"")</f>
        <v/>
      </c>
      <c r="BM79" s="78"/>
      <c r="BN79" s="80"/>
      <c r="BO79" s="68"/>
      <c r="BP79" s="77" t="str">
        <f>IF(BU79="","",WORKDAY.INTL(BU79,BS79*-1,1,Holidays[Date]))</f>
        <v/>
      </c>
      <c r="BQ79" s="77" t="str">
        <f ca="1">IFERROR(IF(BR79="",WORKDAY.INTL(BL79,BO79,1,Holidays[Date]),BR79),"")</f>
        <v/>
      </c>
      <c r="BR79" s="78"/>
      <c r="BS79" s="80"/>
      <c r="BT79" s="68"/>
      <c r="BU79" s="77" t="str">
        <f>IF(BZ79="","",WORKDAY.INTL(BZ79,BX79*-1,1,Holidays[Date]))</f>
        <v/>
      </c>
      <c r="BV79" s="77" t="str">
        <f ca="1">IFERROR(IF(BW79="",WORKDAY.INTL(BQ79,BT79,1,Holidays[Date]),BW79),"")</f>
        <v/>
      </c>
      <c r="BW79" s="78"/>
      <c r="BX79" s="80"/>
      <c r="BY79" s="68"/>
      <c r="BZ79" s="81"/>
      <c r="CA79" s="77" t="str">
        <f ca="1">IFERROR(IF(CB79="",WORKDAY.INTL(BV79,BY79,1,Holidays[Date]),CB79),"")</f>
        <v/>
      </c>
      <c r="CB79" s="78"/>
    </row>
    <row r="80" spans="1:80" ht="19" customHeight="1" x14ac:dyDescent="0.35">
      <c r="A80" s="31"/>
      <c r="B80" s="82"/>
      <c r="C80" s="1"/>
      <c r="D80" s="8"/>
      <c r="E80" s="8"/>
      <c r="F80" s="8"/>
      <c r="G80" s="8"/>
      <c r="H80" s="8"/>
      <c r="I80" s="9"/>
      <c r="J80" s="8"/>
      <c r="K80" s="8"/>
      <c r="L80" s="8"/>
      <c r="M80" s="8"/>
      <c r="N80" s="8"/>
      <c r="O80" s="8"/>
      <c r="P80" s="8"/>
      <c r="Q80" s="2"/>
      <c r="R80" s="2"/>
      <c r="S80" s="88" t="str">
        <f>IF(tblProcRegister[[#This Row],[Award]]&lt;&gt;"",tblProcRegister[[#This Row],[Budget]]-tblProcRegister[[#This Row],[Award]],"")</f>
        <v/>
      </c>
      <c r="T80" s="68"/>
      <c r="U80" s="68"/>
      <c r="V80" s="68"/>
      <c r="W80" s="77" t="str">
        <f>IF(AB80="","",WORKDAY.INTL(AB80,Z80*-1,1,Holidays[Date]))</f>
        <v/>
      </c>
      <c r="X80" s="77" t="str">
        <f t="shared" ca="1" si="1"/>
        <v/>
      </c>
      <c r="Y80" s="78"/>
      <c r="Z80" s="79"/>
      <c r="AA80" s="68"/>
      <c r="AB80" s="77" t="str">
        <f>IF(AG80="","",WORKDAY.INTL(AG80,AE80*-1,1,Holidays[Date]))</f>
        <v/>
      </c>
      <c r="AC80" s="77" t="str">
        <f ca="1">IFERROR(IF(AD80="",WORKDAY.INTL(X80,AA80,1,Holidays[Date]),AD80),"")</f>
        <v/>
      </c>
      <c r="AD80" s="78"/>
      <c r="AE80" s="80"/>
      <c r="AF80" s="68"/>
      <c r="AG80" s="77" t="str">
        <f>IF(AL80="","",WORKDAY.INTL(AL80,AJ80*-1,1,Holidays[Date]))</f>
        <v/>
      </c>
      <c r="AH80" s="77" t="str">
        <f ca="1">IFERROR(IF(AI80="",WORKDAY.INTL(AC80,AF80,1,Holidays[Date]),AI80),"")</f>
        <v/>
      </c>
      <c r="AI80" s="78"/>
      <c r="AJ80" s="80"/>
      <c r="AK80" s="68"/>
      <c r="AL80" s="77" t="str">
        <f>IF(AQ80="","",WORKDAY.INTL(AQ80,AO80*-1,1,Holidays[Date]))</f>
        <v/>
      </c>
      <c r="AM80" s="77" t="str">
        <f ca="1">IFERROR(IF(AN80="",WORKDAY.INTL(AH80,AK80,1,Holidays[Date]),AN80),"")</f>
        <v/>
      </c>
      <c r="AN80" s="78"/>
      <c r="AO80" s="80"/>
      <c r="AP80" s="68"/>
      <c r="AQ80" s="77" t="str">
        <f>IF(AV80="","",WORKDAY.INTL(AV80,AT80*-1,1,Holidays[Date]))</f>
        <v/>
      </c>
      <c r="AR80" s="77" t="str">
        <f ca="1">IFERROR(IF(AS80="",WORKDAY.INTL(AM80,AP80,1,Holidays[Date]),AS80),"")</f>
        <v/>
      </c>
      <c r="AS80" s="78"/>
      <c r="AT80" s="80"/>
      <c r="AU80" s="68"/>
      <c r="AV80" s="77" t="str">
        <f>IF(BA80="","",WORKDAY.INTL(BA80,AY80*-1,1,Holidays[Date]))</f>
        <v/>
      </c>
      <c r="AW80" s="77" t="str">
        <f ca="1">IFERROR(IF(AX80="",WORKDAY.INTL(AR80,AU80,1,Holidays[Date]),AX80),"")</f>
        <v/>
      </c>
      <c r="AX80" s="78"/>
      <c r="AY80" s="80"/>
      <c r="AZ80" s="68"/>
      <c r="BA80" s="77" t="str">
        <f>IF(BF80="","",WORKDAY.INTL(BF80,BD80*-1,1,Holidays[Date]))</f>
        <v/>
      </c>
      <c r="BB80" s="77" t="str">
        <f ca="1">IFERROR(IF(BC80="",WORKDAY.INTL(AW80,AZ80,1,Holidays[Date]),BC80),"")</f>
        <v/>
      </c>
      <c r="BC80" s="78"/>
      <c r="BD80" s="80"/>
      <c r="BE80" s="68"/>
      <c r="BF80" s="77" t="str">
        <f>IF(BK80="","",WORKDAY.INTL(BK80,BI80*-1,1,Holidays[Date]))</f>
        <v/>
      </c>
      <c r="BG80" s="77" t="str">
        <f ca="1">IFERROR(IF(BH80="",WORKDAY.INTL(BB80,BE80,1,Holidays[Date]),BH80),"")</f>
        <v/>
      </c>
      <c r="BH80" s="78"/>
      <c r="BI80" s="80"/>
      <c r="BJ80" s="68"/>
      <c r="BK80" s="77" t="str">
        <f>IF(BP80="","",WORKDAY.INTL(BP80,BN80*-1,1,Holidays[Date]))</f>
        <v/>
      </c>
      <c r="BL80" s="77" t="str">
        <f ca="1">IFERROR(IF(BM80="",WORKDAY.INTL(BG80,BJ80,1,Holidays[Date]),BM80),"")</f>
        <v/>
      </c>
      <c r="BM80" s="78"/>
      <c r="BN80" s="80"/>
      <c r="BO80" s="68"/>
      <c r="BP80" s="77" t="str">
        <f>IF(BU80="","",WORKDAY.INTL(BU80,BS80*-1,1,Holidays[Date]))</f>
        <v/>
      </c>
      <c r="BQ80" s="77" t="str">
        <f ca="1">IFERROR(IF(BR80="",WORKDAY.INTL(BL80,BO80,1,Holidays[Date]),BR80),"")</f>
        <v/>
      </c>
      <c r="BR80" s="78"/>
      <c r="BS80" s="80"/>
      <c r="BT80" s="68"/>
      <c r="BU80" s="77" t="str">
        <f>IF(BZ80="","",WORKDAY.INTL(BZ80,BX80*-1,1,Holidays[Date]))</f>
        <v/>
      </c>
      <c r="BV80" s="77" t="str">
        <f ca="1">IFERROR(IF(BW80="",WORKDAY.INTL(BQ80,BT80,1,Holidays[Date]),BW80),"")</f>
        <v/>
      </c>
      <c r="BW80" s="78"/>
      <c r="BX80" s="80"/>
      <c r="BY80" s="68"/>
      <c r="BZ80" s="81"/>
      <c r="CA80" s="77" t="str">
        <f ca="1">IFERROR(IF(CB80="",WORKDAY.INTL(BV80,BY80,1,Holidays[Date]),CB80),"")</f>
        <v/>
      </c>
      <c r="CB80" s="78"/>
    </row>
    <row r="81" spans="1:80" ht="19" customHeight="1" x14ac:dyDescent="0.35">
      <c r="A81" s="31"/>
      <c r="B81" s="82"/>
      <c r="C81" s="1"/>
      <c r="D81" s="8"/>
      <c r="E81" s="8"/>
      <c r="F81" s="8"/>
      <c r="G81" s="8"/>
      <c r="H81" s="8"/>
      <c r="I81" s="9"/>
      <c r="J81" s="8"/>
      <c r="K81" s="8"/>
      <c r="L81" s="8"/>
      <c r="M81" s="8"/>
      <c r="N81" s="8"/>
      <c r="O81" s="8"/>
      <c r="P81" s="8"/>
      <c r="Q81" s="2"/>
      <c r="R81" s="2"/>
      <c r="S81" s="88" t="str">
        <f>IF(tblProcRegister[[#This Row],[Award]]&lt;&gt;"",tblProcRegister[[#This Row],[Budget]]-tblProcRegister[[#This Row],[Award]],"")</f>
        <v/>
      </c>
      <c r="T81" s="68"/>
      <c r="U81" s="68"/>
      <c r="V81" s="68"/>
      <c r="W81" s="77" t="str">
        <f>IF(AB81="","",WORKDAY.INTL(AB81,Z81*-1,1,Holidays[Date]))</f>
        <v/>
      </c>
      <c r="X81" s="77" t="str">
        <f t="shared" ca="1" si="1"/>
        <v/>
      </c>
      <c r="Y81" s="78"/>
      <c r="Z81" s="79"/>
      <c r="AA81" s="68"/>
      <c r="AB81" s="77" t="str">
        <f>IF(AG81="","",WORKDAY.INTL(AG81,AE81*-1,1,Holidays[Date]))</f>
        <v/>
      </c>
      <c r="AC81" s="77" t="str">
        <f ca="1">IFERROR(IF(AD81="",WORKDAY.INTL(X81,AA81,1,Holidays[Date]),AD81),"")</f>
        <v/>
      </c>
      <c r="AD81" s="78"/>
      <c r="AE81" s="80"/>
      <c r="AF81" s="68"/>
      <c r="AG81" s="77" t="str">
        <f>IF(AL81="","",WORKDAY.INTL(AL81,AJ81*-1,1,Holidays[Date]))</f>
        <v/>
      </c>
      <c r="AH81" s="77" t="str">
        <f ca="1">IFERROR(IF(AI81="",WORKDAY.INTL(AC81,AF81,1,Holidays[Date]),AI81),"")</f>
        <v/>
      </c>
      <c r="AI81" s="78"/>
      <c r="AJ81" s="80"/>
      <c r="AK81" s="68"/>
      <c r="AL81" s="77" t="str">
        <f>IF(AQ81="","",WORKDAY.INTL(AQ81,AO81*-1,1,Holidays[Date]))</f>
        <v/>
      </c>
      <c r="AM81" s="77" t="str">
        <f ca="1">IFERROR(IF(AN81="",WORKDAY.INTL(AH81,AK81,1,Holidays[Date]),AN81),"")</f>
        <v/>
      </c>
      <c r="AN81" s="78"/>
      <c r="AO81" s="80"/>
      <c r="AP81" s="68"/>
      <c r="AQ81" s="77" t="str">
        <f>IF(AV81="","",WORKDAY.INTL(AV81,AT81*-1,1,Holidays[Date]))</f>
        <v/>
      </c>
      <c r="AR81" s="77" t="str">
        <f ca="1">IFERROR(IF(AS81="",WORKDAY.INTL(AM81,AP81,1,Holidays[Date]),AS81),"")</f>
        <v/>
      </c>
      <c r="AS81" s="78"/>
      <c r="AT81" s="80"/>
      <c r="AU81" s="68"/>
      <c r="AV81" s="77" t="str">
        <f>IF(BA81="","",WORKDAY.INTL(BA81,AY81*-1,1,Holidays[Date]))</f>
        <v/>
      </c>
      <c r="AW81" s="77" t="str">
        <f ca="1">IFERROR(IF(AX81="",WORKDAY.INTL(AR81,AU81,1,Holidays[Date]),AX81),"")</f>
        <v/>
      </c>
      <c r="AX81" s="78"/>
      <c r="AY81" s="80"/>
      <c r="AZ81" s="68"/>
      <c r="BA81" s="77" t="str">
        <f>IF(BF81="","",WORKDAY.INTL(BF81,BD81*-1,1,Holidays[Date]))</f>
        <v/>
      </c>
      <c r="BB81" s="77" t="str">
        <f ca="1">IFERROR(IF(BC81="",WORKDAY.INTL(AW81,AZ81,1,Holidays[Date]),BC81),"")</f>
        <v/>
      </c>
      <c r="BC81" s="78"/>
      <c r="BD81" s="80"/>
      <c r="BE81" s="68"/>
      <c r="BF81" s="77" t="str">
        <f>IF(BK81="","",WORKDAY.INTL(BK81,BI81*-1,1,Holidays[Date]))</f>
        <v/>
      </c>
      <c r="BG81" s="77" t="str">
        <f ca="1">IFERROR(IF(BH81="",WORKDAY.INTL(BB81,BE81,1,Holidays[Date]),BH81),"")</f>
        <v/>
      </c>
      <c r="BH81" s="78"/>
      <c r="BI81" s="80"/>
      <c r="BJ81" s="68"/>
      <c r="BK81" s="77" t="str">
        <f>IF(BP81="","",WORKDAY.INTL(BP81,BN81*-1,1,Holidays[Date]))</f>
        <v/>
      </c>
      <c r="BL81" s="77" t="str">
        <f ca="1">IFERROR(IF(BM81="",WORKDAY.INTL(BG81,BJ81,1,Holidays[Date]),BM81),"")</f>
        <v/>
      </c>
      <c r="BM81" s="78"/>
      <c r="BN81" s="80"/>
      <c r="BO81" s="68"/>
      <c r="BP81" s="77" t="str">
        <f>IF(BU81="","",WORKDAY.INTL(BU81,BS81*-1,1,Holidays[Date]))</f>
        <v/>
      </c>
      <c r="BQ81" s="77" t="str">
        <f ca="1">IFERROR(IF(BR81="",WORKDAY.INTL(BL81,BO81,1,Holidays[Date]),BR81),"")</f>
        <v/>
      </c>
      <c r="BR81" s="78"/>
      <c r="BS81" s="80"/>
      <c r="BT81" s="68"/>
      <c r="BU81" s="77" t="str">
        <f>IF(BZ81="","",WORKDAY.INTL(BZ81,BX81*-1,1,Holidays[Date]))</f>
        <v/>
      </c>
      <c r="BV81" s="77" t="str">
        <f ca="1">IFERROR(IF(BW81="",WORKDAY.INTL(BQ81,BT81,1,Holidays[Date]),BW81),"")</f>
        <v/>
      </c>
      <c r="BW81" s="78"/>
      <c r="BX81" s="80"/>
      <c r="BY81" s="68"/>
      <c r="BZ81" s="81"/>
      <c r="CA81" s="77" t="str">
        <f ca="1">IFERROR(IF(CB81="",WORKDAY.INTL(BV81,BY81,1,Holidays[Date]),CB81),"")</f>
        <v/>
      </c>
      <c r="CB81" s="78"/>
    </row>
    <row r="82" spans="1:80" ht="19" customHeight="1" x14ac:dyDescent="0.35">
      <c r="A82" s="31"/>
      <c r="B82" s="82"/>
      <c r="C82" s="1"/>
      <c r="D82" s="8"/>
      <c r="E82" s="8"/>
      <c r="F82" s="8"/>
      <c r="G82" s="8"/>
      <c r="H82" s="8"/>
      <c r="I82" s="9"/>
      <c r="J82" s="8"/>
      <c r="K82" s="8"/>
      <c r="L82" s="8"/>
      <c r="M82" s="8"/>
      <c r="N82" s="8"/>
      <c r="O82" s="8"/>
      <c r="P82" s="8"/>
      <c r="Q82" s="2"/>
      <c r="R82" s="2"/>
      <c r="S82" s="88" t="str">
        <f>IF(tblProcRegister[[#This Row],[Award]]&lt;&gt;"",tblProcRegister[[#This Row],[Budget]]-tblProcRegister[[#This Row],[Award]],"")</f>
        <v/>
      </c>
      <c r="T82" s="68"/>
      <c r="U82" s="68"/>
      <c r="V82" s="68"/>
      <c r="W82" s="77" t="str">
        <f>IF(AB82="","",WORKDAY.INTL(AB82,Z82*-1,1,Holidays[Date]))</f>
        <v/>
      </c>
      <c r="X82" s="77" t="str">
        <f t="shared" ca="1" si="1"/>
        <v/>
      </c>
      <c r="Y82" s="78"/>
      <c r="Z82" s="79"/>
      <c r="AA82" s="68"/>
      <c r="AB82" s="77" t="str">
        <f>IF(AG82="","",WORKDAY.INTL(AG82,AE82*-1,1,Holidays[Date]))</f>
        <v/>
      </c>
      <c r="AC82" s="77" t="str">
        <f ca="1">IFERROR(IF(AD82="",WORKDAY.INTL(X82,AA82,1,Holidays[Date]),AD82),"")</f>
        <v/>
      </c>
      <c r="AD82" s="78"/>
      <c r="AE82" s="80"/>
      <c r="AF82" s="68"/>
      <c r="AG82" s="77" t="str">
        <f>IF(AL82="","",WORKDAY.INTL(AL82,AJ82*-1,1,Holidays[Date]))</f>
        <v/>
      </c>
      <c r="AH82" s="77" t="str">
        <f ca="1">IFERROR(IF(AI82="",WORKDAY.INTL(AC82,AF82,1,Holidays[Date]),AI82),"")</f>
        <v/>
      </c>
      <c r="AI82" s="78"/>
      <c r="AJ82" s="80"/>
      <c r="AK82" s="68"/>
      <c r="AL82" s="77" t="str">
        <f>IF(AQ82="","",WORKDAY.INTL(AQ82,AO82*-1,1,Holidays[Date]))</f>
        <v/>
      </c>
      <c r="AM82" s="77" t="str">
        <f ca="1">IFERROR(IF(AN82="",WORKDAY.INTL(AH82,AK82,1,Holidays[Date]),AN82),"")</f>
        <v/>
      </c>
      <c r="AN82" s="78"/>
      <c r="AO82" s="80"/>
      <c r="AP82" s="68"/>
      <c r="AQ82" s="77" t="str">
        <f>IF(AV82="","",WORKDAY.INTL(AV82,AT82*-1,1,Holidays[Date]))</f>
        <v/>
      </c>
      <c r="AR82" s="77" t="str">
        <f ca="1">IFERROR(IF(AS82="",WORKDAY.INTL(AM82,AP82,1,Holidays[Date]),AS82),"")</f>
        <v/>
      </c>
      <c r="AS82" s="78"/>
      <c r="AT82" s="80"/>
      <c r="AU82" s="68"/>
      <c r="AV82" s="77" t="str">
        <f>IF(BA82="","",WORKDAY.INTL(BA82,AY82*-1,1,Holidays[Date]))</f>
        <v/>
      </c>
      <c r="AW82" s="77" t="str">
        <f ca="1">IFERROR(IF(AX82="",WORKDAY.INTL(AR82,AU82,1,Holidays[Date]),AX82),"")</f>
        <v/>
      </c>
      <c r="AX82" s="78"/>
      <c r="AY82" s="80"/>
      <c r="AZ82" s="68"/>
      <c r="BA82" s="77" t="str">
        <f>IF(BF82="","",WORKDAY.INTL(BF82,BD82*-1,1,Holidays[Date]))</f>
        <v/>
      </c>
      <c r="BB82" s="77" t="str">
        <f ca="1">IFERROR(IF(BC82="",WORKDAY.INTL(AW82,AZ82,1,Holidays[Date]),BC82),"")</f>
        <v/>
      </c>
      <c r="BC82" s="78"/>
      <c r="BD82" s="80"/>
      <c r="BE82" s="68"/>
      <c r="BF82" s="77" t="str">
        <f>IF(BK82="","",WORKDAY.INTL(BK82,BI82*-1,1,Holidays[Date]))</f>
        <v/>
      </c>
      <c r="BG82" s="77" t="str">
        <f ca="1">IFERROR(IF(BH82="",WORKDAY.INTL(BB82,BE82,1,Holidays[Date]),BH82),"")</f>
        <v/>
      </c>
      <c r="BH82" s="78"/>
      <c r="BI82" s="80"/>
      <c r="BJ82" s="68"/>
      <c r="BK82" s="77" t="str">
        <f>IF(BP82="","",WORKDAY.INTL(BP82,BN82*-1,1,Holidays[Date]))</f>
        <v/>
      </c>
      <c r="BL82" s="77" t="str">
        <f ca="1">IFERROR(IF(BM82="",WORKDAY.INTL(BG82,BJ82,1,Holidays[Date]),BM82),"")</f>
        <v/>
      </c>
      <c r="BM82" s="78"/>
      <c r="BN82" s="80"/>
      <c r="BO82" s="68"/>
      <c r="BP82" s="77" t="str">
        <f>IF(BU82="","",WORKDAY.INTL(BU82,BS82*-1,1,Holidays[Date]))</f>
        <v/>
      </c>
      <c r="BQ82" s="77" t="str">
        <f ca="1">IFERROR(IF(BR82="",WORKDAY.INTL(BL82,BO82,1,Holidays[Date]),BR82),"")</f>
        <v/>
      </c>
      <c r="BR82" s="78"/>
      <c r="BS82" s="80"/>
      <c r="BT82" s="68"/>
      <c r="BU82" s="77" t="str">
        <f>IF(BZ82="","",WORKDAY.INTL(BZ82,BX82*-1,1,Holidays[Date]))</f>
        <v/>
      </c>
      <c r="BV82" s="77" t="str">
        <f ca="1">IFERROR(IF(BW82="",WORKDAY.INTL(BQ82,BT82,1,Holidays[Date]),BW82),"")</f>
        <v/>
      </c>
      <c r="BW82" s="78"/>
      <c r="BX82" s="80"/>
      <c r="BY82" s="68"/>
      <c r="BZ82" s="81"/>
      <c r="CA82" s="77" t="str">
        <f ca="1">IFERROR(IF(CB82="",WORKDAY.INTL(BV82,BY82,1,Holidays[Date]),CB82),"")</f>
        <v/>
      </c>
      <c r="CB82" s="78"/>
    </row>
    <row r="83" spans="1:80" ht="19" customHeight="1" x14ac:dyDescent="0.35">
      <c r="A83" s="31"/>
      <c r="B83" s="82"/>
      <c r="C83" s="1"/>
      <c r="D83" s="8"/>
      <c r="E83" s="8"/>
      <c r="F83" s="8"/>
      <c r="G83" s="8"/>
      <c r="H83" s="8"/>
      <c r="I83" s="9"/>
      <c r="J83" s="8"/>
      <c r="K83" s="8"/>
      <c r="L83" s="8"/>
      <c r="M83" s="8"/>
      <c r="N83" s="8"/>
      <c r="O83" s="8"/>
      <c r="P83" s="8"/>
      <c r="Q83" s="2"/>
      <c r="R83" s="2"/>
      <c r="S83" s="88" t="str">
        <f>IF(tblProcRegister[[#This Row],[Award]]&lt;&gt;"",tblProcRegister[[#This Row],[Budget]]-tblProcRegister[[#This Row],[Award]],"")</f>
        <v/>
      </c>
      <c r="T83" s="68"/>
      <c r="U83" s="68"/>
      <c r="V83" s="68"/>
      <c r="W83" s="77" t="str">
        <f>IF(AB83="","",WORKDAY.INTL(AB83,Z83*-1,1,Holidays[Date]))</f>
        <v/>
      </c>
      <c r="X83" s="77" t="str">
        <f t="shared" ca="1" si="1"/>
        <v/>
      </c>
      <c r="Y83" s="78"/>
      <c r="Z83" s="79"/>
      <c r="AA83" s="68"/>
      <c r="AB83" s="77" t="str">
        <f>IF(AG83="","",WORKDAY.INTL(AG83,AE83*-1,1,Holidays[Date]))</f>
        <v/>
      </c>
      <c r="AC83" s="77" t="str">
        <f ca="1">IFERROR(IF(AD83="",WORKDAY.INTL(X83,AA83,1,Holidays[Date]),AD83),"")</f>
        <v/>
      </c>
      <c r="AD83" s="78"/>
      <c r="AE83" s="80"/>
      <c r="AF83" s="68"/>
      <c r="AG83" s="77" t="str">
        <f>IF(AL83="","",WORKDAY.INTL(AL83,AJ83*-1,1,Holidays[Date]))</f>
        <v/>
      </c>
      <c r="AH83" s="77" t="str">
        <f ca="1">IFERROR(IF(AI83="",WORKDAY.INTL(AC83,AF83,1,Holidays[Date]),AI83),"")</f>
        <v/>
      </c>
      <c r="AI83" s="78"/>
      <c r="AJ83" s="80"/>
      <c r="AK83" s="68"/>
      <c r="AL83" s="77" t="str">
        <f>IF(AQ83="","",WORKDAY.INTL(AQ83,AO83*-1,1,Holidays[Date]))</f>
        <v/>
      </c>
      <c r="AM83" s="77" t="str">
        <f ca="1">IFERROR(IF(AN83="",WORKDAY.INTL(AH83,AK83,1,Holidays[Date]),AN83),"")</f>
        <v/>
      </c>
      <c r="AN83" s="78"/>
      <c r="AO83" s="80"/>
      <c r="AP83" s="68"/>
      <c r="AQ83" s="77" t="str">
        <f>IF(AV83="","",WORKDAY.INTL(AV83,AT83*-1,1,Holidays[Date]))</f>
        <v/>
      </c>
      <c r="AR83" s="77" t="str">
        <f ca="1">IFERROR(IF(AS83="",WORKDAY.INTL(AM83,AP83,1,Holidays[Date]),AS83),"")</f>
        <v/>
      </c>
      <c r="AS83" s="78"/>
      <c r="AT83" s="80"/>
      <c r="AU83" s="68"/>
      <c r="AV83" s="77" t="str">
        <f>IF(BA83="","",WORKDAY.INTL(BA83,AY83*-1,1,Holidays[Date]))</f>
        <v/>
      </c>
      <c r="AW83" s="77" t="str">
        <f ca="1">IFERROR(IF(AX83="",WORKDAY.INTL(AR83,AU83,1,Holidays[Date]),AX83),"")</f>
        <v/>
      </c>
      <c r="AX83" s="78"/>
      <c r="AY83" s="80"/>
      <c r="AZ83" s="68"/>
      <c r="BA83" s="77" t="str">
        <f>IF(BF83="","",WORKDAY.INTL(BF83,BD83*-1,1,Holidays[Date]))</f>
        <v/>
      </c>
      <c r="BB83" s="77" t="str">
        <f ca="1">IFERROR(IF(BC83="",WORKDAY.INTL(AW83,AZ83,1,Holidays[Date]),BC83),"")</f>
        <v/>
      </c>
      <c r="BC83" s="78"/>
      <c r="BD83" s="80"/>
      <c r="BE83" s="68"/>
      <c r="BF83" s="77" t="str">
        <f>IF(BK83="","",WORKDAY.INTL(BK83,BI83*-1,1,Holidays[Date]))</f>
        <v/>
      </c>
      <c r="BG83" s="77" t="str">
        <f ca="1">IFERROR(IF(BH83="",WORKDAY.INTL(BB83,BE83,1,Holidays[Date]),BH83),"")</f>
        <v/>
      </c>
      <c r="BH83" s="78"/>
      <c r="BI83" s="80"/>
      <c r="BJ83" s="68"/>
      <c r="BK83" s="77" t="str">
        <f>IF(BP83="","",WORKDAY.INTL(BP83,BN83*-1,1,Holidays[Date]))</f>
        <v/>
      </c>
      <c r="BL83" s="77" t="str">
        <f ca="1">IFERROR(IF(BM83="",WORKDAY.INTL(BG83,BJ83,1,Holidays[Date]),BM83),"")</f>
        <v/>
      </c>
      <c r="BM83" s="78"/>
      <c r="BN83" s="80"/>
      <c r="BO83" s="68"/>
      <c r="BP83" s="77" t="str">
        <f>IF(BU83="","",WORKDAY.INTL(BU83,BS83*-1,1,Holidays[Date]))</f>
        <v/>
      </c>
      <c r="BQ83" s="77" t="str">
        <f ca="1">IFERROR(IF(BR83="",WORKDAY.INTL(BL83,BO83,1,Holidays[Date]),BR83),"")</f>
        <v/>
      </c>
      <c r="BR83" s="78"/>
      <c r="BS83" s="80"/>
      <c r="BT83" s="68"/>
      <c r="BU83" s="77" t="str">
        <f>IF(BZ83="","",WORKDAY.INTL(BZ83,BX83*-1,1,Holidays[Date]))</f>
        <v/>
      </c>
      <c r="BV83" s="77" t="str">
        <f ca="1">IFERROR(IF(BW83="",WORKDAY.INTL(BQ83,BT83,1,Holidays[Date]),BW83),"")</f>
        <v/>
      </c>
      <c r="BW83" s="78"/>
      <c r="BX83" s="80"/>
      <c r="BY83" s="68"/>
      <c r="BZ83" s="81"/>
      <c r="CA83" s="77" t="str">
        <f ca="1">IFERROR(IF(CB83="",WORKDAY.INTL(BV83,BY83,1,Holidays[Date]),CB83),"")</f>
        <v/>
      </c>
      <c r="CB83" s="78"/>
    </row>
    <row r="84" spans="1:80" ht="19" customHeight="1" x14ac:dyDescent="0.35">
      <c r="A84" s="31"/>
      <c r="B84" s="82"/>
      <c r="C84" s="1"/>
      <c r="D84" s="8"/>
      <c r="E84" s="8"/>
      <c r="F84" s="8"/>
      <c r="G84" s="8"/>
      <c r="H84" s="8"/>
      <c r="I84" s="9"/>
      <c r="J84" s="8"/>
      <c r="K84" s="8"/>
      <c r="L84" s="8"/>
      <c r="M84" s="8"/>
      <c r="N84" s="8"/>
      <c r="O84" s="8"/>
      <c r="P84" s="8"/>
      <c r="Q84" s="2"/>
      <c r="R84" s="2"/>
      <c r="S84" s="88" t="str">
        <f>IF(tblProcRegister[[#This Row],[Award]]&lt;&gt;"",tblProcRegister[[#This Row],[Budget]]-tblProcRegister[[#This Row],[Award]],"")</f>
        <v/>
      </c>
      <c r="T84" s="68"/>
      <c r="U84" s="68"/>
      <c r="V84" s="68"/>
      <c r="W84" s="77" t="str">
        <f>IF(AB84="","",WORKDAY.INTL(AB84,Z84*-1,1,Holidays[Date]))</f>
        <v/>
      </c>
      <c r="X84" s="77" t="str">
        <f t="shared" ca="1" si="1"/>
        <v/>
      </c>
      <c r="Y84" s="78"/>
      <c r="Z84" s="79"/>
      <c r="AA84" s="68"/>
      <c r="AB84" s="77" t="str">
        <f>IF(AG84="","",WORKDAY.INTL(AG84,AE84*-1,1,Holidays[Date]))</f>
        <v/>
      </c>
      <c r="AC84" s="77" t="str">
        <f ca="1">IFERROR(IF(AD84="",WORKDAY.INTL(X84,AA84,1,Holidays[Date]),AD84),"")</f>
        <v/>
      </c>
      <c r="AD84" s="78"/>
      <c r="AE84" s="80"/>
      <c r="AF84" s="68"/>
      <c r="AG84" s="77" t="str">
        <f>IF(AL84="","",WORKDAY.INTL(AL84,AJ84*-1,1,Holidays[Date]))</f>
        <v/>
      </c>
      <c r="AH84" s="77" t="str">
        <f ca="1">IFERROR(IF(AI84="",WORKDAY.INTL(AC84,AF84,1,Holidays[Date]),AI84),"")</f>
        <v/>
      </c>
      <c r="AI84" s="78"/>
      <c r="AJ84" s="80"/>
      <c r="AK84" s="68"/>
      <c r="AL84" s="77" t="str">
        <f>IF(AQ84="","",WORKDAY.INTL(AQ84,AO84*-1,1,Holidays[Date]))</f>
        <v/>
      </c>
      <c r="AM84" s="77" t="str">
        <f ca="1">IFERROR(IF(AN84="",WORKDAY.INTL(AH84,AK84,1,Holidays[Date]),AN84),"")</f>
        <v/>
      </c>
      <c r="AN84" s="78"/>
      <c r="AO84" s="80"/>
      <c r="AP84" s="68"/>
      <c r="AQ84" s="77" t="str">
        <f>IF(AV84="","",WORKDAY.INTL(AV84,AT84*-1,1,Holidays[Date]))</f>
        <v/>
      </c>
      <c r="AR84" s="77" t="str">
        <f ca="1">IFERROR(IF(AS84="",WORKDAY.INTL(AM84,AP84,1,Holidays[Date]),AS84),"")</f>
        <v/>
      </c>
      <c r="AS84" s="78"/>
      <c r="AT84" s="80"/>
      <c r="AU84" s="68"/>
      <c r="AV84" s="77" t="str">
        <f>IF(BA84="","",WORKDAY.INTL(BA84,AY84*-1,1,Holidays[Date]))</f>
        <v/>
      </c>
      <c r="AW84" s="77" t="str">
        <f ca="1">IFERROR(IF(AX84="",WORKDAY.INTL(AR84,AU84,1,Holidays[Date]),AX84),"")</f>
        <v/>
      </c>
      <c r="AX84" s="78"/>
      <c r="AY84" s="80"/>
      <c r="AZ84" s="68"/>
      <c r="BA84" s="77" t="str">
        <f>IF(BF84="","",WORKDAY.INTL(BF84,BD84*-1,1,Holidays[Date]))</f>
        <v/>
      </c>
      <c r="BB84" s="77" t="str">
        <f ca="1">IFERROR(IF(BC84="",WORKDAY.INTL(AW84,AZ84,1,Holidays[Date]),BC84),"")</f>
        <v/>
      </c>
      <c r="BC84" s="78"/>
      <c r="BD84" s="80"/>
      <c r="BE84" s="68"/>
      <c r="BF84" s="77" t="str">
        <f>IF(BK84="","",WORKDAY.INTL(BK84,BI84*-1,1,Holidays[Date]))</f>
        <v/>
      </c>
      <c r="BG84" s="77" t="str">
        <f ca="1">IFERROR(IF(BH84="",WORKDAY.INTL(BB84,BE84,1,Holidays[Date]),BH84),"")</f>
        <v/>
      </c>
      <c r="BH84" s="78"/>
      <c r="BI84" s="80"/>
      <c r="BJ84" s="68"/>
      <c r="BK84" s="77" t="str">
        <f>IF(BP84="","",WORKDAY.INTL(BP84,BN84*-1,1,Holidays[Date]))</f>
        <v/>
      </c>
      <c r="BL84" s="77" t="str">
        <f ca="1">IFERROR(IF(BM84="",WORKDAY.INTL(BG84,BJ84,1,Holidays[Date]),BM84),"")</f>
        <v/>
      </c>
      <c r="BM84" s="78"/>
      <c r="BN84" s="80"/>
      <c r="BO84" s="68"/>
      <c r="BP84" s="77" t="str">
        <f>IF(BU84="","",WORKDAY.INTL(BU84,BS84*-1,1,Holidays[Date]))</f>
        <v/>
      </c>
      <c r="BQ84" s="77" t="str">
        <f ca="1">IFERROR(IF(BR84="",WORKDAY.INTL(BL84,BO84,1,Holidays[Date]),BR84),"")</f>
        <v/>
      </c>
      <c r="BR84" s="78"/>
      <c r="BS84" s="80"/>
      <c r="BT84" s="68"/>
      <c r="BU84" s="77" t="str">
        <f>IF(BZ84="","",WORKDAY.INTL(BZ84,BX84*-1,1,Holidays[Date]))</f>
        <v/>
      </c>
      <c r="BV84" s="77" t="str">
        <f ca="1">IFERROR(IF(BW84="",WORKDAY.INTL(BQ84,BT84,1,Holidays[Date]),BW84),"")</f>
        <v/>
      </c>
      <c r="BW84" s="78"/>
      <c r="BX84" s="80"/>
      <c r="BY84" s="68"/>
      <c r="BZ84" s="81"/>
      <c r="CA84" s="77" t="str">
        <f ca="1">IFERROR(IF(CB84="",WORKDAY.INTL(BV84,BY84,1,Holidays[Date]),CB84),"")</f>
        <v/>
      </c>
      <c r="CB84" s="78"/>
    </row>
    <row r="85" spans="1:80" ht="19" customHeight="1" x14ac:dyDescent="0.35">
      <c r="A85" s="31"/>
      <c r="B85" s="82"/>
      <c r="C85" s="1"/>
      <c r="D85" s="8"/>
      <c r="E85" s="8"/>
      <c r="F85" s="8"/>
      <c r="G85" s="8"/>
      <c r="H85" s="8"/>
      <c r="I85" s="9"/>
      <c r="J85" s="8"/>
      <c r="K85" s="8"/>
      <c r="L85" s="8"/>
      <c r="M85" s="8"/>
      <c r="N85" s="8"/>
      <c r="O85" s="8"/>
      <c r="P85" s="8"/>
      <c r="Q85" s="2"/>
      <c r="R85" s="2"/>
      <c r="S85" s="88" t="str">
        <f>IF(tblProcRegister[[#This Row],[Award]]&lt;&gt;"",tblProcRegister[[#This Row],[Budget]]-tblProcRegister[[#This Row],[Award]],"")</f>
        <v/>
      </c>
      <c r="T85" s="68"/>
      <c r="U85" s="68"/>
      <c r="V85" s="68"/>
      <c r="W85" s="77" t="str">
        <f>IF(AB85="","",WORKDAY.INTL(AB85,Z85*-1,1,Holidays[Date]))</f>
        <v/>
      </c>
      <c r="X85" s="77" t="str">
        <f t="shared" ca="1" si="1"/>
        <v/>
      </c>
      <c r="Y85" s="78"/>
      <c r="Z85" s="79"/>
      <c r="AA85" s="68"/>
      <c r="AB85" s="77" t="str">
        <f>IF(AG85="","",WORKDAY.INTL(AG85,AE85*-1,1,Holidays[Date]))</f>
        <v/>
      </c>
      <c r="AC85" s="77" t="str">
        <f ca="1">IFERROR(IF(AD85="",WORKDAY.INTL(X85,AA85,1,Holidays[Date]),AD85),"")</f>
        <v/>
      </c>
      <c r="AD85" s="78"/>
      <c r="AE85" s="80"/>
      <c r="AF85" s="68"/>
      <c r="AG85" s="77" t="str">
        <f>IF(AL85="","",WORKDAY.INTL(AL85,AJ85*-1,1,Holidays[Date]))</f>
        <v/>
      </c>
      <c r="AH85" s="77" t="str">
        <f ca="1">IFERROR(IF(AI85="",WORKDAY.INTL(AC85,AF85,1,Holidays[Date]),AI85),"")</f>
        <v/>
      </c>
      <c r="AI85" s="78"/>
      <c r="AJ85" s="80"/>
      <c r="AK85" s="68"/>
      <c r="AL85" s="77" t="str">
        <f>IF(AQ85="","",WORKDAY.INTL(AQ85,AO85*-1,1,Holidays[Date]))</f>
        <v/>
      </c>
      <c r="AM85" s="77" t="str">
        <f ca="1">IFERROR(IF(AN85="",WORKDAY.INTL(AH85,AK85,1,Holidays[Date]),AN85),"")</f>
        <v/>
      </c>
      <c r="AN85" s="78"/>
      <c r="AO85" s="80"/>
      <c r="AP85" s="68"/>
      <c r="AQ85" s="77" t="str">
        <f>IF(AV85="","",WORKDAY.INTL(AV85,AT85*-1,1,Holidays[Date]))</f>
        <v/>
      </c>
      <c r="AR85" s="77" t="str">
        <f ca="1">IFERROR(IF(AS85="",WORKDAY.INTL(AM85,AP85,1,Holidays[Date]),AS85),"")</f>
        <v/>
      </c>
      <c r="AS85" s="78"/>
      <c r="AT85" s="80"/>
      <c r="AU85" s="68"/>
      <c r="AV85" s="77" t="str">
        <f>IF(BA85="","",WORKDAY.INTL(BA85,AY85*-1,1,Holidays[Date]))</f>
        <v/>
      </c>
      <c r="AW85" s="77" t="str">
        <f ca="1">IFERROR(IF(AX85="",WORKDAY.INTL(AR85,AU85,1,Holidays[Date]),AX85),"")</f>
        <v/>
      </c>
      <c r="AX85" s="78"/>
      <c r="AY85" s="80"/>
      <c r="AZ85" s="68"/>
      <c r="BA85" s="77" t="str">
        <f>IF(BF85="","",WORKDAY.INTL(BF85,BD85*-1,1,Holidays[Date]))</f>
        <v/>
      </c>
      <c r="BB85" s="77" t="str">
        <f ca="1">IFERROR(IF(BC85="",WORKDAY.INTL(AW85,AZ85,1,Holidays[Date]),BC85),"")</f>
        <v/>
      </c>
      <c r="BC85" s="78"/>
      <c r="BD85" s="80"/>
      <c r="BE85" s="68"/>
      <c r="BF85" s="77" t="str">
        <f>IF(BK85="","",WORKDAY.INTL(BK85,BI85*-1,1,Holidays[Date]))</f>
        <v/>
      </c>
      <c r="BG85" s="77" t="str">
        <f ca="1">IFERROR(IF(BH85="",WORKDAY.INTL(BB85,BE85,1,Holidays[Date]),BH85),"")</f>
        <v/>
      </c>
      <c r="BH85" s="78"/>
      <c r="BI85" s="80"/>
      <c r="BJ85" s="68"/>
      <c r="BK85" s="77" t="str">
        <f>IF(BP85="","",WORKDAY.INTL(BP85,BN85*-1,1,Holidays[Date]))</f>
        <v/>
      </c>
      <c r="BL85" s="77" t="str">
        <f ca="1">IFERROR(IF(BM85="",WORKDAY.INTL(BG85,BJ85,1,Holidays[Date]),BM85),"")</f>
        <v/>
      </c>
      <c r="BM85" s="78"/>
      <c r="BN85" s="80"/>
      <c r="BO85" s="68"/>
      <c r="BP85" s="77" t="str">
        <f>IF(BU85="","",WORKDAY.INTL(BU85,BS85*-1,1,Holidays[Date]))</f>
        <v/>
      </c>
      <c r="BQ85" s="77" t="str">
        <f ca="1">IFERROR(IF(BR85="",WORKDAY.INTL(BL85,BO85,1,Holidays[Date]),BR85),"")</f>
        <v/>
      </c>
      <c r="BR85" s="78"/>
      <c r="BS85" s="80"/>
      <c r="BT85" s="68"/>
      <c r="BU85" s="77" t="str">
        <f>IF(BZ85="","",WORKDAY.INTL(BZ85,BX85*-1,1,Holidays[Date]))</f>
        <v/>
      </c>
      <c r="BV85" s="77" t="str">
        <f ca="1">IFERROR(IF(BW85="",WORKDAY.INTL(BQ85,BT85,1,Holidays[Date]),BW85),"")</f>
        <v/>
      </c>
      <c r="BW85" s="78"/>
      <c r="BX85" s="80"/>
      <c r="BY85" s="68"/>
      <c r="BZ85" s="81"/>
      <c r="CA85" s="77" t="str">
        <f ca="1">IFERROR(IF(CB85="",WORKDAY.INTL(BV85,BY85,1,Holidays[Date]),CB85),"")</f>
        <v/>
      </c>
      <c r="CB85" s="78"/>
    </row>
    <row r="86" spans="1:80" ht="19" customHeight="1" x14ac:dyDescent="0.35">
      <c r="A86" s="31"/>
      <c r="B86" s="82"/>
      <c r="C86" s="1"/>
      <c r="D86" s="8"/>
      <c r="E86" s="8"/>
      <c r="F86" s="8"/>
      <c r="G86" s="8"/>
      <c r="H86" s="8"/>
      <c r="I86" s="9"/>
      <c r="J86" s="8"/>
      <c r="K86" s="8"/>
      <c r="L86" s="8"/>
      <c r="M86" s="8"/>
      <c r="N86" s="8"/>
      <c r="O86" s="8"/>
      <c r="P86" s="8"/>
      <c r="Q86" s="2"/>
      <c r="R86" s="2"/>
      <c r="S86" s="88" t="str">
        <f>IF(tblProcRegister[[#This Row],[Award]]&lt;&gt;"",tblProcRegister[[#This Row],[Budget]]-tblProcRegister[[#This Row],[Award]],"")</f>
        <v/>
      </c>
      <c r="T86" s="68"/>
      <c r="U86" s="68"/>
      <c r="V86" s="68"/>
      <c r="W86" s="77" t="str">
        <f>IF(AB86="","",WORKDAY.INTL(AB86,Z86*-1,1,Holidays[Date]))</f>
        <v/>
      </c>
      <c r="X86" s="77" t="str">
        <f t="shared" ca="1" si="1"/>
        <v/>
      </c>
      <c r="Y86" s="78"/>
      <c r="Z86" s="79"/>
      <c r="AA86" s="68"/>
      <c r="AB86" s="77" t="str">
        <f>IF(AG86="","",WORKDAY.INTL(AG86,AE86*-1,1,Holidays[Date]))</f>
        <v/>
      </c>
      <c r="AC86" s="77" t="str">
        <f ca="1">IFERROR(IF(AD86="",WORKDAY.INTL(X86,AA86,1,Holidays[Date]),AD86),"")</f>
        <v/>
      </c>
      <c r="AD86" s="78"/>
      <c r="AE86" s="80"/>
      <c r="AF86" s="68"/>
      <c r="AG86" s="77" t="str">
        <f>IF(AL86="","",WORKDAY.INTL(AL86,AJ86*-1,1,Holidays[Date]))</f>
        <v/>
      </c>
      <c r="AH86" s="77" t="str">
        <f ca="1">IFERROR(IF(AI86="",WORKDAY.INTL(AC86,AF86,1,Holidays[Date]),AI86),"")</f>
        <v/>
      </c>
      <c r="AI86" s="78"/>
      <c r="AJ86" s="80"/>
      <c r="AK86" s="68"/>
      <c r="AL86" s="77" t="str">
        <f>IF(AQ86="","",WORKDAY.INTL(AQ86,AO86*-1,1,Holidays[Date]))</f>
        <v/>
      </c>
      <c r="AM86" s="77" t="str">
        <f ca="1">IFERROR(IF(AN86="",WORKDAY.INTL(AH86,AK86,1,Holidays[Date]),AN86),"")</f>
        <v/>
      </c>
      <c r="AN86" s="78"/>
      <c r="AO86" s="80"/>
      <c r="AP86" s="68"/>
      <c r="AQ86" s="77" t="str">
        <f>IF(AV86="","",WORKDAY.INTL(AV86,AT86*-1,1,Holidays[Date]))</f>
        <v/>
      </c>
      <c r="AR86" s="77" t="str">
        <f ca="1">IFERROR(IF(AS86="",WORKDAY.INTL(AM86,AP86,1,Holidays[Date]),AS86),"")</f>
        <v/>
      </c>
      <c r="AS86" s="78"/>
      <c r="AT86" s="80"/>
      <c r="AU86" s="68"/>
      <c r="AV86" s="77" t="str">
        <f>IF(BA86="","",WORKDAY.INTL(BA86,AY86*-1,1,Holidays[Date]))</f>
        <v/>
      </c>
      <c r="AW86" s="77" t="str">
        <f ca="1">IFERROR(IF(AX86="",WORKDAY.INTL(AR86,AU86,1,Holidays[Date]),AX86),"")</f>
        <v/>
      </c>
      <c r="AX86" s="78"/>
      <c r="AY86" s="80"/>
      <c r="AZ86" s="68"/>
      <c r="BA86" s="77" t="str">
        <f>IF(BF86="","",WORKDAY.INTL(BF86,BD86*-1,1,Holidays[Date]))</f>
        <v/>
      </c>
      <c r="BB86" s="77" t="str">
        <f ca="1">IFERROR(IF(BC86="",WORKDAY.INTL(AW86,AZ86,1,Holidays[Date]),BC86),"")</f>
        <v/>
      </c>
      <c r="BC86" s="78"/>
      <c r="BD86" s="80"/>
      <c r="BE86" s="68"/>
      <c r="BF86" s="77" t="str">
        <f>IF(BK86="","",WORKDAY.INTL(BK86,BI86*-1,1,Holidays[Date]))</f>
        <v/>
      </c>
      <c r="BG86" s="77" t="str">
        <f ca="1">IFERROR(IF(BH86="",WORKDAY.INTL(BB86,BE86,1,Holidays[Date]),BH86),"")</f>
        <v/>
      </c>
      <c r="BH86" s="78"/>
      <c r="BI86" s="80"/>
      <c r="BJ86" s="68"/>
      <c r="BK86" s="77" t="str">
        <f>IF(BP86="","",WORKDAY.INTL(BP86,BN86*-1,1,Holidays[Date]))</f>
        <v/>
      </c>
      <c r="BL86" s="77" t="str">
        <f ca="1">IFERROR(IF(BM86="",WORKDAY.INTL(BG86,BJ86,1,Holidays[Date]),BM86),"")</f>
        <v/>
      </c>
      <c r="BM86" s="78"/>
      <c r="BN86" s="80"/>
      <c r="BO86" s="68"/>
      <c r="BP86" s="77" t="str">
        <f>IF(BU86="","",WORKDAY.INTL(BU86,BS86*-1,1,Holidays[Date]))</f>
        <v/>
      </c>
      <c r="BQ86" s="77" t="str">
        <f ca="1">IFERROR(IF(BR86="",WORKDAY.INTL(BL86,BO86,1,Holidays[Date]),BR86),"")</f>
        <v/>
      </c>
      <c r="BR86" s="78"/>
      <c r="BS86" s="80"/>
      <c r="BT86" s="68"/>
      <c r="BU86" s="77" t="str">
        <f>IF(BZ86="","",WORKDAY.INTL(BZ86,BX86*-1,1,Holidays[Date]))</f>
        <v/>
      </c>
      <c r="BV86" s="77" t="str">
        <f ca="1">IFERROR(IF(BW86="",WORKDAY.INTL(BQ86,BT86,1,Holidays[Date]),BW86),"")</f>
        <v/>
      </c>
      <c r="BW86" s="78"/>
      <c r="BX86" s="80"/>
      <c r="BY86" s="68"/>
      <c r="BZ86" s="81"/>
      <c r="CA86" s="77" t="str">
        <f ca="1">IFERROR(IF(CB86="",WORKDAY.INTL(BV86,BY86,1,Holidays[Date]),CB86),"")</f>
        <v/>
      </c>
      <c r="CB86" s="78"/>
    </row>
    <row r="87" spans="1:80" ht="19" customHeight="1" x14ac:dyDescent="0.35">
      <c r="A87" s="31"/>
      <c r="B87" s="82"/>
      <c r="C87" s="1"/>
      <c r="D87" s="8"/>
      <c r="E87" s="8"/>
      <c r="F87" s="8"/>
      <c r="G87" s="8"/>
      <c r="H87" s="8"/>
      <c r="I87" s="9"/>
      <c r="J87" s="8"/>
      <c r="K87" s="8"/>
      <c r="L87" s="8"/>
      <c r="M87" s="8"/>
      <c r="N87" s="8"/>
      <c r="O87" s="8"/>
      <c r="P87" s="8"/>
      <c r="Q87" s="2"/>
      <c r="R87" s="2"/>
      <c r="S87" s="88" t="str">
        <f>IF(tblProcRegister[[#This Row],[Award]]&lt;&gt;"",tblProcRegister[[#This Row],[Budget]]-tblProcRegister[[#This Row],[Award]],"")</f>
        <v/>
      </c>
      <c r="T87" s="68"/>
      <c r="U87" s="68"/>
      <c r="V87" s="68"/>
      <c r="W87" s="77" t="str">
        <f>IF(AB87="","",WORKDAY.INTL(AB87,Z87*-1,1,Holidays[Date]))</f>
        <v/>
      </c>
      <c r="X87" s="77" t="str">
        <f t="shared" ca="1" si="1"/>
        <v/>
      </c>
      <c r="Y87" s="78"/>
      <c r="Z87" s="79"/>
      <c r="AA87" s="68"/>
      <c r="AB87" s="77" t="str">
        <f>IF(AG87="","",WORKDAY.INTL(AG87,AE87*-1,1,Holidays[Date]))</f>
        <v/>
      </c>
      <c r="AC87" s="77" t="str">
        <f ca="1">IFERROR(IF(AD87="",WORKDAY.INTL(X87,AA87,1,Holidays[Date]),AD87),"")</f>
        <v/>
      </c>
      <c r="AD87" s="78"/>
      <c r="AE87" s="80"/>
      <c r="AF87" s="68"/>
      <c r="AG87" s="77" t="str">
        <f>IF(AL87="","",WORKDAY.INTL(AL87,AJ87*-1,1,Holidays[Date]))</f>
        <v/>
      </c>
      <c r="AH87" s="77" t="str">
        <f ca="1">IFERROR(IF(AI87="",WORKDAY.INTL(AC87,AF87,1,Holidays[Date]),AI87),"")</f>
        <v/>
      </c>
      <c r="AI87" s="78"/>
      <c r="AJ87" s="80"/>
      <c r="AK87" s="68"/>
      <c r="AL87" s="77" t="str">
        <f>IF(AQ87="","",WORKDAY.INTL(AQ87,AO87*-1,1,Holidays[Date]))</f>
        <v/>
      </c>
      <c r="AM87" s="77" t="str">
        <f ca="1">IFERROR(IF(AN87="",WORKDAY.INTL(AH87,AK87,1,Holidays[Date]),AN87),"")</f>
        <v/>
      </c>
      <c r="AN87" s="78"/>
      <c r="AO87" s="80"/>
      <c r="AP87" s="68"/>
      <c r="AQ87" s="77" t="str">
        <f>IF(AV87="","",WORKDAY.INTL(AV87,AT87*-1,1,Holidays[Date]))</f>
        <v/>
      </c>
      <c r="AR87" s="77" t="str">
        <f ca="1">IFERROR(IF(AS87="",WORKDAY.INTL(AM87,AP87,1,Holidays[Date]),AS87),"")</f>
        <v/>
      </c>
      <c r="AS87" s="78"/>
      <c r="AT87" s="80"/>
      <c r="AU87" s="68"/>
      <c r="AV87" s="77" t="str">
        <f>IF(BA87="","",WORKDAY.INTL(BA87,AY87*-1,1,Holidays[Date]))</f>
        <v/>
      </c>
      <c r="AW87" s="77" t="str">
        <f ca="1">IFERROR(IF(AX87="",WORKDAY.INTL(AR87,AU87,1,Holidays[Date]),AX87),"")</f>
        <v/>
      </c>
      <c r="AX87" s="78"/>
      <c r="AY87" s="80"/>
      <c r="AZ87" s="68"/>
      <c r="BA87" s="77" t="str">
        <f>IF(BF87="","",WORKDAY.INTL(BF87,BD87*-1,1,Holidays[Date]))</f>
        <v/>
      </c>
      <c r="BB87" s="77" t="str">
        <f ca="1">IFERROR(IF(BC87="",WORKDAY.INTL(AW87,AZ87,1,Holidays[Date]),BC87),"")</f>
        <v/>
      </c>
      <c r="BC87" s="78"/>
      <c r="BD87" s="80"/>
      <c r="BE87" s="68"/>
      <c r="BF87" s="77" t="str">
        <f>IF(BK87="","",WORKDAY.INTL(BK87,BI87*-1,1,Holidays[Date]))</f>
        <v/>
      </c>
      <c r="BG87" s="77" t="str">
        <f ca="1">IFERROR(IF(BH87="",WORKDAY.INTL(BB87,BE87,1,Holidays[Date]),BH87),"")</f>
        <v/>
      </c>
      <c r="BH87" s="78"/>
      <c r="BI87" s="80"/>
      <c r="BJ87" s="68"/>
      <c r="BK87" s="77" t="str">
        <f>IF(BP87="","",WORKDAY.INTL(BP87,BN87*-1,1,Holidays[Date]))</f>
        <v/>
      </c>
      <c r="BL87" s="77" t="str">
        <f ca="1">IFERROR(IF(BM87="",WORKDAY.INTL(BG87,BJ87,1,Holidays[Date]),BM87),"")</f>
        <v/>
      </c>
      <c r="BM87" s="78"/>
      <c r="BN87" s="80"/>
      <c r="BO87" s="68"/>
      <c r="BP87" s="77" t="str">
        <f>IF(BU87="","",WORKDAY.INTL(BU87,BS87*-1,1,Holidays[Date]))</f>
        <v/>
      </c>
      <c r="BQ87" s="77" t="str">
        <f ca="1">IFERROR(IF(BR87="",WORKDAY.INTL(BL87,BO87,1,Holidays[Date]),BR87),"")</f>
        <v/>
      </c>
      <c r="BR87" s="78"/>
      <c r="BS87" s="80"/>
      <c r="BT87" s="68"/>
      <c r="BU87" s="77" t="str">
        <f>IF(BZ87="","",WORKDAY.INTL(BZ87,BX87*-1,1,Holidays[Date]))</f>
        <v/>
      </c>
      <c r="BV87" s="77" t="str">
        <f ca="1">IFERROR(IF(BW87="",WORKDAY.INTL(BQ87,BT87,1,Holidays[Date]),BW87),"")</f>
        <v/>
      </c>
      <c r="BW87" s="78"/>
      <c r="BX87" s="80"/>
      <c r="BY87" s="68"/>
      <c r="BZ87" s="81"/>
      <c r="CA87" s="77" t="str">
        <f ca="1">IFERROR(IF(CB87="",WORKDAY.INTL(BV87,BY87,1,Holidays[Date]),CB87),"")</f>
        <v/>
      </c>
      <c r="CB87" s="78"/>
    </row>
    <row r="88" spans="1:80" ht="19" customHeight="1" x14ac:dyDescent="0.35">
      <c r="A88" s="31"/>
      <c r="B88" s="82"/>
      <c r="C88" s="1"/>
      <c r="D88" s="8"/>
      <c r="E88" s="8"/>
      <c r="F88" s="8"/>
      <c r="G88" s="8"/>
      <c r="H88" s="8"/>
      <c r="I88" s="9"/>
      <c r="J88" s="8"/>
      <c r="K88" s="8"/>
      <c r="L88" s="8"/>
      <c r="M88" s="8"/>
      <c r="N88" s="8"/>
      <c r="O88" s="8"/>
      <c r="P88" s="8"/>
      <c r="Q88" s="2"/>
      <c r="R88" s="2"/>
      <c r="S88" s="88" t="str">
        <f>IF(tblProcRegister[[#This Row],[Award]]&lt;&gt;"",tblProcRegister[[#This Row],[Budget]]-tblProcRegister[[#This Row],[Award]],"")</f>
        <v/>
      </c>
      <c r="T88" s="68"/>
      <c r="U88" s="68"/>
      <c r="V88" s="68"/>
      <c r="W88" s="77" t="str">
        <f>IF(AB88="","",WORKDAY.INTL(AB88,Z88*-1,1,Holidays[Date]))</f>
        <v/>
      </c>
      <c r="X88" s="77" t="str">
        <f t="shared" ca="1" si="1"/>
        <v/>
      </c>
      <c r="Y88" s="78"/>
      <c r="Z88" s="79"/>
      <c r="AA88" s="68"/>
      <c r="AB88" s="77" t="str">
        <f>IF(AG88="","",WORKDAY.INTL(AG88,AE88*-1,1,Holidays[Date]))</f>
        <v/>
      </c>
      <c r="AC88" s="77" t="str">
        <f ca="1">IFERROR(IF(AD88="",WORKDAY.INTL(X88,AA88,1,Holidays[Date]),AD88),"")</f>
        <v/>
      </c>
      <c r="AD88" s="78"/>
      <c r="AE88" s="80"/>
      <c r="AF88" s="68"/>
      <c r="AG88" s="77" t="str">
        <f>IF(AL88="","",WORKDAY.INTL(AL88,AJ88*-1,1,Holidays[Date]))</f>
        <v/>
      </c>
      <c r="AH88" s="77" t="str">
        <f ca="1">IFERROR(IF(AI88="",WORKDAY.INTL(AC88,AF88,1,Holidays[Date]),AI88),"")</f>
        <v/>
      </c>
      <c r="AI88" s="78"/>
      <c r="AJ88" s="80"/>
      <c r="AK88" s="68"/>
      <c r="AL88" s="77" t="str">
        <f>IF(AQ88="","",WORKDAY.INTL(AQ88,AO88*-1,1,Holidays[Date]))</f>
        <v/>
      </c>
      <c r="AM88" s="77" t="str">
        <f ca="1">IFERROR(IF(AN88="",WORKDAY.INTL(AH88,AK88,1,Holidays[Date]),AN88),"")</f>
        <v/>
      </c>
      <c r="AN88" s="78"/>
      <c r="AO88" s="80"/>
      <c r="AP88" s="68"/>
      <c r="AQ88" s="77" t="str">
        <f>IF(AV88="","",WORKDAY.INTL(AV88,AT88*-1,1,Holidays[Date]))</f>
        <v/>
      </c>
      <c r="AR88" s="77" t="str">
        <f ca="1">IFERROR(IF(AS88="",WORKDAY.INTL(AM88,AP88,1,Holidays[Date]),AS88),"")</f>
        <v/>
      </c>
      <c r="AS88" s="78"/>
      <c r="AT88" s="80"/>
      <c r="AU88" s="68"/>
      <c r="AV88" s="77" t="str">
        <f>IF(BA88="","",WORKDAY.INTL(BA88,AY88*-1,1,Holidays[Date]))</f>
        <v/>
      </c>
      <c r="AW88" s="77" t="str">
        <f ca="1">IFERROR(IF(AX88="",WORKDAY.INTL(AR88,AU88,1,Holidays[Date]),AX88),"")</f>
        <v/>
      </c>
      <c r="AX88" s="78"/>
      <c r="AY88" s="80"/>
      <c r="AZ88" s="68"/>
      <c r="BA88" s="77" t="str">
        <f>IF(BF88="","",WORKDAY.INTL(BF88,BD88*-1,1,Holidays[Date]))</f>
        <v/>
      </c>
      <c r="BB88" s="77" t="str">
        <f ca="1">IFERROR(IF(BC88="",WORKDAY.INTL(AW88,AZ88,1,Holidays[Date]),BC88),"")</f>
        <v/>
      </c>
      <c r="BC88" s="78"/>
      <c r="BD88" s="80"/>
      <c r="BE88" s="68"/>
      <c r="BF88" s="77" t="str">
        <f>IF(BK88="","",WORKDAY.INTL(BK88,BI88*-1,1,Holidays[Date]))</f>
        <v/>
      </c>
      <c r="BG88" s="77" t="str">
        <f ca="1">IFERROR(IF(BH88="",WORKDAY.INTL(BB88,BE88,1,Holidays[Date]),BH88),"")</f>
        <v/>
      </c>
      <c r="BH88" s="78"/>
      <c r="BI88" s="80"/>
      <c r="BJ88" s="68"/>
      <c r="BK88" s="77" t="str">
        <f>IF(BP88="","",WORKDAY.INTL(BP88,BN88*-1,1,Holidays[Date]))</f>
        <v/>
      </c>
      <c r="BL88" s="77" t="str">
        <f ca="1">IFERROR(IF(BM88="",WORKDAY.INTL(BG88,BJ88,1,Holidays[Date]),BM88),"")</f>
        <v/>
      </c>
      <c r="BM88" s="78"/>
      <c r="BN88" s="80"/>
      <c r="BO88" s="68"/>
      <c r="BP88" s="77" t="str">
        <f>IF(BU88="","",WORKDAY.INTL(BU88,BS88*-1,1,Holidays[Date]))</f>
        <v/>
      </c>
      <c r="BQ88" s="77" t="str">
        <f ca="1">IFERROR(IF(BR88="",WORKDAY.INTL(BL88,BO88,1,Holidays[Date]),BR88),"")</f>
        <v/>
      </c>
      <c r="BR88" s="78"/>
      <c r="BS88" s="80"/>
      <c r="BT88" s="68"/>
      <c r="BU88" s="77" t="str">
        <f>IF(BZ88="","",WORKDAY.INTL(BZ88,BX88*-1,1,Holidays[Date]))</f>
        <v/>
      </c>
      <c r="BV88" s="77" t="str">
        <f ca="1">IFERROR(IF(BW88="",WORKDAY.INTL(BQ88,BT88,1,Holidays[Date]),BW88),"")</f>
        <v/>
      </c>
      <c r="BW88" s="78"/>
      <c r="BX88" s="80"/>
      <c r="BY88" s="68"/>
      <c r="BZ88" s="81"/>
      <c r="CA88" s="77" t="str">
        <f ca="1">IFERROR(IF(CB88="",WORKDAY.INTL(BV88,BY88,1,Holidays[Date]),CB88),"")</f>
        <v/>
      </c>
      <c r="CB88" s="78"/>
    </row>
    <row r="89" spans="1:80" ht="19" customHeight="1" x14ac:dyDescent="0.35">
      <c r="A89" s="31"/>
      <c r="B89" s="82"/>
      <c r="C89" s="1"/>
      <c r="D89" s="8"/>
      <c r="E89" s="8"/>
      <c r="F89" s="8"/>
      <c r="G89" s="8"/>
      <c r="H89" s="8"/>
      <c r="I89" s="9"/>
      <c r="J89" s="8"/>
      <c r="K89" s="8"/>
      <c r="L89" s="8"/>
      <c r="M89" s="8"/>
      <c r="N89" s="8"/>
      <c r="O89" s="8"/>
      <c r="P89" s="8"/>
      <c r="Q89" s="2"/>
      <c r="R89" s="2"/>
      <c r="S89" s="88" t="str">
        <f>IF(tblProcRegister[[#This Row],[Award]]&lt;&gt;"",tblProcRegister[[#This Row],[Budget]]-tblProcRegister[[#This Row],[Award]],"")</f>
        <v/>
      </c>
      <c r="T89" s="68"/>
      <c r="U89" s="68"/>
      <c r="V89" s="68"/>
      <c r="W89" s="77" t="str">
        <f>IF(AB89="","",WORKDAY.INTL(AB89,Z89*-1,1,Holidays[Date]))</f>
        <v/>
      </c>
      <c r="X89" s="77" t="str">
        <f t="shared" ca="1" si="1"/>
        <v/>
      </c>
      <c r="Y89" s="78"/>
      <c r="Z89" s="79"/>
      <c r="AA89" s="68"/>
      <c r="AB89" s="77" t="str">
        <f>IF(AG89="","",WORKDAY.INTL(AG89,AE89*-1,1,Holidays[Date]))</f>
        <v/>
      </c>
      <c r="AC89" s="77" t="str">
        <f ca="1">IFERROR(IF(AD89="",WORKDAY.INTL(X89,AA89,1,Holidays[Date]),AD89),"")</f>
        <v/>
      </c>
      <c r="AD89" s="78"/>
      <c r="AE89" s="80"/>
      <c r="AF89" s="68"/>
      <c r="AG89" s="77" t="str">
        <f>IF(AL89="","",WORKDAY.INTL(AL89,AJ89*-1,1,Holidays[Date]))</f>
        <v/>
      </c>
      <c r="AH89" s="77" t="str">
        <f ca="1">IFERROR(IF(AI89="",WORKDAY.INTL(AC89,AF89,1,Holidays[Date]),AI89),"")</f>
        <v/>
      </c>
      <c r="AI89" s="78"/>
      <c r="AJ89" s="80"/>
      <c r="AK89" s="68"/>
      <c r="AL89" s="77" t="str">
        <f>IF(AQ89="","",WORKDAY.INTL(AQ89,AO89*-1,1,Holidays[Date]))</f>
        <v/>
      </c>
      <c r="AM89" s="77" t="str">
        <f ca="1">IFERROR(IF(AN89="",WORKDAY.INTL(AH89,AK89,1,Holidays[Date]),AN89),"")</f>
        <v/>
      </c>
      <c r="AN89" s="78"/>
      <c r="AO89" s="80"/>
      <c r="AP89" s="68"/>
      <c r="AQ89" s="77" t="str">
        <f>IF(AV89="","",WORKDAY.INTL(AV89,AT89*-1,1,Holidays[Date]))</f>
        <v/>
      </c>
      <c r="AR89" s="77" t="str">
        <f ca="1">IFERROR(IF(AS89="",WORKDAY.INTL(AM89,AP89,1,Holidays[Date]),AS89),"")</f>
        <v/>
      </c>
      <c r="AS89" s="78"/>
      <c r="AT89" s="80"/>
      <c r="AU89" s="68"/>
      <c r="AV89" s="77" t="str">
        <f>IF(BA89="","",WORKDAY.INTL(BA89,AY89*-1,1,Holidays[Date]))</f>
        <v/>
      </c>
      <c r="AW89" s="77" t="str">
        <f ca="1">IFERROR(IF(AX89="",WORKDAY.INTL(AR89,AU89,1,Holidays[Date]),AX89),"")</f>
        <v/>
      </c>
      <c r="AX89" s="78"/>
      <c r="AY89" s="80"/>
      <c r="AZ89" s="68"/>
      <c r="BA89" s="77" t="str">
        <f>IF(BF89="","",WORKDAY.INTL(BF89,BD89*-1,1,Holidays[Date]))</f>
        <v/>
      </c>
      <c r="BB89" s="77" t="str">
        <f ca="1">IFERROR(IF(BC89="",WORKDAY.INTL(AW89,AZ89,1,Holidays[Date]),BC89),"")</f>
        <v/>
      </c>
      <c r="BC89" s="78"/>
      <c r="BD89" s="80"/>
      <c r="BE89" s="68"/>
      <c r="BF89" s="77" t="str">
        <f>IF(BK89="","",WORKDAY.INTL(BK89,BI89*-1,1,Holidays[Date]))</f>
        <v/>
      </c>
      <c r="BG89" s="77" t="str">
        <f ca="1">IFERROR(IF(BH89="",WORKDAY.INTL(BB89,BE89,1,Holidays[Date]),BH89),"")</f>
        <v/>
      </c>
      <c r="BH89" s="78"/>
      <c r="BI89" s="80"/>
      <c r="BJ89" s="68"/>
      <c r="BK89" s="77" t="str">
        <f>IF(BP89="","",WORKDAY.INTL(BP89,BN89*-1,1,Holidays[Date]))</f>
        <v/>
      </c>
      <c r="BL89" s="77" t="str">
        <f ca="1">IFERROR(IF(BM89="",WORKDAY.INTL(BG89,BJ89,1,Holidays[Date]),BM89),"")</f>
        <v/>
      </c>
      <c r="BM89" s="78"/>
      <c r="BN89" s="80"/>
      <c r="BO89" s="68"/>
      <c r="BP89" s="77" t="str">
        <f>IF(BU89="","",WORKDAY.INTL(BU89,BS89*-1,1,Holidays[Date]))</f>
        <v/>
      </c>
      <c r="BQ89" s="77" t="str">
        <f ca="1">IFERROR(IF(BR89="",WORKDAY.INTL(BL89,BO89,1,Holidays[Date]),BR89),"")</f>
        <v/>
      </c>
      <c r="BR89" s="78"/>
      <c r="BS89" s="80"/>
      <c r="BT89" s="68"/>
      <c r="BU89" s="77" t="str">
        <f>IF(BZ89="","",WORKDAY.INTL(BZ89,BX89*-1,1,Holidays[Date]))</f>
        <v/>
      </c>
      <c r="BV89" s="77" t="str">
        <f ca="1">IFERROR(IF(BW89="",WORKDAY.INTL(BQ89,BT89,1,Holidays[Date]),BW89),"")</f>
        <v/>
      </c>
      <c r="BW89" s="78"/>
      <c r="BX89" s="80"/>
      <c r="BY89" s="68"/>
      <c r="BZ89" s="81"/>
      <c r="CA89" s="77" t="str">
        <f ca="1">IFERROR(IF(CB89="",WORKDAY.INTL(BV89,BY89,1,Holidays[Date]),CB89),"")</f>
        <v/>
      </c>
      <c r="CB89" s="78"/>
    </row>
    <row r="90" spans="1:80" ht="19" customHeight="1" x14ac:dyDescent="0.35">
      <c r="A90" s="31"/>
      <c r="B90" s="82"/>
      <c r="C90" s="1"/>
      <c r="D90" s="8"/>
      <c r="E90" s="8"/>
      <c r="F90" s="8"/>
      <c r="G90" s="8"/>
      <c r="H90" s="8"/>
      <c r="I90" s="9"/>
      <c r="J90" s="8"/>
      <c r="K90" s="8"/>
      <c r="L90" s="8"/>
      <c r="M90" s="8"/>
      <c r="N90" s="8"/>
      <c r="O90" s="8"/>
      <c r="P90" s="8"/>
      <c r="Q90" s="2"/>
      <c r="R90" s="2"/>
      <c r="S90" s="88" t="str">
        <f>IF(tblProcRegister[[#This Row],[Award]]&lt;&gt;"",tblProcRegister[[#This Row],[Budget]]-tblProcRegister[[#This Row],[Award]],"")</f>
        <v/>
      </c>
      <c r="T90" s="68"/>
      <c r="U90" s="68"/>
      <c r="V90" s="68"/>
      <c r="W90" s="77" t="str">
        <f>IF(AB90="","",WORKDAY.INTL(AB90,Z90*-1,1,Holidays[Date]))</f>
        <v/>
      </c>
      <c r="X90" s="77" t="str">
        <f t="shared" ca="1" si="1"/>
        <v/>
      </c>
      <c r="Y90" s="78"/>
      <c r="Z90" s="79"/>
      <c r="AA90" s="68"/>
      <c r="AB90" s="77" t="str">
        <f>IF(AG90="","",WORKDAY.INTL(AG90,AE90*-1,1,Holidays[Date]))</f>
        <v/>
      </c>
      <c r="AC90" s="77" t="str">
        <f ca="1">IFERROR(IF(AD90="",WORKDAY.INTL(X90,AA90,1,Holidays[Date]),AD90),"")</f>
        <v/>
      </c>
      <c r="AD90" s="78"/>
      <c r="AE90" s="80"/>
      <c r="AF90" s="68"/>
      <c r="AG90" s="77" t="str">
        <f>IF(AL90="","",WORKDAY.INTL(AL90,AJ90*-1,1,Holidays[Date]))</f>
        <v/>
      </c>
      <c r="AH90" s="77" t="str">
        <f ca="1">IFERROR(IF(AI90="",WORKDAY.INTL(AC90,AF90,1,Holidays[Date]),AI90),"")</f>
        <v/>
      </c>
      <c r="AI90" s="78"/>
      <c r="AJ90" s="80"/>
      <c r="AK90" s="68"/>
      <c r="AL90" s="77" t="str">
        <f>IF(AQ90="","",WORKDAY.INTL(AQ90,AO90*-1,1,Holidays[Date]))</f>
        <v/>
      </c>
      <c r="AM90" s="77" t="str">
        <f ca="1">IFERROR(IF(AN90="",WORKDAY.INTL(AH90,AK90,1,Holidays[Date]),AN90),"")</f>
        <v/>
      </c>
      <c r="AN90" s="78"/>
      <c r="AO90" s="80"/>
      <c r="AP90" s="68"/>
      <c r="AQ90" s="77" t="str">
        <f>IF(AV90="","",WORKDAY.INTL(AV90,AT90*-1,1,Holidays[Date]))</f>
        <v/>
      </c>
      <c r="AR90" s="77" t="str">
        <f ca="1">IFERROR(IF(AS90="",WORKDAY.INTL(AM90,AP90,1,Holidays[Date]),AS90),"")</f>
        <v/>
      </c>
      <c r="AS90" s="78"/>
      <c r="AT90" s="80"/>
      <c r="AU90" s="68"/>
      <c r="AV90" s="77" t="str">
        <f>IF(BA90="","",WORKDAY.INTL(BA90,AY90*-1,1,Holidays[Date]))</f>
        <v/>
      </c>
      <c r="AW90" s="77" t="str">
        <f ca="1">IFERROR(IF(AX90="",WORKDAY.INTL(AR90,AU90,1,Holidays[Date]),AX90),"")</f>
        <v/>
      </c>
      <c r="AX90" s="78"/>
      <c r="AY90" s="80"/>
      <c r="AZ90" s="68"/>
      <c r="BA90" s="77" t="str">
        <f>IF(BF90="","",WORKDAY.INTL(BF90,BD90*-1,1,Holidays[Date]))</f>
        <v/>
      </c>
      <c r="BB90" s="77" t="str">
        <f ca="1">IFERROR(IF(BC90="",WORKDAY.INTL(AW90,AZ90,1,Holidays[Date]),BC90),"")</f>
        <v/>
      </c>
      <c r="BC90" s="78"/>
      <c r="BD90" s="80"/>
      <c r="BE90" s="68"/>
      <c r="BF90" s="77" t="str">
        <f>IF(BK90="","",WORKDAY.INTL(BK90,BI90*-1,1,Holidays[Date]))</f>
        <v/>
      </c>
      <c r="BG90" s="77" t="str">
        <f ca="1">IFERROR(IF(BH90="",WORKDAY.INTL(BB90,BE90,1,Holidays[Date]),BH90),"")</f>
        <v/>
      </c>
      <c r="BH90" s="78"/>
      <c r="BI90" s="80"/>
      <c r="BJ90" s="68"/>
      <c r="BK90" s="77" t="str">
        <f>IF(BP90="","",WORKDAY.INTL(BP90,BN90*-1,1,Holidays[Date]))</f>
        <v/>
      </c>
      <c r="BL90" s="77" t="str">
        <f ca="1">IFERROR(IF(BM90="",WORKDAY.INTL(BG90,BJ90,1,Holidays[Date]),BM90),"")</f>
        <v/>
      </c>
      <c r="BM90" s="78"/>
      <c r="BN90" s="80"/>
      <c r="BO90" s="68"/>
      <c r="BP90" s="77" t="str">
        <f>IF(BU90="","",WORKDAY.INTL(BU90,BS90*-1,1,Holidays[Date]))</f>
        <v/>
      </c>
      <c r="BQ90" s="77" t="str">
        <f ca="1">IFERROR(IF(BR90="",WORKDAY.INTL(BL90,BO90,1,Holidays[Date]),BR90),"")</f>
        <v/>
      </c>
      <c r="BR90" s="78"/>
      <c r="BS90" s="80"/>
      <c r="BT90" s="68"/>
      <c r="BU90" s="77" t="str">
        <f>IF(BZ90="","",WORKDAY.INTL(BZ90,BX90*-1,1,Holidays[Date]))</f>
        <v/>
      </c>
      <c r="BV90" s="77" t="str">
        <f ca="1">IFERROR(IF(BW90="",WORKDAY.INTL(BQ90,BT90,1,Holidays[Date]),BW90),"")</f>
        <v/>
      </c>
      <c r="BW90" s="78"/>
      <c r="BX90" s="80"/>
      <c r="BY90" s="68"/>
      <c r="BZ90" s="81"/>
      <c r="CA90" s="77" t="str">
        <f ca="1">IFERROR(IF(CB90="",WORKDAY.INTL(BV90,BY90,1,Holidays[Date]),CB90),"")</f>
        <v/>
      </c>
      <c r="CB90" s="78"/>
    </row>
    <row r="91" spans="1:80" ht="19" customHeight="1" x14ac:dyDescent="0.35">
      <c r="A91" s="31"/>
      <c r="B91" s="82"/>
      <c r="C91" s="1"/>
      <c r="D91" s="8"/>
      <c r="E91" s="8"/>
      <c r="F91" s="8"/>
      <c r="G91" s="8"/>
      <c r="H91" s="8"/>
      <c r="I91" s="9"/>
      <c r="J91" s="8"/>
      <c r="K91" s="8"/>
      <c r="L91" s="8"/>
      <c r="M91" s="8"/>
      <c r="N91" s="8"/>
      <c r="O91" s="8"/>
      <c r="P91" s="8"/>
      <c r="Q91" s="2"/>
      <c r="R91" s="2"/>
      <c r="S91" s="88" t="str">
        <f>IF(tblProcRegister[[#This Row],[Award]]&lt;&gt;"",tblProcRegister[[#This Row],[Budget]]-tblProcRegister[[#This Row],[Award]],"")</f>
        <v/>
      </c>
      <c r="T91" s="68"/>
      <c r="U91" s="68"/>
      <c r="V91" s="68"/>
      <c r="W91" s="77" t="str">
        <f>IF(AB91="","",WORKDAY.INTL(AB91,Z91*-1,1,Holidays[Date]))</f>
        <v/>
      </c>
      <c r="X91" s="77" t="str">
        <f t="shared" ca="1" si="1"/>
        <v/>
      </c>
      <c r="Y91" s="78"/>
      <c r="Z91" s="79"/>
      <c r="AA91" s="68"/>
      <c r="AB91" s="77" t="str">
        <f>IF(AG91="","",WORKDAY.INTL(AG91,AE91*-1,1,Holidays[Date]))</f>
        <v/>
      </c>
      <c r="AC91" s="77" t="str">
        <f ca="1">IFERROR(IF(AD91="",WORKDAY.INTL(X91,AA91,1,Holidays[Date]),AD91),"")</f>
        <v/>
      </c>
      <c r="AD91" s="78"/>
      <c r="AE91" s="80"/>
      <c r="AF91" s="68"/>
      <c r="AG91" s="77" t="str">
        <f>IF(AL91="","",WORKDAY.INTL(AL91,AJ91*-1,1,Holidays[Date]))</f>
        <v/>
      </c>
      <c r="AH91" s="77" t="str">
        <f ca="1">IFERROR(IF(AI91="",WORKDAY.INTL(AC91,AF91,1,Holidays[Date]),AI91),"")</f>
        <v/>
      </c>
      <c r="AI91" s="78"/>
      <c r="AJ91" s="80"/>
      <c r="AK91" s="68"/>
      <c r="AL91" s="77" t="str">
        <f>IF(AQ91="","",WORKDAY.INTL(AQ91,AO91*-1,1,Holidays[Date]))</f>
        <v/>
      </c>
      <c r="AM91" s="77" t="str">
        <f ca="1">IFERROR(IF(AN91="",WORKDAY.INTL(AH91,AK91,1,Holidays[Date]),AN91),"")</f>
        <v/>
      </c>
      <c r="AN91" s="78"/>
      <c r="AO91" s="80"/>
      <c r="AP91" s="68"/>
      <c r="AQ91" s="77" t="str">
        <f>IF(AV91="","",WORKDAY.INTL(AV91,AT91*-1,1,Holidays[Date]))</f>
        <v/>
      </c>
      <c r="AR91" s="77" t="str">
        <f ca="1">IFERROR(IF(AS91="",WORKDAY.INTL(AM91,AP91,1,Holidays[Date]),AS91),"")</f>
        <v/>
      </c>
      <c r="AS91" s="78"/>
      <c r="AT91" s="80"/>
      <c r="AU91" s="68"/>
      <c r="AV91" s="77" t="str">
        <f>IF(BA91="","",WORKDAY.INTL(BA91,AY91*-1,1,Holidays[Date]))</f>
        <v/>
      </c>
      <c r="AW91" s="77" t="str">
        <f ca="1">IFERROR(IF(AX91="",WORKDAY.INTL(AR91,AU91,1,Holidays[Date]),AX91),"")</f>
        <v/>
      </c>
      <c r="AX91" s="78"/>
      <c r="AY91" s="80"/>
      <c r="AZ91" s="68"/>
      <c r="BA91" s="77" t="str">
        <f>IF(BF91="","",WORKDAY.INTL(BF91,BD91*-1,1,Holidays[Date]))</f>
        <v/>
      </c>
      <c r="BB91" s="77" t="str">
        <f ca="1">IFERROR(IF(BC91="",WORKDAY.INTL(AW91,AZ91,1,Holidays[Date]),BC91),"")</f>
        <v/>
      </c>
      <c r="BC91" s="78"/>
      <c r="BD91" s="80"/>
      <c r="BE91" s="68"/>
      <c r="BF91" s="77" t="str">
        <f>IF(BK91="","",WORKDAY.INTL(BK91,BI91*-1,1,Holidays[Date]))</f>
        <v/>
      </c>
      <c r="BG91" s="77" t="str">
        <f ca="1">IFERROR(IF(BH91="",WORKDAY.INTL(BB91,BE91,1,Holidays[Date]),BH91),"")</f>
        <v/>
      </c>
      <c r="BH91" s="78"/>
      <c r="BI91" s="80"/>
      <c r="BJ91" s="68"/>
      <c r="BK91" s="77" t="str">
        <f>IF(BP91="","",WORKDAY.INTL(BP91,BN91*-1,1,Holidays[Date]))</f>
        <v/>
      </c>
      <c r="BL91" s="77" t="str">
        <f ca="1">IFERROR(IF(BM91="",WORKDAY.INTL(BG91,BJ91,1,Holidays[Date]),BM91),"")</f>
        <v/>
      </c>
      <c r="BM91" s="78"/>
      <c r="BN91" s="80"/>
      <c r="BO91" s="68"/>
      <c r="BP91" s="77" t="str">
        <f>IF(BU91="","",WORKDAY.INTL(BU91,BS91*-1,1,Holidays[Date]))</f>
        <v/>
      </c>
      <c r="BQ91" s="77" t="str">
        <f ca="1">IFERROR(IF(BR91="",WORKDAY.INTL(BL91,BO91,1,Holidays[Date]),BR91),"")</f>
        <v/>
      </c>
      <c r="BR91" s="78"/>
      <c r="BS91" s="80"/>
      <c r="BT91" s="68"/>
      <c r="BU91" s="77" t="str">
        <f>IF(BZ91="","",WORKDAY.INTL(BZ91,BX91*-1,1,Holidays[Date]))</f>
        <v/>
      </c>
      <c r="BV91" s="77" t="str">
        <f ca="1">IFERROR(IF(BW91="",WORKDAY.INTL(BQ91,BT91,1,Holidays[Date]),BW91),"")</f>
        <v/>
      </c>
      <c r="BW91" s="78"/>
      <c r="BX91" s="80"/>
      <c r="BY91" s="68"/>
      <c r="BZ91" s="81"/>
      <c r="CA91" s="77" t="str">
        <f ca="1">IFERROR(IF(CB91="",WORKDAY.INTL(BV91,BY91,1,Holidays[Date]),CB91),"")</f>
        <v/>
      </c>
      <c r="CB91" s="78"/>
    </row>
    <row r="92" spans="1:80" ht="19" customHeight="1" x14ac:dyDescent="0.35">
      <c r="A92" s="31"/>
      <c r="B92" s="82"/>
      <c r="C92" s="1"/>
      <c r="D92" s="8"/>
      <c r="E92" s="8"/>
      <c r="F92" s="8"/>
      <c r="G92" s="8"/>
      <c r="H92" s="8"/>
      <c r="I92" s="9"/>
      <c r="J92" s="8"/>
      <c r="K92" s="8"/>
      <c r="L92" s="8"/>
      <c r="M92" s="8"/>
      <c r="N92" s="8"/>
      <c r="O92" s="8"/>
      <c r="P92" s="8"/>
      <c r="Q92" s="2"/>
      <c r="R92" s="2"/>
      <c r="S92" s="88" t="str">
        <f>IF(tblProcRegister[[#This Row],[Award]]&lt;&gt;"",tblProcRegister[[#This Row],[Budget]]-tblProcRegister[[#This Row],[Award]],"")</f>
        <v/>
      </c>
      <c r="T92" s="68"/>
      <c r="U92" s="68"/>
      <c r="V92" s="68"/>
      <c r="W92" s="77" t="str">
        <f>IF(AB92="","",WORKDAY.INTL(AB92,Z92*-1,1,Holidays[Date]))</f>
        <v/>
      </c>
      <c r="X92" s="77" t="str">
        <f t="shared" ca="1" si="1"/>
        <v/>
      </c>
      <c r="Y92" s="78"/>
      <c r="Z92" s="79"/>
      <c r="AA92" s="68"/>
      <c r="AB92" s="77" t="str">
        <f>IF(AG92="","",WORKDAY.INTL(AG92,AE92*-1,1,Holidays[Date]))</f>
        <v/>
      </c>
      <c r="AC92" s="77" t="str">
        <f ca="1">IFERROR(IF(AD92="",WORKDAY.INTL(X92,AA92,1,Holidays[Date]),AD92),"")</f>
        <v/>
      </c>
      <c r="AD92" s="78"/>
      <c r="AE92" s="80"/>
      <c r="AF92" s="68"/>
      <c r="AG92" s="77" t="str">
        <f>IF(AL92="","",WORKDAY.INTL(AL92,AJ92*-1,1,Holidays[Date]))</f>
        <v/>
      </c>
      <c r="AH92" s="77" t="str">
        <f ca="1">IFERROR(IF(AI92="",WORKDAY.INTL(AC92,AF92,1,Holidays[Date]),AI92),"")</f>
        <v/>
      </c>
      <c r="AI92" s="78"/>
      <c r="AJ92" s="80"/>
      <c r="AK92" s="68"/>
      <c r="AL92" s="77" t="str">
        <f>IF(AQ92="","",WORKDAY.INTL(AQ92,AO92*-1,1,Holidays[Date]))</f>
        <v/>
      </c>
      <c r="AM92" s="77" t="str">
        <f ca="1">IFERROR(IF(AN92="",WORKDAY.INTL(AH92,AK92,1,Holidays[Date]),AN92),"")</f>
        <v/>
      </c>
      <c r="AN92" s="78"/>
      <c r="AO92" s="80"/>
      <c r="AP92" s="68"/>
      <c r="AQ92" s="77" t="str">
        <f>IF(AV92="","",WORKDAY.INTL(AV92,AT92*-1,1,Holidays[Date]))</f>
        <v/>
      </c>
      <c r="AR92" s="77" t="str">
        <f ca="1">IFERROR(IF(AS92="",WORKDAY.INTL(AM92,AP92,1,Holidays[Date]),AS92),"")</f>
        <v/>
      </c>
      <c r="AS92" s="78"/>
      <c r="AT92" s="80"/>
      <c r="AU92" s="68"/>
      <c r="AV92" s="77" t="str">
        <f>IF(BA92="","",WORKDAY.INTL(BA92,AY92*-1,1,Holidays[Date]))</f>
        <v/>
      </c>
      <c r="AW92" s="77" t="str">
        <f ca="1">IFERROR(IF(AX92="",WORKDAY.INTL(AR92,AU92,1,Holidays[Date]),AX92),"")</f>
        <v/>
      </c>
      <c r="AX92" s="78"/>
      <c r="AY92" s="80"/>
      <c r="AZ92" s="68"/>
      <c r="BA92" s="77" t="str">
        <f>IF(BF92="","",WORKDAY.INTL(BF92,BD92*-1,1,Holidays[Date]))</f>
        <v/>
      </c>
      <c r="BB92" s="77" t="str">
        <f ca="1">IFERROR(IF(BC92="",WORKDAY.INTL(AW92,AZ92,1,Holidays[Date]),BC92),"")</f>
        <v/>
      </c>
      <c r="BC92" s="78"/>
      <c r="BD92" s="80"/>
      <c r="BE92" s="68"/>
      <c r="BF92" s="77" t="str">
        <f>IF(BK92="","",WORKDAY.INTL(BK92,BI92*-1,1,Holidays[Date]))</f>
        <v/>
      </c>
      <c r="BG92" s="77" t="str">
        <f ca="1">IFERROR(IF(BH92="",WORKDAY.INTL(BB92,BE92,1,Holidays[Date]),BH92),"")</f>
        <v/>
      </c>
      <c r="BH92" s="78"/>
      <c r="BI92" s="80"/>
      <c r="BJ92" s="68"/>
      <c r="BK92" s="77" t="str">
        <f>IF(BP92="","",WORKDAY.INTL(BP92,BN92*-1,1,Holidays[Date]))</f>
        <v/>
      </c>
      <c r="BL92" s="77" t="str">
        <f ca="1">IFERROR(IF(BM92="",WORKDAY.INTL(BG92,BJ92,1,Holidays[Date]),BM92),"")</f>
        <v/>
      </c>
      <c r="BM92" s="78"/>
      <c r="BN92" s="80"/>
      <c r="BO92" s="68"/>
      <c r="BP92" s="77" t="str">
        <f>IF(BU92="","",WORKDAY.INTL(BU92,BS92*-1,1,Holidays[Date]))</f>
        <v/>
      </c>
      <c r="BQ92" s="77" t="str">
        <f ca="1">IFERROR(IF(BR92="",WORKDAY.INTL(BL92,BO92,1,Holidays[Date]),BR92),"")</f>
        <v/>
      </c>
      <c r="BR92" s="78"/>
      <c r="BS92" s="80"/>
      <c r="BT92" s="68"/>
      <c r="BU92" s="77" t="str">
        <f>IF(BZ92="","",WORKDAY.INTL(BZ92,BX92*-1,1,Holidays[Date]))</f>
        <v/>
      </c>
      <c r="BV92" s="77" t="str">
        <f ca="1">IFERROR(IF(BW92="",WORKDAY.INTL(BQ92,BT92,1,Holidays[Date]),BW92),"")</f>
        <v/>
      </c>
      <c r="BW92" s="78"/>
      <c r="BX92" s="80"/>
      <c r="BY92" s="68"/>
      <c r="BZ92" s="81"/>
      <c r="CA92" s="77" t="str">
        <f ca="1">IFERROR(IF(CB92="",WORKDAY.INTL(BV92,BY92,1,Holidays[Date]),CB92),"")</f>
        <v/>
      </c>
      <c r="CB92" s="78"/>
    </row>
    <row r="93" spans="1:80" ht="19" customHeight="1" x14ac:dyDescent="0.35">
      <c r="A93" s="31"/>
      <c r="B93" s="82"/>
      <c r="C93" s="1"/>
      <c r="D93" s="8"/>
      <c r="E93" s="8"/>
      <c r="F93" s="8"/>
      <c r="G93" s="8"/>
      <c r="H93" s="8"/>
      <c r="I93" s="9"/>
      <c r="J93" s="8"/>
      <c r="K93" s="8"/>
      <c r="L93" s="8"/>
      <c r="M93" s="8"/>
      <c r="N93" s="8"/>
      <c r="O93" s="8"/>
      <c r="P93" s="8"/>
      <c r="Q93" s="2"/>
      <c r="R93" s="2"/>
      <c r="S93" s="88" t="str">
        <f>IF(tblProcRegister[[#This Row],[Award]]&lt;&gt;"",tblProcRegister[[#This Row],[Budget]]-tblProcRegister[[#This Row],[Award]],"")</f>
        <v/>
      </c>
      <c r="T93" s="68"/>
      <c r="U93" s="68"/>
      <c r="V93" s="68"/>
      <c r="W93" s="77" t="str">
        <f>IF(AB93="","",WORKDAY.INTL(AB93,Z93*-1,1,Holidays[Date]))</f>
        <v/>
      </c>
      <c r="X93" s="77" t="str">
        <f t="shared" ca="1" si="1"/>
        <v/>
      </c>
      <c r="Y93" s="78"/>
      <c r="Z93" s="79"/>
      <c r="AA93" s="68"/>
      <c r="AB93" s="77" t="str">
        <f>IF(AG93="","",WORKDAY.INTL(AG93,AE93*-1,1,Holidays[Date]))</f>
        <v/>
      </c>
      <c r="AC93" s="77" t="str">
        <f ca="1">IFERROR(IF(AD93="",WORKDAY.INTL(X93,AA93,1,Holidays[Date]),AD93),"")</f>
        <v/>
      </c>
      <c r="AD93" s="78"/>
      <c r="AE93" s="80"/>
      <c r="AF93" s="68"/>
      <c r="AG93" s="77" t="str">
        <f>IF(AL93="","",WORKDAY.INTL(AL93,AJ93*-1,1,Holidays[Date]))</f>
        <v/>
      </c>
      <c r="AH93" s="77" t="str">
        <f ca="1">IFERROR(IF(AI93="",WORKDAY.INTL(AC93,AF93,1,Holidays[Date]),AI93),"")</f>
        <v/>
      </c>
      <c r="AI93" s="78"/>
      <c r="AJ93" s="80"/>
      <c r="AK93" s="68"/>
      <c r="AL93" s="77" t="str">
        <f>IF(AQ93="","",WORKDAY.INTL(AQ93,AO93*-1,1,Holidays[Date]))</f>
        <v/>
      </c>
      <c r="AM93" s="77" t="str">
        <f ca="1">IFERROR(IF(AN93="",WORKDAY.INTL(AH93,AK93,1,Holidays[Date]),AN93),"")</f>
        <v/>
      </c>
      <c r="AN93" s="78"/>
      <c r="AO93" s="80"/>
      <c r="AP93" s="68"/>
      <c r="AQ93" s="77" t="str">
        <f>IF(AV93="","",WORKDAY.INTL(AV93,AT93*-1,1,Holidays[Date]))</f>
        <v/>
      </c>
      <c r="AR93" s="77" t="str">
        <f ca="1">IFERROR(IF(AS93="",WORKDAY.INTL(AM93,AP93,1,Holidays[Date]),AS93),"")</f>
        <v/>
      </c>
      <c r="AS93" s="78"/>
      <c r="AT93" s="80"/>
      <c r="AU93" s="68"/>
      <c r="AV93" s="77" t="str">
        <f>IF(BA93="","",WORKDAY.INTL(BA93,AY93*-1,1,Holidays[Date]))</f>
        <v/>
      </c>
      <c r="AW93" s="77" t="str">
        <f ca="1">IFERROR(IF(AX93="",WORKDAY.INTL(AR93,AU93,1,Holidays[Date]),AX93),"")</f>
        <v/>
      </c>
      <c r="AX93" s="78"/>
      <c r="AY93" s="80"/>
      <c r="AZ93" s="68"/>
      <c r="BA93" s="77" t="str">
        <f>IF(BF93="","",WORKDAY.INTL(BF93,BD93*-1,1,Holidays[Date]))</f>
        <v/>
      </c>
      <c r="BB93" s="77" t="str">
        <f ca="1">IFERROR(IF(BC93="",WORKDAY.INTL(AW93,AZ93,1,Holidays[Date]),BC93),"")</f>
        <v/>
      </c>
      <c r="BC93" s="78"/>
      <c r="BD93" s="80"/>
      <c r="BE93" s="68"/>
      <c r="BF93" s="77" t="str">
        <f>IF(BK93="","",WORKDAY.INTL(BK93,BI93*-1,1,Holidays[Date]))</f>
        <v/>
      </c>
      <c r="BG93" s="77" t="str">
        <f ca="1">IFERROR(IF(BH93="",WORKDAY.INTL(BB93,BE93,1,Holidays[Date]),BH93),"")</f>
        <v/>
      </c>
      <c r="BH93" s="78"/>
      <c r="BI93" s="80"/>
      <c r="BJ93" s="68"/>
      <c r="BK93" s="77" t="str">
        <f>IF(BP93="","",WORKDAY.INTL(BP93,BN93*-1,1,Holidays[Date]))</f>
        <v/>
      </c>
      <c r="BL93" s="77" t="str">
        <f ca="1">IFERROR(IF(BM93="",WORKDAY.INTL(BG93,BJ93,1,Holidays[Date]),BM93),"")</f>
        <v/>
      </c>
      <c r="BM93" s="78"/>
      <c r="BN93" s="80"/>
      <c r="BO93" s="68"/>
      <c r="BP93" s="77" t="str">
        <f>IF(BU93="","",WORKDAY.INTL(BU93,BS93*-1,1,Holidays[Date]))</f>
        <v/>
      </c>
      <c r="BQ93" s="77" t="str">
        <f ca="1">IFERROR(IF(BR93="",WORKDAY.INTL(BL93,BO93,1,Holidays[Date]),BR93),"")</f>
        <v/>
      </c>
      <c r="BR93" s="78"/>
      <c r="BS93" s="80"/>
      <c r="BT93" s="68"/>
      <c r="BU93" s="77" t="str">
        <f>IF(BZ93="","",WORKDAY.INTL(BZ93,BX93*-1,1,Holidays[Date]))</f>
        <v/>
      </c>
      <c r="BV93" s="77" t="str">
        <f ca="1">IFERROR(IF(BW93="",WORKDAY.INTL(BQ93,BT93,1,Holidays[Date]),BW93),"")</f>
        <v/>
      </c>
      <c r="BW93" s="78"/>
      <c r="BX93" s="80"/>
      <c r="BY93" s="68"/>
      <c r="BZ93" s="81"/>
      <c r="CA93" s="77" t="str">
        <f ca="1">IFERROR(IF(CB93="",WORKDAY.INTL(BV93,BY93,1,Holidays[Date]),CB93),"")</f>
        <v/>
      </c>
      <c r="CB93" s="78"/>
    </row>
    <row r="94" spans="1:80" ht="19" customHeight="1" x14ac:dyDescent="0.35">
      <c r="A94" s="31"/>
      <c r="B94" s="82"/>
      <c r="C94" s="1"/>
      <c r="D94" s="8"/>
      <c r="E94" s="8"/>
      <c r="F94" s="8"/>
      <c r="G94" s="8"/>
      <c r="H94" s="8"/>
      <c r="I94" s="9"/>
      <c r="J94" s="8"/>
      <c r="K94" s="8"/>
      <c r="L94" s="8"/>
      <c r="M94" s="8"/>
      <c r="N94" s="8"/>
      <c r="O94" s="8"/>
      <c r="P94" s="8"/>
      <c r="Q94" s="2"/>
      <c r="R94" s="2"/>
      <c r="S94" s="88" t="str">
        <f>IF(tblProcRegister[[#This Row],[Award]]&lt;&gt;"",tblProcRegister[[#This Row],[Budget]]-tblProcRegister[[#This Row],[Award]],"")</f>
        <v/>
      </c>
      <c r="T94" s="68"/>
      <c r="U94" s="68"/>
      <c r="V94" s="68"/>
      <c r="W94" s="77" t="str">
        <f>IF(AB94="","",WORKDAY.INTL(AB94,Z94*-1,1,Holidays[Date]))</f>
        <v/>
      </c>
      <c r="X94" s="77" t="str">
        <f t="shared" ca="1" si="1"/>
        <v/>
      </c>
      <c r="Y94" s="78"/>
      <c r="Z94" s="79"/>
      <c r="AA94" s="68"/>
      <c r="AB94" s="77" t="str">
        <f>IF(AG94="","",WORKDAY.INTL(AG94,AE94*-1,1,Holidays[Date]))</f>
        <v/>
      </c>
      <c r="AC94" s="77" t="str">
        <f ca="1">IFERROR(IF(AD94="",WORKDAY.INTL(X94,AA94,1,Holidays[Date]),AD94),"")</f>
        <v/>
      </c>
      <c r="AD94" s="78"/>
      <c r="AE94" s="80"/>
      <c r="AF94" s="68"/>
      <c r="AG94" s="77" t="str">
        <f>IF(AL94="","",WORKDAY.INTL(AL94,AJ94*-1,1,Holidays[Date]))</f>
        <v/>
      </c>
      <c r="AH94" s="77" t="str">
        <f ca="1">IFERROR(IF(AI94="",WORKDAY.INTL(AC94,AF94,1,Holidays[Date]),AI94),"")</f>
        <v/>
      </c>
      <c r="AI94" s="78"/>
      <c r="AJ94" s="80"/>
      <c r="AK94" s="68"/>
      <c r="AL94" s="77" t="str">
        <f>IF(AQ94="","",WORKDAY.INTL(AQ94,AO94*-1,1,Holidays[Date]))</f>
        <v/>
      </c>
      <c r="AM94" s="77" t="str">
        <f ca="1">IFERROR(IF(AN94="",WORKDAY.INTL(AH94,AK94,1,Holidays[Date]),AN94),"")</f>
        <v/>
      </c>
      <c r="AN94" s="78"/>
      <c r="AO94" s="80"/>
      <c r="AP94" s="68"/>
      <c r="AQ94" s="77" t="str">
        <f>IF(AV94="","",WORKDAY.INTL(AV94,AT94*-1,1,Holidays[Date]))</f>
        <v/>
      </c>
      <c r="AR94" s="77" t="str">
        <f ca="1">IFERROR(IF(AS94="",WORKDAY.INTL(AM94,AP94,1,Holidays[Date]),AS94),"")</f>
        <v/>
      </c>
      <c r="AS94" s="78"/>
      <c r="AT94" s="80"/>
      <c r="AU94" s="68"/>
      <c r="AV94" s="77" t="str">
        <f>IF(BA94="","",WORKDAY.INTL(BA94,AY94*-1,1,Holidays[Date]))</f>
        <v/>
      </c>
      <c r="AW94" s="77" t="str">
        <f ca="1">IFERROR(IF(AX94="",WORKDAY.INTL(AR94,AU94,1,Holidays[Date]),AX94),"")</f>
        <v/>
      </c>
      <c r="AX94" s="78"/>
      <c r="AY94" s="80"/>
      <c r="AZ94" s="68"/>
      <c r="BA94" s="77" t="str">
        <f>IF(BF94="","",WORKDAY.INTL(BF94,BD94*-1,1,Holidays[Date]))</f>
        <v/>
      </c>
      <c r="BB94" s="77" t="str">
        <f ca="1">IFERROR(IF(BC94="",WORKDAY.INTL(AW94,AZ94,1,Holidays[Date]),BC94),"")</f>
        <v/>
      </c>
      <c r="BC94" s="78"/>
      <c r="BD94" s="80"/>
      <c r="BE94" s="68"/>
      <c r="BF94" s="77" t="str">
        <f>IF(BK94="","",WORKDAY.INTL(BK94,BI94*-1,1,Holidays[Date]))</f>
        <v/>
      </c>
      <c r="BG94" s="77" t="str">
        <f ca="1">IFERROR(IF(BH94="",WORKDAY.INTL(BB94,BE94,1,Holidays[Date]),BH94),"")</f>
        <v/>
      </c>
      <c r="BH94" s="78"/>
      <c r="BI94" s="80"/>
      <c r="BJ94" s="68"/>
      <c r="BK94" s="77" t="str">
        <f>IF(BP94="","",WORKDAY.INTL(BP94,BN94*-1,1,Holidays[Date]))</f>
        <v/>
      </c>
      <c r="BL94" s="77" t="str">
        <f ca="1">IFERROR(IF(BM94="",WORKDAY.INTL(BG94,BJ94,1,Holidays[Date]),BM94),"")</f>
        <v/>
      </c>
      <c r="BM94" s="78"/>
      <c r="BN94" s="80"/>
      <c r="BO94" s="68"/>
      <c r="BP94" s="77" t="str">
        <f>IF(BU94="","",WORKDAY.INTL(BU94,BS94*-1,1,Holidays[Date]))</f>
        <v/>
      </c>
      <c r="BQ94" s="77" t="str">
        <f ca="1">IFERROR(IF(BR94="",WORKDAY.INTL(BL94,BO94,1,Holidays[Date]),BR94),"")</f>
        <v/>
      </c>
      <c r="BR94" s="78"/>
      <c r="BS94" s="80"/>
      <c r="BT94" s="68"/>
      <c r="BU94" s="77" t="str">
        <f>IF(BZ94="","",WORKDAY.INTL(BZ94,BX94*-1,1,Holidays[Date]))</f>
        <v/>
      </c>
      <c r="BV94" s="77" t="str">
        <f ca="1">IFERROR(IF(BW94="",WORKDAY.INTL(BQ94,BT94,1,Holidays[Date]),BW94),"")</f>
        <v/>
      </c>
      <c r="BW94" s="78"/>
      <c r="BX94" s="80"/>
      <c r="BY94" s="68"/>
      <c r="BZ94" s="81"/>
      <c r="CA94" s="77" t="str">
        <f ca="1">IFERROR(IF(CB94="",WORKDAY.INTL(BV94,BY94,1,Holidays[Date]),CB94),"")</f>
        <v/>
      </c>
      <c r="CB94" s="78"/>
    </row>
    <row r="95" spans="1:80" ht="19" customHeight="1" x14ac:dyDescent="0.35">
      <c r="A95" s="31"/>
      <c r="B95" s="82"/>
      <c r="C95" s="1"/>
      <c r="D95" s="8"/>
      <c r="E95" s="8"/>
      <c r="F95" s="8"/>
      <c r="G95" s="8"/>
      <c r="H95" s="8"/>
      <c r="I95" s="9"/>
      <c r="J95" s="8"/>
      <c r="K95" s="8"/>
      <c r="L95" s="8"/>
      <c r="M95" s="8"/>
      <c r="N95" s="8"/>
      <c r="O95" s="8"/>
      <c r="P95" s="8"/>
      <c r="Q95" s="2"/>
      <c r="R95" s="2"/>
      <c r="S95" s="88" t="str">
        <f>IF(tblProcRegister[[#This Row],[Award]]&lt;&gt;"",tblProcRegister[[#This Row],[Budget]]-tblProcRegister[[#This Row],[Award]],"")</f>
        <v/>
      </c>
      <c r="T95" s="68"/>
      <c r="U95" s="68"/>
      <c r="V95" s="68"/>
      <c r="W95" s="77" t="str">
        <f>IF(AB95="","",WORKDAY.INTL(AB95,Z95*-1,1,Holidays[Date]))</f>
        <v/>
      </c>
      <c r="X95" s="77" t="str">
        <f t="shared" ca="1" si="1"/>
        <v/>
      </c>
      <c r="Y95" s="78"/>
      <c r="Z95" s="79"/>
      <c r="AA95" s="68"/>
      <c r="AB95" s="77" t="str">
        <f>IF(AG95="","",WORKDAY.INTL(AG95,AE95*-1,1,Holidays[Date]))</f>
        <v/>
      </c>
      <c r="AC95" s="77" t="str">
        <f ca="1">IFERROR(IF(AD95="",WORKDAY.INTL(X95,AA95,1,Holidays[Date]),AD95),"")</f>
        <v/>
      </c>
      <c r="AD95" s="78"/>
      <c r="AE95" s="80"/>
      <c r="AF95" s="68"/>
      <c r="AG95" s="77" t="str">
        <f>IF(AL95="","",WORKDAY.INTL(AL95,AJ95*-1,1,Holidays[Date]))</f>
        <v/>
      </c>
      <c r="AH95" s="77" t="str">
        <f ca="1">IFERROR(IF(AI95="",WORKDAY.INTL(AC95,AF95,1,Holidays[Date]),AI95),"")</f>
        <v/>
      </c>
      <c r="AI95" s="78"/>
      <c r="AJ95" s="80"/>
      <c r="AK95" s="68"/>
      <c r="AL95" s="77" t="str">
        <f>IF(AQ95="","",WORKDAY.INTL(AQ95,AO95*-1,1,Holidays[Date]))</f>
        <v/>
      </c>
      <c r="AM95" s="77" t="str">
        <f ca="1">IFERROR(IF(AN95="",WORKDAY.INTL(AH95,AK95,1,Holidays[Date]),AN95),"")</f>
        <v/>
      </c>
      <c r="AN95" s="78"/>
      <c r="AO95" s="80"/>
      <c r="AP95" s="68"/>
      <c r="AQ95" s="77" t="str">
        <f>IF(AV95="","",WORKDAY.INTL(AV95,AT95*-1,1,Holidays[Date]))</f>
        <v/>
      </c>
      <c r="AR95" s="77" t="str">
        <f ca="1">IFERROR(IF(AS95="",WORKDAY.INTL(AM95,AP95,1,Holidays[Date]),AS95),"")</f>
        <v/>
      </c>
      <c r="AS95" s="78"/>
      <c r="AT95" s="80"/>
      <c r="AU95" s="68"/>
      <c r="AV95" s="77" t="str">
        <f>IF(BA95="","",WORKDAY.INTL(BA95,AY95*-1,1,Holidays[Date]))</f>
        <v/>
      </c>
      <c r="AW95" s="77" t="str">
        <f ca="1">IFERROR(IF(AX95="",WORKDAY.INTL(AR95,AU95,1,Holidays[Date]),AX95),"")</f>
        <v/>
      </c>
      <c r="AX95" s="78"/>
      <c r="AY95" s="80"/>
      <c r="AZ95" s="68"/>
      <c r="BA95" s="77" t="str">
        <f>IF(BF95="","",WORKDAY.INTL(BF95,BD95*-1,1,Holidays[Date]))</f>
        <v/>
      </c>
      <c r="BB95" s="77" t="str">
        <f ca="1">IFERROR(IF(BC95="",WORKDAY.INTL(AW95,AZ95,1,Holidays[Date]),BC95),"")</f>
        <v/>
      </c>
      <c r="BC95" s="78"/>
      <c r="BD95" s="80"/>
      <c r="BE95" s="68"/>
      <c r="BF95" s="77" t="str">
        <f>IF(BK95="","",WORKDAY.INTL(BK95,BI95*-1,1,Holidays[Date]))</f>
        <v/>
      </c>
      <c r="BG95" s="77" t="str">
        <f ca="1">IFERROR(IF(BH95="",WORKDAY.INTL(BB95,BE95,1,Holidays[Date]),BH95),"")</f>
        <v/>
      </c>
      <c r="BH95" s="78"/>
      <c r="BI95" s="80"/>
      <c r="BJ95" s="68"/>
      <c r="BK95" s="77" t="str">
        <f>IF(BP95="","",WORKDAY.INTL(BP95,BN95*-1,1,Holidays[Date]))</f>
        <v/>
      </c>
      <c r="BL95" s="77" t="str">
        <f ca="1">IFERROR(IF(BM95="",WORKDAY.INTL(BG95,BJ95,1,Holidays[Date]),BM95),"")</f>
        <v/>
      </c>
      <c r="BM95" s="78"/>
      <c r="BN95" s="80"/>
      <c r="BO95" s="68"/>
      <c r="BP95" s="77" t="str">
        <f>IF(BU95="","",WORKDAY.INTL(BU95,BS95*-1,1,Holidays[Date]))</f>
        <v/>
      </c>
      <c r="BQ95" s="77" t="str">
        <f ca="1">IFERROR(IF(BR95="",WORKDAY.INTL(BL95,BO95,1,Holidays[Date]),BR95),"")</f>
        <v/>
      </c>
      <c r="BR95" s="78"/>
      <c r="BS95" s="80"/>
      <c r="BT95" s="68"/>
      <c r="BU95" s="77" t="str">
        <f>IF(BZ95="","",WORKDAY.INTL(BZ95,BX95*-1,1,Holidays[Date]))</f>
        <v/>
      </c>
      <c r="BV95" s="77" t="str">
        <f ca="1">IFERROR(IF(BW95="",WORKDAY.INTL(BQ95,BT95,1,Holidays[Date]),BW95),"")</f>
        <v/>
      </c>
      <c r="BW95" s="78"/>
      <c r="BX95" s="80"/>
      <c r="BY95" s="68"/>
      <c r="BZ95" s="81"/>
      <c r="CA95" s="77" t="str">
        <f ca="1">IFERROR(IF(CB95="",WORKDAY.INTL(BV95,BY95,1,Holidays[Date]),CB95),"")</f>
        <v/>
      </c>
      <c r="CB95" s="78"/>
    </row>
    <row r="96" spans="1:80" ht="19" customHeight="1" x14ac:dyDescent="0.35">
      <c r="A96" s="31"/>
      <c r="B96" s="82"/>
      <c r="C96" s="1"/>
      <c r="D96" s="8"/>
      <c r="E96" s="8"/>
      <c r="F96" s="8"/>
      <c r="G96" s="8"/>
      <c r="H96" s="8"/>
      <c r="I96" s="9"/>
      <c r="J96" s="8"/>
      <c r="K96" s="8"/>
      <c r="L96" s="8"/>
      <c r="M96" s="8"/>
      <c r="N96" s="8"/>
      <c r="O96" s="8"/>
      <c r="P96" s="8"/>
      <c r="Q96" s="2"/>
      <c r="R96" s="2"/>
      <c r="S96" s="88" t="str">
        <f>IF(tblProcRegister[[#This Row],[Award]]&lt;&gt;"",tblProcRegister[[#This Row],[Budget]]-tblProcRegister[[#This Row],[Award]],"")</f>
        <v/>
      </c>
      <c r="T96" s="68"/>
      <c r="U96" s="68"/>
      <c r="V96" s="68"/>
      <c r="W96" s="77" t="str">
        <f>IF(AB96="","",WORKDAY.INTL(AB96,Z96*-1,1,Holidays[Date]))</f>
        <v/>
      </c>
      <c r="X96" s="77" t="str">
        <f t="shared" ca="1" si="1"/>
        <v/>
      </c>
      <c r="Y96" s="78"/>
      <c r="Z96" s="79"/>
      <c r="AA96" s="68"/>
      <c r="AB96" s="77" t="str">
        <f>IF(AG96="","",WORKDAY.INTL(AG96,AE96*-1,1,Holidays[Date]))</f>
        <v/>
      </c>
      <c r="AC96" s="77" t="str">
        <f ca="1">IFERROR(IF(AD96="",WORKDAY.INTL(X96,AA96,1,Holidays[Date]),AD96),"")</f>
        <v/>
      </c>
      <c r="AD96" s="78"/>
      <c r="AE96" s="80"/>
      <c r="AF96" s="68"/>
      <c r="AG96" s="77" t="str">
        <f>IF(AL96="","",WORKDAY.INTL(AL96,AJ96*-1,1,Holidays[Date]))</f>
        <v/>
      </c>
      <c r="AH96" s="77" t="str">
        <f ca="1">IFERROR(IF(AI96="",WORKDAY.INTL(AC96,AF96,1,Holidays[Date]),AI96),"")</f>
        <v/>
      </c>
      <c r="AI96" s="78"/>
      <c r="AJ96" s="80"/>
      <c r="AK96" s="68"/>
      <c r="AL96" s="77" t="str">
        <f>IF(AQ96="","",WORKDAY.INTL(AQ96,AO96*-1,1,Holidays[Date]))</f>
        <v/>
      </c>
      <c r="AM96" s="77" t="str">
        <f ca="1">IFERROR(IF(AN96="",WORKDAY.INTL(AH96,AK96,1,Holidays[Date]),AN96),"")</f>
        <v/>
      </c>
      <c r="AN96" s="78"/>
      <c r="AO96" s="80"/>
      <c r="AP96" s="68"/>
      <c r="AQ96" s="77" t="str">
        <f>IF(AV96="","",WORKDAY.INTL(AV96,AT96*-1,1,Holidays[Date]))</f>
        <v/>
      </c>
      <c r="AR96" s="77" t="str">
        <f ca="1">IFERROR(IF(AS96="",WORKDAY.INTL(AM96,AP96,1,Holidays[Date]),AS96),"")</f>
        <v/>
      </c>
      <c r="AS96" s="78"/>
      <c r="AT96" s="80"/>
      <c r="AU96" s="68"/>
      <c r="AV96" s="77" t="str">
        <f>IF(BA96="","",WORKDAY.INTL(BA96,AY96*-1,1,Holidays[Date]))</f>
        <v/>
      </c>
      <c r="AW96" s="77" t="str">
        <f ca="1">IFERROR(IF(AX96="",WORKDAY.INTL(AR96,AU96,1,Holidays[Date]),AX96),"")</f>
        <v/>
      </c>
      <c r="AX96" s="78"/>
      <c r="AY96" s="80"/>
      <c r="AZ96" s="68"/>
      <c r="BA96" s="77" t="str">
        <f>IF(BF96="","",WORKDAY.INTL(BF96,BD96*-1,1,Holidays[Date]))</f>
        <v/>
      </c>
      <c r="BB96" s="77" t="str">
        <f ca="1">IFERROR(IF(BC96="",WORKDAY.INTL(AW96,AZ96,1,Holidays[Date]),BC96),"")</f>
        <v/>
      </c>
      <c r="BC96" s="78"/>
      <c r="BD96" s="80"/>
      <c r="BE96" s="68"/>
      <c r="BF96" s="77" t="str">
        <f>IF(BK96="","",WORKDAY.INTL(BK96,BI96*-1,1,Holidays[Date]))</f>
        <v/>
      </c>
      <c r="BG96" s="77" t="str">
        <f ca="1">IFERROR(IF(BH96="",WORKDAY.INTL(BB96,BE96,1,Holidays[Date]),BH96),"")</f>
        <v/>
      </c>
      <c r="BH96" s="78"/>
      <c r="BI96" s="80"/>
      <c r="BJ96" s="68"/>
      <c r="BK96" s="77" t="str">
        <f>IF(BP96="","",WORKDAY.INTL(BP96,BN96*-1,1,Holidays[Date]))</f>
        <v/>
      </c>
      <c r="BL96" s="77" t="str">
        <f ca="1">IFERROR(IF(BM96="",WORKDAY.INTL(BG96,BJ96,1,Holidays[Date]),BM96),"")</f>
        <v/>
      </c>
      <c r="BM96" s="78"/>
      <c r="BN96" s="80"/>
      <c r="BO96" s="68"/>
      <c r="BP96" s="77" t="str">
        <f>IF(BU96="","",WORKDAY.INTL(BU96,BS96*-1,1,Holidays[Date]))</f>
        <v/>
      </c>
      <c r="BQ96" s="77" t="str">
        <f ca="1">IFERROR(IF(BR96="",WORKDAY.INTL(BL96,BO96,1,Holidays[Date]),BR96),"")</f>
        <v/>
      </c>
      <c r="BR96" s="78"/>
      <c r="BS96" s="80"/>
      <c r="BT96" s="68"/>
      <c r="BU96" s="77" t="str">
        <f>IF(BZ96="","",WORKDAY.INTL(BZ96,BX96*-1,1,Holidays[Date]))</f>
        <v/>
      </c>
      <c r="BV96" s="77" t="str">
        <f ca="1">IFERROR(IF(BW96="",WORKDAY.INTL(BQ96,BT96,1,Holidays[Date]),BW96),"")</f>
        <v/>
      </c>
      <c r="BW96" s="78"/>
      <c r="BX96" s="80"/>
      <c r="BY96" s="68"/>
      <c r="BZ96" s="81"/>
      <c r="CA96" s="77" t="str">
        <f ca="1">IFERROR(IF(CB96="",WORKDAY.INTL(BV96,BY96,1,Holidays[Date]),CB96),"")</f>
        <v/>
      </c>
      <c r="CB96" s="78"/>
    </row>
    <row r="97" spans="1:80" ht="19" customHeight="1" x14ac:dyDescent="0.35">
      <c r="A97" s="31"/>
      <c r="B97" s="82"/>
      <c r="C97" s="1"/>
      <c r="D97" s="8"/>
      <c r="E97" s="8"/>
      <c r="F97" s="8"/>
      <c r="G97" s="8"/>
      <c r="H97" s="8"/>
      <c r="I97" s="9"/>
      <c r="J97" s="8"/>
      <c r="K97" s="8"/>
      <c r="L97" s="8"/>
      <c r="M97" s="8"/>
      <c r="N97" s="8"/>
      <c r="O97" s="8"/>
      <c r="P97" s="8"/>
      <c r="Q97" s="2"/>
      <c r="R97" s="2"/>
      <c r="S97" s="88" t="str">
        <f>IF(tblProcRegister[[#This Row],[Award]]&lt;&gt;"",tblProcRegister[[#This Row],[Budget]]-tblProcRegister[[#This Row],[Award]],"")</f>
        <v/>
      </c>
      <c r="T97" s="68"/>
      <c r="U97" s="68"/>
      <c r="V97" s="68"/>
      <c r="W97" s="77" t="str">
        <f>IF(AB97="","",WORKDAY.INTL(AB97,Z97*-1,1,Holidays[Date]))</f>
        <v/>
      </c>
      <c r="X97" s="77" t="str">
        <f t="shared" ca="1" si="1"/>
        <v/>
      </c>
      <c r="Y97" s="78"/>
      <c r="Z97" s="79"/>
      <c r="AA97" s="68"/>
      <c r="AB97" s="77" t="str">
        <f>IF(AG97="","",WORKDAY.INTL(AG97,AE97*-1,1,Holidays[Date]))</f>
        <v/>
      </c>
      <c r="AC97" s="77" t="str">
        <f ca="1">IFERROR(IF(AD97="",WORKDAY.INTL(X97,AA97,1,Holidays[Date]),AD97),"")</f>
        <v/>
      </c>
      <c r="AD97" s="78"/>
      <c r="AE97" s="80"/>
      <c r="AF97" s="68"/>
      <c r="AG97" s="77" t="str">
        <f>IF(AL97="","",WORKDAY.INTL(AL97,AJ97*-1,1,Holidays[Date]))</f>
        <v/>
      </c>
      <c r="AH97" s="77" t="str">
        <f ca="1">IFERROR(IF(AI97="",WORKDAY.INTL(AC97,AF97,1,Holidays[Date]),AI97),"")</f>
        <v/>
      </c>
      <c r="AI97" s="78"/>
      <c r="AJ97" s="80"/>
      <c r="AK97" s="68"/>
      <c r="AL97" s="77" t="str">
        <f>IF(AQ97="","",WORKDAY.INTL(AQ97,AO97*-1,1,Holidays[Date]))</f>
        <v/>
      </c>
      <c r="AM97" s="77" t="str">
        <f ca="1">IFERROR(IF(AN97="",WORKDAY.INTL(AH97,AK97,1,Holidays[Date]),AN97),"")</f>
        <v/>
      </c>
      <c r="AN97" s="78"/>
      <c r="AO97" s="80"/>
      <c r="AP97" s="68"/>
      <c r="AQ97" s="77" t="str">
        <f>IF(AV97="","",WORKDAY.INTL(AV97,AT97*-1,1,Holidays[Date]))</f>
        <v/>
      </c>
      <c r="AR97" s="77" t="str">
        <f ca="1">IFERROR(IF(AS97="",WORKDAY.INTL(AM97,AP97,1,Holidays[Date]),AS97),"")</f>
        <v/>
      </c>
      <c r="AS97" s="78"/>
      <c r="AT97" s="80"/>
      <c r="AU97" s="68"/>
      <c r="AV97" s="77" t="str">
        <f>IF(BA97="","",WORKDAY.INTL(BA97,AY97*-1,1,Holidays[Date]))</f>
        <v/>
      </c>
      <c r="AW97" s="77" t="str">
        <f ca="1">IFERROR(IF(AX97="",WORKDAY.INTL(AR97,AU97,1,Holidays[Date]),AX97),"")</f>
        <v/>
      </c>
      <c r="AX97" s="78"/>
      <c r="AY97" s="80"/>
      <c r="AZ97" s="68"/>
      <c r="BA97" s="77" t="str">
        <f>IF(BF97="","",WORKDAY.INTL(BF97,BD97*-1,1,Holidays[Date]))</f>
        <v/>
      </c>
      <c r="BB97" s="77" t="str">
        <f ca="1">IFERROR(IF(BC97="",WORKDAY.INTL(AW97,AZ97,1,Holidays[Date]),BC97),"")</f>
        <v/>
      </c>
      <c r="BC97" s="78"/>
      <c r="BD97" s="80"/>
      <c r="BE97" s="68"/>
      <c r="BF97" s="77" t="str">
        <f>IF(BK97="","",WORKDAY.INTL(BK97,BI97*-1,1,Holidays[Date]))</f>
        <v/>
      </c>
      <c r="BG97" s="77" t="str">
        <f ca="1">IFERROR(IF(BH97="",WORKDAY.INTL(BB97,BE97,1,Holidays[Date]),BH97),"")</f>
        <v/>
      </c>
      <c r="BH97" s="78"/>
      <c r="BI97" s="80"/>
      <c r="BJ97" s="68"/>
      <c r="BK97" s="77" t="str">
        <f>IF(BP97="","",WORKDAY.INTL(BP97,BN97*-1,1,Holidays[Date]))</f>
        <v/>
      </c>
      <c r="BL97" s="77" t="str">
        <f ca="1">IFERROR(IF(BM97="",WORKDAY.INTL(BG97,BJ97,1,Holidays[Date]),BM97),"")</f>
        <v/>
      </c>
      <c r="BM97" s="78"/>
      <c r="BN97" s="80"/>
      <c r="BO97" s="68"/>
      <c r="BP97" s="77" t="str">
        <f>IF(BU97="","",WORKDAY.INTL(BU97,BS97*-1,1,Holidays[Date]))</f>
        <v/>
      </c>
      <c r="BQ97" s="77" t="str">
        <f ca="1">IFERROR(IF(BR97="",WORKDAY.INTL(BL97,BO97,1,Holidays[Date]),BR97),"")</f>
        <v/>
      </c>
      <c r="BR97" s="78"/>
      <c r="BS97" s="80"/>
      <c r="BT97" s="68"/>
      <c r="BU97" s="77" t="str">
        <f>IF(BZ97="","",WORKDAY.INTL(BZ97,BX97*-1,1,Holidays[Date]))</f>
        <v/>
      </c>
      <c r="BV97" s="77" t="str">
        <f ca="1">IFERROR(IF(BW97="",WORKDAY.INTL(BQ97,BT97,1,Holidays[Date]),BW97),"")</f>
        <v/>
      </c>
      <c r="BW97" s="78"/>
      <c r="BX97" s="80"/>
      <c r="BY97" s="68"/>
      <c r="BZ97" s="81"/>
      <c r="CA97" s="77" t="str">
        <f ca="1">IFERROR(IF(CB97="",WORKDAY.INTL(BV97,BY97,1,Holidays[Date]),CB97),"")</f>
        <v/>
      </c>
      <c r="CB97" s="78"/>
    </row>
    <row r="98" spans="1:80" ht="19" customHeight="1" x14ac:dyDescent="0.35">
      <c r="A98" s="31"/>
      <c r="B98" s="82"/>
      <c r="C98" s="1"/>
      <c r="D98" s="8"/>
      <c r="E98" s="8"/>
      <c r="F98" s="8"/>
      <c r="G98" s="8"/>
      <c r="H98" s="8"/>
      <c r="I98" s="9"/>
      <c r="J98" s="8"/>
      <c r="K98" s="8"/>
      <c r="L98" s="8"/>
      <c r="M98" s="8"/>
      <c r="N98" s="8"/>
      <c r="O98" s="8"/>
      <c r="P98" s="8"/>
      <c r="Q98" s="2"/>
      <c r="R98" s="2"/>
      <c r="S98" s="88" t="str">
        <f>IF(tblProcRegister[[#This Row],[Award]]&lt;&gt;"",tblProcRegister[[#This Row],[Budget]]-tblProcRegister[[#This Row],[Award]],"")</f>
        <v/>
      </c>
      <c r="T98" s="68"/>
      <c r="U98" s="68"/>
      <c r="V98" s="68"/>
      <c r="W98" s="77" t="str">
        <f>IF(AB98="","",WORKDAY.INTL(AB98,Z98*-1,1,Holidays[Date]))</f>
        <v/>
      </c>
      <c r="X98" s="77" t="str">
        <f t="shared" ca="1" si="1"/>
        <v/>
      </c>
      <c r="Y98" s="78"/>
      <c r="Z98" s="79"/>
      <c r="AA98" s="68"/>
      <c r="AB98" s="77" t="str">
        <f>IF(AG98="","",WORKDAY.INTL(AG98,AE98*-1,1,Holidays[Date]))</f>
        <v/>
      </c>
      <c r="AC98" s="77" t="str">
        <f ca="1">IFERROR(IF(AD98="",WORKDAY.INTL(X98,AA98,1,Holidays[Date]),AD98),"")</f>
        <v/>
      </c>
      <c r="AD98" s="78"/>
      <c r="AE98" s="80"/>
      <c r="AF98" s="68"/>
      <c r="AG98" s="77" t="str">
        <f>IF(AL98="","",WORKDAY.INTL(AL98,AJ98*-1,1,Holidays[Date]))</f>
        <v/>
      </c>
      <c r="AH98" s="77" t="str">
        <f ca="1">IFERROR(IF(AI98="",WORKDAY.INTL(AC98,AF98,1,Holidays[Date]),AI98),"")</f>
        <v/>
      </c>
      <c r="AI98" s="78"/>
      <c r="AJ98" s="80"/>
      <c r="AK98" s="68"/>
      <c r="AL98" s="77" t="str">
        <f>IF(AQ98="","",WORKDAY.INTL(AQ98,AO98*-1,1,Holidays[Date]))</f>
        <v/>
      </c>
      <c r="AM98" s="77" t="str">
        <f ca="1">IFERROR(IF(AN98="",WORKDAY.INTL(AH98,AK98,1,Holidays[Date]),AN98),"")</f>
        <v/>
      </c>
      <c r="AN98" s="78"/>
      <c r="AO98" s="80"/>
      <c r="AP98" s="68"/>
      <c r="AQ98" s="77" t="str">
        <f>IF(AV98="","",WORKDAY.INTL(AV98,AT98*-1,1,Holidays[Date]))</f>
        <v/>
      </c>
      <c r="AR98" s="77" t="str">
        <f ca="1">IFERROR(IF(AS98="",WORKDAY.INTL(AM98,AP98,1,Holidays[Date]),AS98),"")</f>
        <v/>
      </c>
      <c r="AS98" s="78"/>
      <c r="AT98" s="80"/>
      <c r="AU98" s="68"/>
      <c r="AV98" s="77" t="str">
        <f>IF(BA98="","",WORKDAY.INTL(BA98,AY98*-1,1,Holidays[Date]))</f>
        <v/>
      </c>
      <c r="AW98" s="77" t="str">
        <f ca="1">IFERROR(IF(AX98="",WORKDAY.INTL(AR98,AU98,1,Holidays[Date]),AX98),"")</f>
        <v/>
      </c>
      <c r="AX98" s="78"/>
      <c r="AY98" s="80"/>
      <c r="AZ98" s="68"/>
      <c r="BA98" s="77" t="str">
        <f>IF(BF98="","",WORKDAY.INTL(BF98,BD98*-1,1,Holidays[Date]))</f>
        <v/>
      </c>
      <c r="BB98" s="77" t="str">
        <f ca="1">IFERROR(IF(BC98="",WORKDAY.INTL(AW98,AZ98,1,Holidays[Date]),BC98),"")</f>
        <v/>
      </c>
      <c r="BC98" s="78"/>
      <c r="BD98" s="80"/>
      <c r="BE98" s="68"/>
      <c r="BF98" s="77" t="str">
        <f>IF(BK98="","",WORKDAY.INTL(BK98,BI98*-1,1,Holidays[Date]))</f>
        <v/>
      </c>
      <c r="BG98" s="77" t="str">
        <f ca="1">IFERROR(IF(BH98="",WORKDAY.INTL(BB98,BE98,1,Holidays[Date]),BH98),"")</f>
        <v/>
      </c>
      <c r="BH98" s="78"/>
      <c r="BI98" s="80"/>
      <c r="BJ98" s="68"/>
      <c r="BK98" s="77" t="str">
        <f>IF(BP98="","",WORKDAY.INTL(BP98,BN98*-1,1,Holidays[Date]))</f>
        <v/>
      </c>
      <c r="BL98" s="77" t="str">
        <f ca="1">IFERROR(IF(BM98="",WORKDAY.INTL(BG98,BJ98,1,Holidays[Date]),BM98),"")</f>
        <v/>
      </c>
      <c r="BM98" s="78"/>
      <c r="BN98" s="80"/>
      <c r="BO98" s="68"/>
      <c r="BP98" s="77" t="str">
        <f>IF(BU98="","",WORKDAY.INTL(BU98,BS98*-1,1,Holidays[Date]))</f>
        <v/>
      </c>
      <c r="BQ98" s="77" t="str">
        <f ca="1">IFERROR(IF(BR98="",WORKDAY.INTL(BL98,BO98,1,Holidays[Date]),BR98),"")</f>
        <v/>
      </c>
      <c r="BR98" s="78"/>
      <c r="BS98" s="80"/>
      <c r="BT98" s="68"/>
      <c r="BU98" s="77" t="str">
        <f>IF(BZ98="","",WORKDAY.INTL(BZ98,BX98*-1,1,Holidays[Date]))</f>
        <v/>
      </c>
      <c r="BV98" s="77" t="str">
        <f ca="1">IFERROR(IF(BW98="",WORKDAY.INTL(BQ98,BT98,1,Holidays[Date]),BW98),"")</f>
        <v/>
      </c>
      <c r="BW98" s="78"/>
      <c r="BX98" s="80"/>
      <c r="BY98" s="68"/>
      <c r="BZ98" s="81"/>
      <c r="CA98" s="77" t="str">
        <f ca="1">IFERROR(IF(CB98="",WORKDAY.INTL(BV98,BY98,1,Holidays[Date]),CB98),"")</f>
        <v/>
      </c>
      <c r="CB98" s="78"/>
    </row>
    <row r="99" spans="1:80" ht="19" customHeight="1" x14ac:dyDescent="0.35">
      <c r="A99" s="31"/>
      <c r="B99" s="82"/>
      <c r="C99" s="1"/>
      <c r="D99" s="8"/>
      <c r="E99" s="8"/>
      <c r="F99" s="8"/>
      <c r="G99" s="8"/>
      <c r="H99" s="8"/>
      <c r="I99" s="9"/>
      <c r="J99" s="8"/>
      <c r="K99" s="8"/>
      <c r="L99" s="8"/>
      <c r="M99" s="8"/>
      <c r="N99" s="8"/>
      <c r="O99" s="8"/>
      <c r="P99" s="8"/>
      <c r="Q99" s="2"/>
      <c r="R99" s="2"/>
      <c r="S99" s="88" t="str">
        <f>IF(tblProcRegister[[#This Row],[Award]]&lt;&gt;"",tblProcRegister[[#This Row],[Budget]]-tblProcRegister[[#This Row],[Award]],"")</f>
        <v/>
      </c>
      <c r="T99" s="68"/>
      <c r="U99" s="68"/>
      <c r="V99" s="68"/>
      <c r="W99" s="77" t="str">
        <f>IF(AB99="","",WORKDAY.INTL(AB99,Z99*-1,1,Holidays[Date]))</f>
        <v/>
      </c>
      <c r="X99" s="77" t="str">
        <f t="shared" ca="1" si="1"/>
        <v/>
      </c>
      <c r="Y99" s="78"/>
      <c r="Z99" s="79"/>
      <c r="AA99" s="68"/>
      <c r="AB99" s="77" t="str">
        <f>IF(AG99="","",WORKDAY.INTL(AG99,AE99*-1,1,Holidays[Date]))</f>
        <v/>
      </c>
      <c r="AC99" s="77" t="str">
        <f ca="1">IFERROR(IF(AD99="",WORKDAY.INTL(X99,AA99,1,Holidays[Date]),AD99),"")</f>
        <v/>
      </c>
      <c r="AD99" s="78"/>
      <c r="AE99" s="80"/>
      <c r="AF99" s="68"/>
      <c r="AG99" s="77" t="str">
        <f>IF(AL99="","",WORKDAY.INTL(AL99,AJ99*-1,1,Holidays[Date]))</f>
        <v/>
      </c>
      <c r="AH99" s="77" t="str">
        <f ca="1">IFERROR(IF(AI99="",WORKDAY.INTL(AC99,AF99,1,Holidays[Date]),AI99),"")</f>
        <v/>
      </c>
      <c r="AI99" s="78"/>
      <c r="AJ99" s="80"/>
      <c r="AK99" s="68"/>
      <c r="AL99" s="77" t="str">
        <f>IF(AQ99="","",WORKDAY.INTL(AQ99,AO99*-1,1,Holidays[Date]))</f>
        <v/>
      </c>
      <c r="AM99" s="77" t="str">
        <f ca="1">IFERROR(IF(AN99="",WORKDAY.INTL(AH99,AK99,1,Holidays[Date]),AN99),"")</f>
        <v/>
      </c>
      <c r="AN99" s="78"/>
      <c r="AO99" s="80"/>
      <c r="AP99" s="68"/>
      <c r="AQ99" s="77" t="str">
        <f>IF(AV99="","",WORKDAY.INTL(AV99,AT99*-1,1,Holidays[Date]))</f>
        <v/>
      </c>
      <c r="AR99" s="77" t="str">
        <f ca="1">IFERROR(IF(AS99="",WORKDAY.INTL(AM99,AP99,1,Holidays[Date]),AS99),"")</f>
        <v/>
      </c>
      <c r="AS99" s="78"/>
      <c r="AT99" s="80"/>
      <c r="AU99" s="68"/>
      <c r="AV99" s="77" t="str">
        <f>IF(BA99="","",WORKDAY.INTL(BA99,AY99*-1,1,Holidays[Date]))</f>
        <v/>
      </c>
      <c r="AW99" s="77" t="str">
        <f ca="1">IFERROR(IF(AX99="",WORKDAY.INTL(AR99,AU99,1,Holidays[Date]),AX99),"")</f>
        <v/>
      </c>
      <c r="AX99" s="78"/>
      <c r="AY99" s="80"/>
      <c r="AZ99" s="68"/>
      <c r="BA99" s="77" t="str">
        <f>IF(BF99="","",WORKDAY.INTL(BF99,BD99*-1,1,Holidays[Date]))</f>
        <v/>
      </c>
      <c r="BB99" s="77" t="str">
        <f ca="1">IFERROR(IF(BC99="",WORKDAY.INTL(AW99,AZ99,1,Holidays[Date]),BC99),"")</f>
        <v/>
      </c>
      <c r="BC99" s="78"/>
      <c r="BD99" s="80"/>
      <c r="BE99" s="68"/>
      <c r="BF99" s="77" t="str">
        <f>IF(BK99="","",WORKDAY.INTL(BK99,BI99*-1,1,Holidays[Date]))</f>
        <v/>
      </c>
      <c r="BG99" s="77" t="str">
        <f ca="1">IFERROR(IF(BH99="",WORKDAY.INTL(BB99,BE99,1,Holidays[Date]),BH99),"")</f>
        <v/>
      </c>
      <c r="BH99" s="78"/>
      <c r="BI99" s="80"/>
      <c r="BJ99" s="68"/>
      <c r="BK99" s="77" t="str">
        <f>IF(BP99="","",WORKDAY.INTL(BP99,BN99*-1,1,Holidays[Date]))</f>
        <v/>
      </c>
      <c r="BL99" s="77" t="str">
        <f ca="1">IFERROR(IF(BM99="",WORKDAY.INTL(BG99,BJ99,1,Holidays[Date]),BM99),"")</f>
        <v/>
      </c>
      <c r="BM99" s="78"/>
      <c r="BN99" s="80"/>
      <c r="BO99" s="68"/>
      <c r="BP99" s="77" t="str">
        <f>IF(BU99="","",WORKDAY.INTL(BU99,BS99*-1,1,Holidays[Date]))</f>
        <v/>
      </c>
      <c r="BQ99" s="77" t="str">
        <f ca="1">IFERROR(IF(BR99="",WORKDAY.INTL(BL99,BO99,1,Holidays[Date]),BR99),"")</f>
        <v/>
      </c>
      <c r="BR99" s="78"/>
      <c r="BS99" s="80"/>
      <c r="BT99" s="68"/>
      <c r="BU99" s="77" t="str">
        <f>IF(BZ99="","",WORKDAY.INTL(BZ99,BX99*-1,1,Holidays[Date]))</f>
        <v/>
      </c>
      <c r="BV99" s="77" t="str">
        <f ca="1">IFERROR(IF(BW99="",WORKDAY.INTL(BQ99,BT99,1,Holidays[Date]),BW99),"")</f>
        <v/>
      </c>
      <c r="BW99" s="78"/>
      <c r="BX99" s="80"/>
      <c r="BY99" s="68"/>
      <c r="BZ99" s="81"/>
      <c r="CA99" s="77" t="str">
        <f ca="1">IFERROR(IF(CB99="",WORKDAY.INTL(BV99,BY99,1,Holidays[Date]),CB99),"")</f>
        <v/>
      </c>
      <c r="CB99" s="78"/>
    </row>
    <row r="100" spans="1:80" ht="19" customHeight="1" x14ac:dyDescent="0.35">
      <c r="A100" s="31"/>
      <c r="B100" s="82"/>
      <c r="C100" s="1"/>
      <c r="D100" s="8"/>
      <c r="E100" s="8"/>
      <c r="F100" s="8"/>
      <c r="G100" s="8"/>
      <c r="H100" s="8"/>
      <c r="I100" s="9"/>
      <c r="J100" s="8"/>
      <c r="K100" s="8"/>
      <c r="L100" s="8"/>
      <c r="M100" s="8"/>
      <c r="N100" s="8"/>
      <c r="O100" s="8"/>
      <c r="P100" s="8"/>
      <c r="Q100" s="2"/>
      <c r="R100" s="2"/>
      <c r="S100" s="88" t="str">
        <f>IF(tblProcRegister[[#This Row],[Award]]&lt;&gt;"",tblProcRegister[[#This Row],[Budget]]-tblProcRegister[[#This Row],[Award]],"")</f>
        <v/>
      </c>
      <c r="T100" s="68"/>
      <c r="U100" s="68"/>
      <c r="V100" s="68"/>
      <c r="W100" s="77" t="str">
        <f>IF(AB100="","",WORKDAY.INTL(AB100,Z100*-1,1,Holidays[Date]))</f>
        <v/>
      </c>
      <c r="X100" s="77" t="str">
        <f t="shared" ca="1" si="1"/>
        <v/>
      </c>
      <c r="Y100" s="78"/>
      <c r="Z100" s="79"/>
      <c r="AA100" s="68"/>
      <c r="AB100" s="77" t="str">
        <f>IF(AG100="","",WORKDAY.INTL(AG100,AE100*-1,1,Holidays[Date]))</f>
        <v/>
      </c>
      <c r="AC100" s="77" t="str">
        <f ca="1">IFERROR(IF(AD100="",WORKDAY.INTL(X100,AA100,1,Holidays[Date]),AD100),"")</f>
        <v/>
      </c>
      <c r="AD100" s="78"/>
      <c r="AE100" s="80"/>
      <c r="AF100" s="68"/>
      <c r="AG100" s="77" t="str">
        <f>IF(AL100="","",WORKDAY.INTL(AL100,AJ100*-1,1,Holidays[Date]))</f>
        <v/>
      </c>
      <c r="AH100" s="77" t="str">
        <f ca="1">IFERROR(IF(AI100="",WORKDAY.INTL(AC100,AF100,1,Holidays[Date]),AI100),"")</f>
        <v/>
      </c>
      <c r="AI100" s="78"/>
      <c r="AJ100" s="80"/>
      <c r="AK100" s="68"/>
      <c r="AL100" s="77" t="str">
        <f>IF(AQ100="","",WORKDAY.INTL(AQ100,AO100*-1,1,Holidays[Date]))</f>
        <v/>
      </c>
      <c r="AM100" s="77" t="str">
        <f ca="1">IFERROR(IF(AN100="",WORKDAY.INTL(AH100,AK100,1,Holidays[Date]),AN100),"")</f>
        <v/>
      </c>
      <c r="AN100" s="78"/>
      <c r="AO100" s="80"/>
      <c r="AP100" s="68"/>
      <c r="AQ100" s="77" t="str">
        <f>IF(AV100="","",WORKDAY.INTL(AV100,AT100*-1,1,Holidays[Date]))</f>
        <v/>
      </c>
      <c r="AR100" s="77" t="str">
        <f ca="1">IFERROR(IF(AS100="",WORKDAY.INTL(AM100,AP100,1,Holidays[Date]),AS100),"")</f>
        <v/>
      </c>
      <c r="AS100" s="78"/>
      <c r="AT100" s="80"/>
      <c r="AU100" s="68"/>
      <c r="AV100" s="77" t="str">
        <f>IF(BA100="","",WORKDAY.INTL(BA100,AY100*-1,1,Holidays[Date]))</f>
        <v/>
      </c>
      <c r="AW100" s="77" t="str">
        <f ca="1">IFERROR(IF(AX100="",WORKDAY.INTL(AR100,AU100,1,Holidays[Date]),AX100),"")</f>
        <v/>
      </c>
      <c r="AX100" s="78"/>
      <c r="AY100" s="80"/>
      <c r="AZ100" s="68"/>
      <c r="BA100" s="77" t="str">
        <f>IF(BF100="","",WORKDAY.INTL(BF100,BD100*-1,1,Holidays[Date]))</f>
        <v/>
      </c>
      <c r="BB100" s="77" t="str">
        <f ca="1">IFERROR(IF(BC100="",WORKDAY.INTL(AW100,AZ100,1,Holidays[Date]),BC100),"")</f>
        <v/>
      </c>
      <c r="BC100" s="78"/>
      <c r="BD100" s="80"/>
      <c r="BE100" s="68"/>
      <c r="BF100" s="77" t="str">
        <f>IF(BK100="","",WORKDAY.INTL(BK100,BI100*-1,1,Holidays[Date]))</f>
        <v/>
      </c>
      <c r="BG100" s="77" t="str">
        <f ca="1">IFERROR(IF(BH100="",WORKDAY.INTL(BB100,BE100,1,Holidays[Date]),BH100),"")</f>
        <v/>
      </c>
      <c r="BH100" s="78"/>
      <c r="BI100" s="80"/>
      <c r="BJ100" s="68"/>
      <c r="BK100" s="77" t="str">
        <f>IF(BP100="","",WORKDAY.INTL(BP100,BN100*-1,1,Holidays[Date]))</f>
        <v/>
      </c>
      <c r="BL100" s="77" t="str">
        <f ca="1">IFERROR(IF(BM100="",WORKDAY.INTL(BG100,BJ100,1,Holidays[Date]),BM100),"")</f>
        <v/>
      </c>
      <c r="BM100" s="78"/>
      <c r="BN100" s="80"/>
      <c r="BO100" s="68"/>
      <c r="BP100" s="77" t="str">
        <f>IF(BU100="","",WORKDAY.INTL(BU100,BS100*-1,1,Holidays[Date]))</f>
        <v/>
      </c>
      <c r="BQ100" s="77" t="str">
        <f ca="1">IFERROR(IF(BR100="",WORKDAY.INTL(BL100,BO100,1,Holidays[Date]),BR100),"")</f>
        <v/>
      </c>
      <c r="BR100" s="78"/>
      <c r="BS100" s="80"/>
      <c r="BT100" s="68"/>
      <c r="BU100" s="77" t="str">
        <f>IF(BZ100="","",WORKDAY.INTL(BZ100,BX100*-1,1,Holidays[Date]))</f>
        <v/>
      </c>
      <c r="BV100" s="77" t="str">
        <f ca="1">IFERROR(IF(BW100="",WORKDAY.INTL(BQ100,BT100,1,Holidays[Date]),BW100),"")</f>
        <v/>
      </c>
      <c r="BW100" s="78"/>
      <c r="BX100" s="80"/>
      <c r="BY100" s="68"/>
      <c r="BZ100" s="81"/>
      <c r="CA100" s="77" t="str">
        <f ca="1">IFERROR(IF(CB100="",WORKDAY.INTL(BV100,BY100,1,Holidays[Date]),CB100),"")</f>
        <v/>
      </c>
      <c r="CB100" s="78"/>
    </row>
    <row r="101" spans="1:80" ht="19" customHeight="1" x14ac:dyDescent="0.35">
      <c r="A101" s="31"/>
      <c r="B101" s="82"/>
      <c r="C101" s="1"/>
      <c r="D101" s="8"/>
      <c r="E101" s="8"/>
      <c r="F101" s="8"/>
      <c r="G101" s="8"/>
      <c r="H101" s="8"/>
      <c r="I101" s="9"/>
      <c r="J101" s="8"/>
      <c r="K101" s="8"/>
      <c r="L101" s="8"/>
      <c r="M101" s="8"/>
      <c r="N101" s="8"/>
      <c r="O101" s="8"/>
      <c r="P101" s="8"/>
      <c r="Q101" s="2"/>
      <c r="R101" s="2"/>
      <c r="S101" s="88" t="str">
        <f>IF(tblProcRegister[[#This Row],[Award]]&lt;&gt;"",tblProcRegister[[#This Row],[Budget]]-tblProcRegister[[#This Row],[Award]],"")</f>
        <v/>
      </c>
      <c r="T101" s="68"/>
      <c r="U101" s="68"/>
      <c r="V101" s="68"/>
      <c r="W101" s="77" t="str">
        <f>IF(AB101="","",WORKDAY.INTL(AB101,Z101*-1,1,Holidays[Date]))</f>
        <v/>
      </c>
      <c r="X101" s="77" t="str">
        <f t="shared" ca="1" si="1"/>
        <v/>
      </c>
      <c r="Y101" s="78"/>
      <c r="Z101" s="79"/>
      <c r="AA101" s="68"/>
      <c r="AB101" s="77" t="str">
        <f>IF(AG101="","",WORKDAY.INTL(AG101,AE101*-1,1,Holidays[Date]))</f>
        <v/>
      </c>
      <c r="AC101" s="77" t="str">
        <f ca="1">IFERROR(IF(AD101="",WORKDAY.INTL(X101,AA101,1,Holidays[Date]),AD101),"")</f>
        <v/>
      </c>
      <c r="AD101" s="78"/>
      <c r="AE101" s="80"/>
      <c r="AF101" s="68"/>
      <c r="AG101" s="77" t="str">
        <f>IF(AL101="","",WORKDAY.INTL(AL101,AJ101*-1,1,Holidays[Date]))</f>
        <v/>
      </c>
      <c r="AH101" s="77" t="str">
        <f ca="1">IFERROR(IF(AI101="",WORKDAY.INTL(AC101,AF101,1,Holidays[Date]),AI101),"")</f>
        <v/>
      </c>
      <c r="AI101" s="78"/>
      <c r="AJ101" s="80"/>
      <c r="AK101" s="68"/>
      <c r="AL101" s="77" t="str">
        <f>IF(AQ101="","",WORKDAY.INTL(AQ101,AO101*-1,1,Holidays[Date]))</f>
        <v/>
      </c>
      <c r="AM101" s="77" t="str">
        <f ca="1">IFERROR(IF(AN101="",WORKDAY.INTL(AH101,AK101,1,Holidays[Date]),AN101),"")</f>
        <v/>
      </c>
      <c r="AN101" s="78"/>
      <c r="AO101" s="80"/>
      <c r="AP101" s="68"/>
      <c r="AQ101" s="77" t="str">
        <f>IF(AV101="","",WORKDAY.INTL(AV101,AT101*-1,1,Holidays[Date]))</f>
        <v/>
      </c>
      <c r="AR101" s="77" t="str">
        <f ca="1">IFERROR(IF(AS101="",WORKDAY.INTL(AM101,AP101,1,Holidays[Date]),AS101),"")</f>
        <v/>
      </c>
      <c r="AS101" s="78"/>
      <c r="AT101" s="80"/>
      <c r="AU101" s="68"/>
      <c r="AV101" s="77" t="str">
        <f>IF(BA101="","",WORKDAY.INTL(BA101,AY101*-1,1,Holidays[Date]))</f>
        <v/>
      </c>
      <c r="AW101" s="77" t="str">
        <f ca="1">IFERROR(IF(AX101="",WORKDAY.INTL(AR101,AU101,1,Holidays[Date]),AX101),"")</f>
        <v/>
      </c>
      <c r="AX101" s="78"/>
      <c r="AY101" s="80"/>
      <c r="AZ101" s="68"/>
      <c r="BA101" s="77" t="str">
        <f>IF(BF101="","",WORKDAY.INTL(BF101,BD101*-1,1,Holidays[Date]))</f>
        <v/>
      </c>
      <c r="BB101" s="77" t="str">
        <f ca="1">IFERROR(IF(BC101="",WORKDAY.INTL(AW101,AZ101,1,Holidays[Date]),BC101),"")</f>
        <v/>
      </c>
      <c r="BC101" s="78"/>
      <c r="BD101" s="80"/>
      <c r="BE101" s="68"/>
      <c r="BF101" s="77" t="str">
        <f>IF(BK101="","",WORKDAY.INTL(BK101,BI101*-1,1,Holidays[Date]))</f>
        <v/>
      </c>
      <c r="BG101" s="77" t="str">
        <f ca="1">IFERROR(IF(BH101="",WORKDAY.INTL(BB101,BE101,1,Holidays[Date]),BH101),"")</f>
        <v/>
      </c>
      <c r="BH101" s="78"/>
      <c r="BI101" s="80"/>
      <c r="BJ101" s="68"/>
      <c r="BK101" s="77" t="str">
        <f>IF(BP101="","",WORKDAY.INTL(BP101,BN101*-1,1,Holidays[Date]))</f>
        <v/>
      </c>
      <c r="BL101" s="77" t="str">
        <f ca="1">IFERROR(IF(BM101="",WORKDAY.INTL(BG101,BJ101,1,Holidays[Date]),BM101),"")</f>
        <v/>
      </c>
      <c r="BM101" s="78"/>
      <c r="BN101" s="80"/>
      <c r="BO101" s="68"/>
      <c r="BP101" s="77" t="str">
        <f>IF(BU101="","",WORKDAY.INTL(BU101,BS101*-1,1,Holidays[Date]))</f>
        <v/>
      </c>
      <c r="BQ101" s="77" t="str">
        <f ca="1">IFERROR(IF(BR101="",WORKDAY.INTL(BL101,BO101,1,Holidays[Date]),BR101),"")</f>
        <v/>
      </c>
      <c r="BR101" s="78"/>
      <c r="BS101" s="80"/>
      <c r="BT101" s="68"/>
      <c r="BU101" s="77" t="str">
        <f>IF(BZ101="","",WORKDAY.INTL(BZ101,BX101*-1,1,Holidays[Date]))</f>
        <v/>
      </c>
      <c r="BV101" s="77" t="str">
        <f ca="1">IFERROR(IF(BW101="",WORKDAY.INTL(BQ101,BT101,1,Holidays[Date]),BW101),"")</f>
        <v/>
      </c>
      <c r="BW101" s="78"/>
      <c r="BX101" s="80"/>
      <c r="BY101" s="68"/>
      <c r="BZ101" s="81"/>
      <c r="CA101" s="77" t="str">
        <f ca="1">IFERROR(IF(CB101="",WORKDAY.INTL(BV101,BY101,1,Holidays[Date]),CB101),"")</f>
        <v/>
      </c>
      <c r="CB101" s="78"/>
    </row>
    <row r="102" spans="1:80" ht="19" customHeight="1" x14ac:dyDescent="0.35">
      <c r="A102" s="31"/>
      <c r="B102" s="82"/>
      <c r="C102" s="1"/>
      <c r="D102" s="8"/>
      <c r="E102" s="8"/>
      <c r="F102" s="8"/>
      <c r="G102" s="8"/>
      <c r="H102" s="8"/>
      <c r="I102" s="9"/>
      <c r="J102" s="8"/>
      <c r="K102" s="8"/>
      <c r="L102" s="8"/>
      <c r="M102" s="8"/>
      <c r="N102" s="8"/>
      <c r="O102" s="8"/>
      <c r="P102" s="8"/>
      <c r="Q102" s="2"/>
      <c r="R102" s="2"/>
      <c r="S102" s="88" t="str">
        <f>IF(tblProcRegister[[#This Row],[Award]]&lt;&gt;"",tblProcRegister[[#This Row],[Budget]]-tblProcRegister[[#This Row],[Award]],"")</f>
        <v/>
      </c>
      <c r="T102" s="68"/>
      <c r="U102" s="68"/>
      <c r="V102" s="68"/>
      <c r="W102" s="77" t="str">
        <f>IF(AB102="","",WORKDAY.INTL(AB102,Z102*-1,1,Holidays[Date]))</f>
        <v/>
      </c>
      <c r="X102" s="77" t="str">
        <f t="shared" ca="1" si="1"/>
        <v/>
      </c>
      <c r="Y102" s="78"/>
      <c r="Z102" s="79"/>
      <c r="AA102" s="68"/>
      <c r="AB102" s="77" t="str">
        <f>IF(AG102="","",WORKDAY.INTL(AG102,AE102*-1,1,Holidays[Date]))</f>
        <v/>
      </c>
      <c r="AC102" s="77" t="str">
        <f ca="1">IFERROR(IF(AD102="",WORKDAY.INTL(X102,AA102,1,Holidays[Date]),AD102),"")</f>
        <v/>
      </c>
      <c r="AD102" s="78"/>
      <c r="AE102" s="80"/>
      <c r="AF102" s="68"/>
      <c r="AG102" s="77" t="str">
        <f>IF(AL102="","",WORKDAY.INTL(AL102,AJ102*-1,1,Holidays[Date]))</f>
        <v/>
      </c>
      <c r="AH102" s="77" t="str">
        <f ca="1">IFERROR(IF(AI102="",WORKDAY.INTL(AC102,AF102,1,Holidays[Date]),AI102),"")</f>
        <v/>
      </c>
      <c r="AI102" s="78"/>
      <c r="AJ102" s="80"/>
      <c r="AK102" s="68"/>
      <c r="AL102" s="77" t="str">
        <f>IF(AQ102="","",WORKDAY.INTL(AQ102,AO102*-1,1,Holidays[Date]))</f>
        <v/>
      </c>
      <c r="AM102" s="77" t="str">
        <f ca="1">IFERROR(IF(AN102="",WORKDAY.INTL(AH102,AK102,1,Holidays[Date]),AN102),"")</f>
        <v/>
      </c>
      <c r="AN102" s="78"/>
      <c r="AO102" s="80"/>
      <c r="AP102" s="68"/>
      <c r="AQ102" s="77" t="str">
        <f>IF(AV102="","",WORKDAY.INTL(AV102,AT102*-1,1,Holidays[Date]))</f>
        <v/>
      </c>
      <c r="AR102" s="77" t="str">
        <f ca="1">IFERROR(IF(AS102="",WORKDAY.INTL(AM102,AP102,1,Holidays[Date]),AS102),"")</f>
        <v/>
      </c>
      <c r="AS102" s="78"/>
      <c r="AT102" s="80"/>
      <c r="AU102" s="68"/>
      <c r="AV102" s="77" t="str">
        <f>IF(BA102="","",WORKDAY.INTL(BA102,AY102*-1,1,Holidays[Date]))</f>
        <v/>
      </c>
      <c r="AW102" s="77" t="str">
        <f ca="1">IFERROR(IF(AX102="",WORKDAY.INTL(AR102,AU102,1,Holidays[Date]),AX102),"")</f>
        <v/>
      </c>
      <c r="AX102" s="78"/>
      <c r="AY102" s="80"/>
      <c r="AZ102" s="68"/>
      <c r="BA102" s="77" t="str">
        <f>IF(BF102="","",WORKDAY.INTL(BF102,BD102*-1,1,Holidays[Date]))</f>
        <v/>
      </c>
      <c r="BB102" s="77" t="str">
        <f ca="1">IFERROR(IF(BC102="",WORKDAY.INTL(AW102,AZ102,1,Holidays[Date]),BC102),"")</f>
        <v/>
      </c>
      <c r="BC102" s="78"/>
      <c r="BD102" s="80"/>
      <c r="BE102" s="68"/>
      <c r="BF102" s="77" t="str">
        <f>IF(BK102="","",WORKDAY.INTL(BK102,BI102*-1,1,Holidays[Date]))</f>
        <v/>
      </c>
      <c r="BG102" s="77" t="str">
        <f ca="1">IFERROR(IF(BH102="",WORKDAY.INTL(BB102,BE102,1,Holidays[Date]),BH102),"")</f>
        <v/>
      </c>
      <c r="BH102" s="78"/>
      <c r="BI102" s="80"/>
      <c r="BJ102" s="68"/>
      <c r="BK102" s="77" t="str">
        <f>IF(BP102="","",WORKDAY.INTL(BP102,BN102*-1,1,Holidays[Date]))</f>
        <v/>
      </c>
      <c r="BL102" s="77" t="str">
        <f ca="1">IFERROR(IF(BM102="",WORKDAY.INTL(BG102,BJ102,1,Holidays[Date]),BM102),"")</f>
        <v/>
      </c>
      <c r="BM102" s="78"/>
      <c r="BN102" s="80"/>
      <c r="BO102" s="68"/>
      <c r="BP102" s="77" t="str">
        <f>IF(BU102="","",WORKDAY.INTL(BU102,BS102*-1,1,Holidays[Date]))</f>
        <v/>
      </c>
      <c r="BQ102" s="77" t="str">
        <f ca="1">IFERROR(IF(BR102="",WORKDAY.INTL(BL102,BO102,1,Holidays[Date]),BR102),"")</f>
        <v/>
      </c>
      <c r="BR102" s="78"/>
      <c r="BS102" s="80"/>
      <c r="BT102" s="68"/>
      <c r="BU102" s="77" t="str">
        <f>IF(BZ102="","",WORKDAY.INTL(BZ102,BX102*-1,1,Holidays[Date]))</f>
        <v/>
      </c>
      <c r="BV102" s="77" t="str">
        <f ca="1">IFERROR(IF(BW102="",WORKDAY.INTL(BQ102,BT102,1,Holidays[Date]),BW102),"")</f>
        <v/>
      </c>
      <c r="BW102" s="78"/>
      <c r="BX102" s="80"/>
      <c r="BY102" s="68"/>
      <c r="BZ102" s="81"/>
      <c r="CA102" s="77" t="str">
        <f ca="1">IFERROR(IF(CB102="",WORKDAY.INTL(BV102,BY102,1,Holidays[Date]),CB102),"")</f>
        <v/>
      </c>
      <c r="CB102" s="78"/>
    </row>
    <row r="103" spans="1:80" ht="19" customHeight="1" x14ac:dyDescent="0.35">
      <c r="A103" s="31"/>
      <c r="B103" s="82"/>
      <c r="C103" s="1"/>
      <c r="D103" s="8"/>
      <c r="E103" s="8"/>
      <c r="F103" s="8"/>
      <c r="G103" s="8"/>
      <c r="H103" s="8"/>
      <c r="I103" s="9"/>
      <c r="J103" s="8"/>
      <c r="K103" s="8"/>
      <c r="L103" s="8"/>
      <c r="M103" s="8"/>
      <c r="N103" s="8"/>
      <c r="O103" s="8"/>
      <c r="P103" s="8"/>
      <c r="Q103" s="2"/>
      <c r="R103" s="2"/>
      <c r="S103" s="88" t="str">
        <f>IF(tblProcRegister[[#This Row],[Award]]&lt;&gt;"",tblProcRegister[[#This Row],[Budget]]-tblProcRegister[[#This Row],[Award]],"")</f>
        <v/>
      </c>
      <c r="T103" s="68"/>
      <c r="U103" s="68"/>
      <c r="V103" s="68"/>
      <c r="W103" s="77" t="str">
        <f>IF(AB103="","",WORKDAY.INTL(AB103,Z103*-1,1,Holidays[Date]))</f>
        <v/>
      </c>
      <c r="X103" s="77" t="str">
        <f t="shared" ca="1" si="1"/>
        <v/>
      </c>
      <c r="Y103" s="78"/>
      <c r="Z103" s="79"/>
      <c r="AA103" s="68"/>
      <c r="AB103" s="77" t="str">
        <f>IF(AG103="","",WORKDAY.INTL(AG103,AE103*-1,1,Holidays[Date]))</f>
        <v/>
      </c>
      <c r="AC103" s="77" t="str">
        <f ca="1">IFERROR(IF(AD103="",WORKDAY.INTL(X103,AA103,1,Holidays[Date]),AD103),"")</f>
        <v/>
      </c>
      <c r="AD103" s="78"/>
      <c r="AE103" s="80"/>
      <c r="AF103" s="68"/>
      <c r="AG103" s="77" t="str">
        <f>IF(AL103="","",WORKDAY.INTL(AL103,AJ103*-1,1,Holidays[Date]))</f>
        <v/>
      </c>
      <c r="AH103" s="77" t="str">
        <f ca="1">IFERROR(IF(AI103="",WORKDAY.INTL(AC103,AF103,1,Holidays[Date]),AI103),"")</f>
        <v/>
      </c>
      <c r="AI103" s="78"/>
      <c r="AJ103" s="80"/>
      <c r="AK103" s="68"/>
      <c r="AL103" s="77" t="str">
        <f>IF(AQ103="","",WORKDAY.INTL(AQ103,AO103*-1,1,Holidays[Date]))</f>
        <v/>
      </c>
      <c r="AM103" s="77" t="str">
        <f ca="1">IFERROR(IF(AN103="",WORKDAY.INTL(AH103,AK103,1,Holidays[Date]),AN103),"")</f>
        <v/>
      </c>
      <c r="AN103" s="78"/>
      <c r="AO103" s="80"/>
      <c r="AP103" s="68"/>
      <c r="AQ103" s="77" t="str">
        <f>IF(AV103="","",WORKDAY.INTL(AV103,AT103*-1,1,Holidays[Date]))</f>
        <v/>
      </c>
      <c r="AR103" s="77" t="str">
        <f ca="1">IFERROR(IF(AS103="",WORKDAY.INTL(AM103,AP103,1,Holidays[Date]),AS103),"")</f>
        <v/>
      </c>
      <c r="AS103" s="78"/>
      <c r="AT103" s="80"/>
      <c r="AU103" s="68"/>
      <c r="AV103" s="77" t="str">
        <f>IF(BA103="","",WORKDAY.INTL(BA103,AY103*-1,1,Holidays[Date]))</f>
        <v/>
      </c>
      <c r="AW103" s="77" t="str">
        <f ca="1">IFERROR(IF(AX103="",WORKDAY.INTL(AR103,AU103,1,Holidays[Date]),AX103),"")</f>
        <v/>
      </c>
      <c r="AX103" s="78"/>
      <c r="AY103" s="80"/>
      <c r="AZ103" s="68"/>
      <c r="BA103" s="77" t="str">
        <f>IF(BF103="","",WORKDAY.INTL(BF103,BD103*-1,1,Holidays[Date]))</f>
        <v/>
      </c>
      <c r="BB103" s="77" t="str">
        <f ca="1">IFERROR(IF(BC103="",WORKDAY.INTL(AW103,AZ103,1,Holidays[Date]),BC103),"")</f>
        <v/>
      </c>
      <c r="BC103" s="78"/>
      <c r="BD103" s="80"/>
      <c r="BE103" s="68"/>
      <c r="BF103" s="77" t="str">
        <f>IF(BK103="","",WORKDAY.INTL(BK103,BI103*-1,1,Holidays[Date]))</f>
        <v/>
      </c>
      <c r="BG103" s="77" t="str">
        <f ca="1">IFERROR(IF(BH103="",WORKDAY.INTL(BB103,BE103,1,Holidays[Date]),BH103),"")</f>
        <v/>
      </c>
      <c r="BH103" s="78"/>
      <c r="BI103" s="80"/>
      <c r="BJ103" s="68"/>
      <c r="BK103" s="77" t="str">
        <f>IF(BP103="","",WORKDAY.INTL(BP103,BN103*-1,1,Holidays[Date]))</f>
        <v/>
      </c>
      <c r="BL103" s="77" t="str">
        <f ca="1">IFERROR(IF(BM103="",WORKDAY.INTL(BG103,BJ103,1,Holidays[Date]),BM103),"")</f>
        <v/>
      </c>
      <c r="BM103" s="78"/>
      <c r="BN103" s="80"/>
      <c r="BO103" s="68"/>
      <c r="BP103" s="77" t="str">
        <f>IF(BU103="","",WORKDAY.INTL(BU103,BS103*-1,1,Holidays[Date]))</f>
        <v/>
      </c>
      <c r="BQ103" s="77" t="str">
        <f ca="1">IFERROR(IF(BR103="",WORKDAY.INTL(BL103,BO103,1,Holidays[Date]),BR103),"")</f>
        <v/>
      </c>
      <c r="BR103" s="78"/>
      <c r="BS103" s="80"/>
      <c r="BT103" s="68"/>
      <c r="BU103" s="77" t="str">
        <f>IF(BZ103="","",WORKDAY.INTL(BZ103,BX103*-1,1,Holidays[Date]))</f>
        <v/>
      </c>
      <c r="BV103" s="77" t="str">
        <f ca="1">IFERROR(IF(BW103="",WORKDAY.INTL(BQ103,BT103,1,Holidays[Date]),BW103),"")</f>
        <v/>
      </c>
      <c r="BW103" s="78"/>
      <c r="BX103" s="80"/>
      <c r="BY103" s="68"/>
      <c r="BZ103" s="81"/>
      <c r="CA103" s="77" t="str">
        <f ca="1">IFERROR(IF(CB103="",WORKDAY.INTL(BV103,BY103,1,Holidays[Date]),CB103),"")</f>
        <v/>
      </c>
      <c r="CB103" s="78"/>
    </row>
    <row r="104" spans="1:80" ht="19" customHeight="1" x14ac:dyDescent="0.35">
      <c r="A104" s="31"/>
      <c r="B104" s="82"/>
      <c r="C104" s="1"/>
      <c r="D104" s="8"/>
      <c r="E104" s="8"/>
      <c r="F104" s="8"/>
      <c r="G104" s="8"/>
      <c r="H104" s="8"/>
      <c r="I104" s="9"/>
      <c r="J104" s="8"/>
      <c r="K104" s="8"/>
      <c r="L104" s="8"/>
      <c r="M104" s="8"/>
      <c r="N104" s="8"/>
      <c r="O104" s="8"/>
      <c r="P104" s="8"/>
      <c r="Q104" s="2"/>
      <c r="R104" s="2"/>
      <c r="S104" s="88" t="str">
        <f>IF(tblProcRegister[[#This Row],[Award]]&lt;&gt;"",tblProcRegister[[#This Row],[Budget]]-tblProcRegister[[#This Row],[Award]],"")</f>
        <v/>
      </c>
      <c r="T104" s="68"/>
      <c r="U104" s="68"/>
      <c r="V104" s="68"/>
      <c r="W104" s="77" t="str">
        <f>IF(AB104="","",WORKDAY.INTL(AB104,Z104*-1,1,Holidays[Date]))</f>
        <v/>
      </c>
      <c r="X104" s="77" t="str">
        <f t="shared" ca="1" si="1"/>
        <v/>
      </c>
      <c r="Y104" s="78"/>
      <c r="Z104" s="79"/>
      <c r="AA104" s="68"/>
      <c r="AB104" s="77" t="str">
        <f>IF(AG104="","",WORKDAY.INTL(AG104,AE104*-1,1,Holidays[Date]))</f>
        <v/>
      </c>
      <c r="AC104" s="77" t="str">
        <f ca="1">IFERROR(IF(AD104="",WORKDAY.INTL(X104,AA104,1,Holidays[Date]),AD104),"")</f>
        <v/>
      </c>
      <c r="AD104" s="78"/>
      <c r="AE104" s="80"/>
      <c r="AF104" s="68"/>
      <c r="AG104" s="77" t="str">
        <f>IF(AL104="","",WORKDAY.INTL(AL104,AJ104*-1,1,Holidays[Date]))</f>
        <v/>
      </c>
      <c r="AH104" s="77" t="str">
        <f ca="1">IFERROR(IF(AI104="",WORKDAY.INTL(AC104,AF104,1,Holidays[Date]),AI104),"")</f>
        <v/>
      </c>
      <c r="AI104" s="78"/>
      <c r="AJ104" s="80"/>
      <c r="AK104" s="68"/>
      <c r="AL104" s="77" t="str">
        <f>IF(AQ104="","",WORKDAY.INTL(AQ104,AO104*-1,1,Holidays[Date]))</f>
        <v/>
      </c>
      <c r="AM104" s="77" t="str">
        <f ca="1">IFERROR(IF(AN104="",WORKDAY.INTL(AH104,AK104,1,Holidays[Date]),AN104),"")</f>
        <v/>
      </c>
      <c r="AN104" s="78"/>
      <c r="AO104" s="80"/>
      <c r="AP104" s="68"/>
      <c r="AQ104" s="77" t="str">
        <f>IF(AV104="","",WORKDAY.INTL(AV104,AT104*-1,1,Holidays[Date]))</f>
        <v/>
      </c>
      <c r="AR104" s="77" t="str">
        <f ca="1">IFERROR(IF(AS104="",WORKDAY.INTL(AM104,AP104,1,Holidays[Date]),AS104),"")</f>
        <v/>
      </c>
      <c r="AS104" s="78"/>
      <c r="AT104" s="80"/>
      <c r="AU104" s="68"/>
      <c r="AV104" s="77" t="str">
        <f>IF(BA104="","",WORKDAY.INTL(BA104,AY104*-1,1,Holidays[Date]))</f>
        <v/>
      </c>
      <c r="AW104" s="77" t="str">
        <f ca="1">IFERROR(IF(AX104="",WORKDAY.INTL(AR104,AU104,1,Holidays[Date]),AX104),"")</f>
        <v/>
      </c>
      <c r="AX104" s="78"/>
      <c r="AY104" s="80"/>
      <c r="AZ104" s="68"/>
      <c r="BA104" s="77" t="str">
        <f>IF(BF104="","",WORKDAY.INTL(BF104,BD104*-1,1,Holidays[Date]))</f>
        <v/>
      </c>
      <c r="BB104" s="77" t="str">
        <f ca="1">IFERROR(IF(BC104="",WORKDAY.INTL(AW104,AZ104,1,Holidays[Date]),BC104),"")</f>
        <v/>
      </c>
      <c r="BC104" s="78"/>
      <c r="BD104" s="80"/>
      <c r="BE104" s="68"/>
      <c r="BF104" s="77" t="str">
        <f>IF(BK104="","",WORKDAY.INTL(BK104,BI104*-1,1,Holidays[Date]))</f>
        <v/>
      </c>
      <c r="BG104" s="77" t="str">
        <f ca="1">IFERROR(IF(BH104="",WORKDAY.INTL(BB104,BE104,1,Holidays[Date]),BH104),"")</f>
        <v/>
      </c>
      <c r="BH104" s="78"/>
      <c r="BI104" s="80"/>
      <c r="BJ104" s="68"/>
      <c r="BK104" s="77" t="str">
        <f>IF(BP104="","",WORKDAY.INTL(BP104,BN104*-1,1,Holidays[Date]))</f>
        <v/>
      </c>
      <c r="BL104" s="77" t="str">
        <f ca="1">IFERROR(IF(BM104="",WORKDAY.INTL(BG104,BJ104,1,Holidays[Date]),BM104),"")</f>
        <v/>
      </c>
      <c r="BM104" s="78"/>
      <c r="BN104" s="80"/>
      <c r="BO104" s="68"/>
      <c r="BP104" s="77" t="str">
        <f>IF(BU104="","",WORKDAY.INTL(BU104,BS104*-1,1,Holidays[Date]))</f>
        <v/>
      </c>
      <c r="BQ104" s="77" t="str">
        <f ca="1">IFERROR(IF(BR104="",WORKDAY.INTL(BL104,BO104,1,Holidays[Date]),BR104),"")</f>
        <v/>
      </c>
      <c r="BR104" s="78"/>
      <c r="BS104" s="80"/>
      <c r="BT104" s="68"/>
      <c r="BU104" s="77" t="str">
        <f>IF(BZ104="","",WORKDAY.INTL(BZ104,BX104*-1,1,Holidays[Date]))</f>
        <v/>
      </c>
      <c r="BV104" s="77" t="str">
        <f ca="1">IFERROR(IF(BW104="",WORKDAY.INTL(BQ104,BT104,1,Holidays[Date]),BW104),"")</f>
        <v/>
      </c>
      <c r="BW104" s="78"/>
      <c r="BX104" s="80"/>
      <c r="BY104" s="68"/>
      <c r="BZ104" s="81"/>
      <c r="CA104" s="77" t="str">
        <f ca="1">IFERROR(IF(CB104="",WORKDAY.INTL(BV104,BY104,1,Holidays[Date]),CB104),"")</f>
        <v/>
      </c>
      <c r="CB104" s="78"/>
    </row>
    <row r="105" spans="1:80" ht="19" customHeight="1" x14ac:dyDescent="0.35">
      <c r="A105" s="31"/>
      <c r="B105" s="82"/>
      <c r="C105" s="1"/>
      <c r="D105" s="8"/>
      <c r="E105" s="8"/>
      <c r="F105" s="8"/>
      <c r="G105" s="8"/>
      <c r="H105" s="8"/>
      <c r="I105" s="9"/>
      <c r="J105" s="8"/>
      <c r="K105" s="8"/>
      <c r="L105" s="8"/>
      <c r="M105" s="8"/>
      <c r="N105" s="8"/>
      <c r="O105" s="8"/>
      <c r="P105" s="8"/>
      <c r="Q105" s="2"/>
      <c r="R105" s="2"/>
      <c r="S105" s="88" t="str">
        <f>IF(tblProcRegister[[#This Row],[Award]]&lt;&gt;"",tblProcRegister[[#This Row],[Budget]]-tblProcRegister[[#This Row],[Award]],"")</f>
        <v/>
      </c>
      <c r="T105" s="68"/>
      <c r="U105" s="68"/>
      <c r="V105" s="68"/>
      <c r="W105" s="77" t="str">
        <f>IF(AB105="","",WORKDAY.INTL(AB105,Z105*-1,1,Holidays[Date]))</f>
        <v/>
      </c>
      <c r="X105" s="77" t="str">
        <f t="shared" ca="1" si="1"/>
        <v/>
      </c>
      <c r="Y105" s="78"/>
      <c r="Z105" s="79"/>
      <c r="AA105" s="68"/>
      <c r="AB105" s="77" t="str">
        <f>IF(AG105="","",WORKDAY.INTL(AG105,AE105*-1,1,Holidays[Date]))</f>
        <v/>
      </c>
      <c r="AC105" s="77" t="str">
        <f ca="1">IFERROR(IF(AD105="",WORKDAY.INTL(X105,AA105,1,Holidays[Date]),AD105),"")</f>
        <v/>
      </c>
      <c r="AD105" s="78"/>
      <c r="AE105" s="80"/>
      <c r="AF105" s="68"/>
      <c r="AG105" s="77" t="str">
        <f>IF(AL105="","",WORKDAY.INTL(AL105,AJ105*-1,1,Holidays[Date]))</f>
        <v/>
      </c>
      <c r="AH105" s="77" t="str">
        <f ca="1">IFERROR(IF(AI105="",WORKDAY.INTL(AC105,AF105,1,Holidays[Date]),AI105),"")</f>
        <v/>
      </c>
      <c r="AI105" s="78"/>
      <c r="AJ105" s="80"/>
      <c r="AK105" s="68"/>
      <c r="AL105" s="77" t="str">
        <f>IF(AQ105="","",WORKDAY.INTL(AQ105,AO105*-1,1,Holidays[Date]))</f>
        <v/>
      </c>
      <c r="AM105" s="77" t="str">
        <f ca="1">IFERROR(IF(AN105="",WORKDAY.INTL(AH105,AK105,1,Holidays[Date]),AN105),"")</f>
        <v/>
      </c>
      <c r="AN105" s="78"/>
      <c r="AO105" s="80"/>
      <c r="AP105" s="68"/>
      <c r="AQ105" s="77" t="str">
        <f>IF(AV105="","",WORKDAY.INTL(AV105,AT105*-1,1,Holidays[Date]))</f>
        <v/>
      </c>
      <c r="AR105" s="77" t="str">
        <f ca="1">IFERROR(IF(AS105="",WORKDAY.INTL(AM105,AP105,1,Holidays[Date]),AS105),"")</f>
        <v/>
      </c>
      <c r="AS105" s="78"/>
      <c r="AT105" s="80"/>
      <c r="AU105" s="68"/>
      <c r="AV105" s="77" t="str">
        <f>IF(BA105="","",WORKDAY.INTL(BA105,AY105*-1,1,Holidays[Date]))</f>
        <v/>
      </c>
      <c r="AW105" s="77" t="str">
        <f ca="1">IFERROR(IF(AX105="",WORKDAY.INTL(AR105,AU105,1,Holidays[Date]),AX105),"")</f>
        <v/>
      </c>
      <c r="AX105" s="78"/>
      <c r="AY105" s="80"/>
      <c r="AZ105" s="68"/>
      <c r="BA105" s="77" t="str">
        <f>IF(BF105="","",WORKDAY.INTL(BF105,BD105*-1,1,Holidays[Date]))</f>
        <v/>
      </c>
      <c r="BB105" s="77" t="str">
        <f ca="1">IFERROR(IF(BC105="",WORKDAY.INTL(AW105,AZ105,1,Holidays[Date]),BC105),"")</f>
        <v/>
      </c>
      <c r="BC105" s="78"/>
      <c r="BD105" s="80"/>
      <c r="BE105" s="68"/>
      <c r="BF105" s="77" t="str">
        <f>IF(BK105="","",WORKDAY.INTL(BK105,BI105*-1,1,Holidays[Date]))</f>
        <v/>
      </c>
      <c r="BG105" s="77" t="str">
        <f ca="1">IFERROR(IF(BH105="",WORKDAY.INTL(BB105,BE105,1,Holidays[Date]),BH105),"")</f>
        <v/>
      </c>
      <c r="BH105" s="78"/>
      <c r="BI105" s="80"/>
      <c r="BJ105" s="68"/>
      <c r="BK105" s="77" t="str">
        <f>IF(BP105="","",WORKDAY.INTL(BP105,BN105*-1,1,Holidays[Date]))</f>
        <v/>
      </c>
      <c r="BL105" s="77" t="str">
        <f ca="1">IFERROR(IF(BM105="",WORKDAY.INTL(BG105,BJ105,1,Holidays[Date]),BM105),"")</f>
        <v/>
      </c>
      <c r="BM105" s="78"/>
      <c r="BN105" s="80"/>
      <c r="BO105" s="68"/>
      <c r="BP105" s="77" t="str">
        <f>IF(BU105="","",WORKDAY.INTL(BU105,BS105*-1,1,Holidays[Date]))</f>
        <v/>
      </c>
      <c r="BQ105" s="77" t="str">
        <f ca="1">IFERROR(IF(BR105="",WORKDAY.INTL(BL105,BO105,1,Holidays[Date]),BR105),"")</f>
        <v/>
      </c>
      <c r="BR105" s="78"/>
      <c r="BS105" s="80"/>
      <c r="BT105" s="68"/>
      <c r="BU105" s="77" t="str">
        <f>IF(BZ105="","",WORKDAY.INTL(BZ105,BX105*-1,1,Holidays[Date]))</f>
        <v/>
      </c>
      <c r="BV105" s="77" t="str">
        <f ca="1">IFERROR(IF(BW105="",WORKDAY.INTL(BQ105,BT105,1,Holidays[Date]),BW105),"")</f>
        <v/>
      </c>
      <c r="BW105" s="78"/>
      <c r="BX105" s="80"/>
      <c r="BY105" s="68"/>
      <c r="BZ105" s="81"/>
      <c r="CA105" s="77" t="str">
        <f ca="1">IFERROR(IF(CB105="",WORKDAY.INTL(BV105,BY105,1,Holidays[Date]),CB105),"")</f>
        <v/>
      </c>
      <c r="CB105" s="78"/>
    </row>
    <row r="106" spans="1:80" ht="19" customHeight="1" x14ac:dyDescent="0.35">
      <c r="A106" s="31"/>
      <c r="B106" s="82"/>
      <c r="C106" s="1"/>
      <c r="D106" s="8"/>
      <c r="E106" s="8"/>
      <c r="F106" s="8"/>
      <c r="G106" s="8"/>
      <c r="H106" s="8"/>
      <c r="I106" s="9"/>
      <c r="J106" s="8"/>
      <c r="K106" s="8"/>
      <c r="L106" s="8"/>
      <c r="M106" s="8"/>
      <c r="N106" s="8"/>
      <c r="O106" s="8"/>
      <c r="P106" s="8"/>
      <c r="Q106" s="2"/>
      <c r="R106" s="2"/>
      <c r="S106" s="88" t="str">
        <f>IF(tblProcRegister[[#This Row],[Award]]&lt;&gt;"",tblProcRegister[[#This Row],[Budget]]-tblProcRegister[[#This Row],[Award]],"")</f>
        <v/>
      </c>
      <c r="T106" s="68"/>
      <c r="U106" s="68"/>
      <c r="V106" s="68"/>
      <c r="W106" s="77" t="str">
        <f>IF(AB106="","",WORKDAY.INTL(AB106,Z106*-1,1,Holidays[Date]))</f>
        <v/>
      </c>
      <c r="X106" s="77" t="str">
        <f t="shared" ca="1" si="1"/>
        <v/>
      </c>
      <c r="Y106" s="78"/>
      <c r="Z106" s="79"/>
      <c r="AA106" s="68"/>
      <c r="AB106" s="77" t="str">
        <f>IF(AG106="","",WORKDAY.INTL(AG106,AE106*-1,1,Holidays[Date]))</f>
        <v/>
      </c>
      <c r="AC106" s="77" t="str">
        <f ca="1">IFERROR(IF(AD106="",WORKDAY.INTL(X106,AA106,1,Holidays[Date]),AD106),"")</f>
        <v/>
      </c>
      <c r="AD106" s="78"/>
      <c r="AE106" s="80"/>
      <c r="AF106" s="68"/>
      <c r="AG106" s="77" t="str">
        <f>IF(AL106="","",WORKDAY.INTL(AL106,AJ106*-1,1,Holidays[Date]))</f>
        <v/>
      </c>
      <c r="AH106" s="77" t="str">
        <f ca="1">IFERROR(IF(AI106="",WORKDAY.INTL(AC106,AF106,1,Holidays[Date]),AI106),"")</f>
        <v/>
      </c>
      <c r="AI106" s="78"/>
      <c r="AJ106" s="80"/>
      <c r="AK106" s="68"/>
      <c r="AL106" s="77" t="str">
        <f>IF(AQ106="","",WORKDAY.INTL(AQ106,AO106*-1,1,Holidays[Date]))</f>
        <v/>
      </c>
      <c r="AM106" s="77" t="str">
        <f ca="1">IFERROR(IF(AN106="",WORKDAY.INTL(AH106,AK106,1,Holidays[Date]),AN106),"")</f>
        <v/>
      </c>
      <c r="AN106" s="78"/>
      <c r="AO106" s="80"/>
      <c r="AP106" s="68"/>
      <c r="AQ106" s="77" t="str">
        <f>IF(AV106="","",WORKDAY.INTL(AV106,AT106*-1,1,Holidays[Date]))</f>
        <v/>
      </c>
      <c r="AR106" s="77" t="str">
        <f ca="1">IFERROR(IF(AS106="",WORKDAY.INTL(AM106,AP106,1,Holidays[Date]),AS106),"")</f>
        <v/>
      </c>
      <c r="AS106" s="78"/>
      <c r="AT106" s="80"/>
      <c r="AU106" s="68"/>
      <c r="AV106" s="77" t="str">
        <f>IF(BA106="","",WORKDAY.INTL(BA106,AY106*-1,1,Holidays[Date]))</f>
        <v/>
      </c>
      <c r="AW106" s="77" t="str">
        <f ca="1">IFERROR(IF(AX106="",WORKDAY.INTL(AR106,AU106,1,Holidays[Date]),AX106),"")</f>
        <v/>
      </c>
      <c r="AX106" s="78"/>
      <c r="AY106" s="80"/>
      <c r="AZ106" s="68"/>
      <c r="BA106" s="77" t="str">
        <f>IF(BF106="","",WORKDAY.INTL(BF106,BD106*-1,1,Holidays[Date]))</f>
        <v/>
      </c>
      <c r="BB106" s="77" t="str">
        <f ca="1">IFERROR(IF(BC106="",WORKDAY.INTL(AW106,AZ106,1,Holidays[Date]),BC106),"")</f>
        <v/>
      </c>
      <c r="BC106" s="78"/>
      <c r="BD106" s="80"/>
      <c r="BE106" s="68"/>
      <c r="BF106" s="77" t="str">
        <f>IF(BK106="","",WORKDAY.INTL(BK106,BI106*-1,1,Holidays[Date]))</f>
        <v/>
      </c>
      <c r="BG106" s="77" t="str">
        <f ca="1">IFERROR(IF(BH106="",WORKDAY.INTL(BB106,BE106,1,Holidays[Date]),BH106),"")</f>
        <v/>
      </c>
      <c r="BH106" s="78"/>
      <c r="BI106" s="80"/>
      <c r="BJ106" s="68"/>
      <c r="BK106" s="77" t="str">
        <f>IF(BP106="","",WORKDAY.INTL(BP106,BN106*-1,1,Holidays[Date]))</f>
        <v/>
      </c>
      <c r="BL106" s="77" t="str">
        <f ca="1">IFERROR(IF(BM106="",WORKDAY.INTL(BG106,BJ106,1,Holidays[Date]),BM106),"")</f>
        <v/>
      </c>
      <c r="BM106" s="78"/>
      <c r="BN106" s="80"/>
      <c r="BO106" s="68"/>
      <c r="BP106" s="77" t="str">
        <f>IF(BU106="","",WORKDAY.INTL(BU106,BS106*-1,1,Holidays[Date]))</f>
        <v/>
      </c>
      <c r="BQ106" s="77" t="str">
        <f ca="1">IFERROR(IF(BR106="",WORKDAY.INTL(BL106,BO106,1,Holidays[Date]),BR106),"")</f>
        <v/>
      </c>
      <c r="BR106" s="78"/>
      <c r="BS106" s="80"/>
      <c r="BT106" s="68"/>
      <c r="BU106" s="77" t="str">
        <f>IF(BZ106="","",WORKDAY.INTL(BZ106,BX106*-1,1,Holidays[Date]))</f>
        <v/>
      </c>
      <c r="BV106" s="77" t="str">
        <f ca="1">IFERROR(IF(BW106="",WORKDAY.INTL(BQ106,BT106,1,Holidays[Date]),BW106),"")</f>
        <v/>
      </c>
      <c r="BW106" s="78"/>
      <c r="BX106" s="80"/>
      <c r="BY106" s="68"/>
      <c r="BZ106" s="81"/>
      <c r="CA106" s="77" t="str">
        <f ca="1">IFERROR(IF(CB106="",WORKDAY.INTL(BV106,BY106,1,Holidays[Date]),CB106),"")</f>
        <v/>
      </c>
      <c r="CB106" s="78"/>
    </row>
    <row r="107" spans="1:80" ht="19" customHeight="1" x14ac:dyDescent="0.35">
      <c r="A107" s="31"/>
      <c r="B107" s="82"/>
      <c r="C107" s="1"/>
      <c r="D107" s="8"/>
      <c r="E107" s="8"/>
      <c r="F107" s="8"/>
      <c r="G107" s="8"/>
      <c r="H107" s="8"/>
      <c r="I107" s="9"/>
      <c r="J107" s="8"/>
      <c r="K107" s="8"/>
      <c r="L107" s="8"/>
      <c r="M107" s="8"/>
      <c r="N107" s="8"/>
      <c r="O107" s="8"/>
      <c r="P107" s="8"/>
      <c r="Q107" s="2"/>
      <c r="R107" s="2"/>
      <c r="S107" s="88" t="str">
        <f>IF(tblProcRegister[[#This Row],[Award]]&lt;&gt;"",tblProcRegister[[#This Row],[Budget]]-tblProcRegister[[#This Row],[Award]],"")</f>
        <v/>
      </c>
      <c r="T107" s="68"/>
      <c r="U107" s="68"/>
      <c r="V107" s="68"/>
      <c r="W107" s="77" t="str">
        <f>IF(AB107="","",WORKDAY.INTL(AB107,Z107*-1,1,Holidays[Date]))</f>
        <v/>
      </c>
      <c r="X107" s="77" t="str">
        <f t="shared" ca="1" si="1"/>
        <v/>
      </c>
      <c r="Y107" s="78"/>
      <c r="Z107" s="79"/>
      <c r="AA107" s="68"/>
      <c r="AB107" s="77" t="str">
        <f>IF(AG107="","",WORKDAY.INTL(AG107,AE107*-1,1,Holidays[Date]))</f>
        <v/>
      </c>
      <c r="AC107" s="77" t="str">
        <f ca="1">IFERROR(IF(AD107="",WORKDAY.INTL(X107,AA107,1,Holidays[Date]),AD107),"")</f>
        <v/>
      </c>
      <c r="AD107" s="78"/>
      <c r="AE107" s="80"/>
      <c r="AF107" s="68"/>
      <c r="AG107" s="77" t="str">
        <f>IF(AL107="","",WORKDAY.INTL(AL107,AJ107*-1,1,Holidays[Date]))</f>
        <v/>
      </c>
      <c r="AH107" s="77" t="str">
        <f ca="1">IFERROR(IF(AI107="",WORKDAY.INTL(AC107,AF107,1,Holidays[Date]),AI107),"")</f>
        <v/>
      </c>
      <c r="AI107" s="78"/>
      <c r="AJ107" s="80"/>
      <c r="AK107" s="68"/>
      <c r="AL107" s="77" t="str">
        <f>IF(AQ107="","",WORKDAY.INTL(AQ107,AO107*-1,1,Holidays[Date]))</f>
        <v/>
      </c>
      <c r="AM107" s="77" t="str">
        <f ca="1">IFERROR(IF(AN107="",WORKDAY.INTL(AH107,AK107,1,Holidays[Date]),AN107),"")</f>
        <v/>
      </c>
      <c r="AN107" s="78"/>
      <c r="AO107" s="80"/>
      <c r="AP107" s="68"/>
      <c r="AQ107" s="77" t="str">
        <f>IF(AV107="","",WORKDAY.INTL(AV107,AT107*-1,1,Holidays[Date]))</f>
        <v/>
      </c>
      <c r="AR107" s="77" t="str">
        <f ca="1">IFERROR(IF(AS107="",WORKDAY.INTL(AM107,AP107,1,Holidays[Date]),AS107),"")</f>
        <v/>
      </c>
      <c r="AS107" s="78"/>
      <c r="AT107" s="80"/>
      <c r="AU107" s="68"/>
      <c r="AV107" s="77" t="str">
        <f>IF(BA107="","",WORKDAY.INTL(BA107,AY107*-1,1,Holidays[Date]))</f>
        <v/>
      </c>
      <c r="AW107" s="77" t="str">
        <f ca="1">IFERROR(IF(AX107="",WORKDAY.INTL(AR107,AU107,1,Holidays[Date]),AX107),"")</f>
        <v/>
      </c>
      <c r="AX107" s="78"/>
      <c r="AY107" s="80"/>
      <c r="AZ107" s="68"/>
      <c r="BA107" s="77" t="str">
        <f>IF(BF107="","",WORKDAY.INTL(BF107,BD107*-1,1,Holidays[Date]))</f>
        <v/>
      </c>
      <c r="BB107" s="77" t="str">
        <f ca="1">IFERROR(IF(BC107="",WORKDAY.INTL(AW107,AZ107,1,Holidays[Date]),BC107),"")</f>
        <v/>
      </c>
      <c r="BC107" s="78"/>
      <c r="BD107" s="80"/>
      <c r="BE107" s="68"/>
      <c r="BF107" s="77" t="str">
        <f>IF(BK107="","",WORKDAY.INTL(BK107,BI107*-1,1,Holidays[Date]))</f>
        <v/>
      </c>
      <c r="BG107" s="77" t="str">
        <f ca="1">IFERROR(IF(BH107="",WORKDAY.INTL(BB107,BE107,1,Holidays[Date]),BH107),"")</f>
        <v/>
      </c>
      <c r="BH107" s="78"/>
      <c r="BI107" s="80"/>
      <c r="BJ107" s="68"/>
      <c r="BK107" s="77" t="str">
        <f>IF(BP107="","",WORKDAY.INTL(BP107,BN107*-1,1,Holidays[Date]))</f>
        <v/>
      </c>
      <c r="BL107" s="77" t="str">
        <f ca="1">IFERROR(IF(BM107="",WORKDAY.INTL(BG107,BJ107,1,Holidays[Date]),BM107),"")</f>
        <v/>
      </c>
      <c r="BM107" s="78"/>
      <c r="BN107" s="80"/>
      <c r="BO107" s="68"/>
      <c r="BP107" s="77" t="str">
        <f>IF(BU107="","",WORKDAY.INTL(BU107,BS107*-1,1,Holidays[Date]))</f>
        <v/>
      </c>
      <c r="BQ107" s="77" t="str">
        <f ca="1">IFERROR(IF(BR107="",WORKDAY.INTL(BL107,BO107,1,Holidays[Date]),BR107),"")</f>
        <v/>
      </c>
      <c r="BR107" s="78"/>
      <c r="BS107" s="80"/>
      <c r="BT107" s="68"/>
      <c r="BU107" s="77" t="str">
        <f>IF(BZ107="","",WORKDAY.INTL(BZ107,BX107*-1,1,Holidays[Date]))</f>
        <v/>
      </c>
      <c r="BV107" s="77" t="str">
        <f ca="1">IFERROR(IF(BW107="",WORKDAY.INTL(BQ107,BT107,1,Holidays[Date]),BW107),"")</f>
        <v/>
      </c>
      <c r="BW107" s="78"/>
      <c r="BX107" s="80"/>
      <c r="BY107" s="68"/>
      <c r="BZ107" s="81"/>
      <c r="CA107" s="77" t="str">
        <f ca="1">IFERROR(IF(CB107="",WORKDAY.INTL(BV107,BY107,1,Holidays[Date]),CB107),"")</f>
        <v/>
      </c>
      <c r="CB107" s="78"/>
    </row>
    <row r="108" spans="1:80" ht="19" customHeight="1" x14ac:dyDescent="0.35">
      <c r="A108" s="31"/>
      <c r="B108" s="82"/>
      <c r="C108" s="1"/>
      <c r="D108" s="8"/>
      <c r="E108" s="8"/>
      <c r="F108" s="8"/>
      <c r="G108" s="8"/>
      <c r="H108" s="8"/>
      <c r="I108" s="9"/>
      <c r="J108" s="8"/>
      <c r="K108" s="8"/>
      <c r="L108" s="8"/>
      <c r="M108" s="8"/>
      <c r="N108" s="8"/>
      <c r="O108" s="8"/>
      <c r="P108" s="8"/>
      <c r="Q108" s="2"/>
      <c r="R108" s="2"/>
      <c r="S108" s="88" t="str">
        <f>IF(tblProcRegister[[#This Row],[Award]]&lt;&gt;"",tblProcRegister[[#This Row],[Budget]]-tblProcRegister[[#This Row],[Award]],"")</f>
        <v/>
      </c>
      <c r="T108" s="68"/>
      <c r="U108" s="68"/>
      <c r="V108" s="68"/>
      <c r="W108" s="77" t="str">
        <f>IF(AB108="","",WORKDAY.INTL(AB108,Z108*-1,1,Holidays[Date]))</f>
        <v/>
      </c>
      <c r="X108" s="77" t="str">
        <f t="shared" ca="1" si="1"/>
        <v/>
      </c>
      <c r="Y108" s="78"/>
      <c r="Z108" s="79"/>
      <c r="AA108" s="68"/>
      <c r="AB108" s="77" t="str">
        <f>IF(AG108="","",WORKDAY.INTL(AG108,AE108*-1,1,Holidays[Date]))</f>
        <v/>
      </c>
      <c r="AC108" s="77" t="str">
        <f ca="1">IFERROR(IF(AD108="",WORKDAY.INTL(X108,AA108,1,Holidays[Date]),AD108),"")</f>
        <v/>
      </c>
      <c r="AD108" s="78"/>
      <c r="AE108" s="80"/>
      <c r="AF108" s="68"/>
      <c r="AG108" s="77" t="str">
        <f>IF(AL108="","",WORKDAY.INTL(AL108,AJ108*-1,1,Holidays[Date]))</f>
        <v/>
      </c>
      <c r="AH108" s="77" t="str">
        <f ca="1">IFERROR(IF(AI108="",WORKDAY.INTL(AC108,AF108,1,Holidays[Date]),AI108),"")</f>
        <v/>
      </c>
      <c r="AI108" s="78"/>
      <c r="AJ108" s="80"/>
      <c r="AK108" s="68"/>
      <c r="AL108" s="77" t="str">
        <f>IF(AQ108="","",WORKDAY.INTL(AQ108,AO108*-1,1,Holidays[Date]))</f>
        <v/>
      </c>
      <c r="AM108" s="77" t="str">
        <f ca="1">IFERROR(IF(AN108="",WORKDAY.INTL(AH108,AK108,1,Holidays[Date]),AN108),"")</f>
        <v/>
      </c>
      <c r="AN108" s="78"/>
      <c r="AO108" s="80"/>
      <c r="AP108" s="68"/>
      <c r="AQ108" s="77" t="str">
        <f>IF(AV108="","",WORKDAY.INTL(AV108,AT108*-1,1,Holidays[Date]))</f>
        <v/>
      </c>
      <c r="AR108" s="77" t="str">
        <f ca="1">IFERROR(IF(AS108="",WORKDAY.INTL(AM108,AP108,1,Holidays[Date]),AS108),"")</f>
        <v/>
      </c>
      <c r="AS108" s="78"/>
      <c r="AT108" s="80"/>
      <c r="AU108" s="68"/>
      <c r="AV108" s="77" t="str">
        <f>IF(BA108="","",WORKDAY.INTL(BA108,AY108*-1,1,Holidays[Date]))</f>
        <v/>
      </c>
      <c r="AW108" s="77" t="str">
        <f ca="1">IFERROR(IF(AX108="",WORKDAY.INTL(AR108,AU108,1,Holidays[Date]),AX108),"")</f>
        <v/>
      </c>
      <c r="AX108" s="78"/>
      <c r="AY108" s="80"/>
      <c r="AZ108" s="68"/>
      <c r="BA108" s="77" t="str">
        <f>IF(BF108="","",WORKDAY.INTL(BF108,BD108*-1,1,Holidays[Date]))</f>
        <v/>
      </c>
      <c r="BB108" s="77" t="str">
        <f ca="1">IFERROR(IF(BC108="",WORKDAY.INTL(AW108,AZ108,1,Holidays[Date]),BC108),"")</f>
        <v/>
      </c>
      <c r="BC108" s="78"/>
      <c r="BD108" s="80"/>
      <c r="BE108" s="68"/>
      <c r="BF108" s="77" t="str">
        <f>IF(BK108="","",WORKDAY.INTL(BK108,BI108*-1,1,Holidays[Date]))</f>
        <v/>
      </c>
      <c r="BG108" s="77" t="str">
        <f ca="1">IFERROR(IF(BH108="",WORKDAY.INTL(BB108,BE108,1,Holidays[Date]),BH108),"")</f>
        <v/>
      </c>
      <c r="BH108" s="78"/>
      <c r="BI108" s="80"/>
      <c r="BJ108" s="68"/>
      <c r="BK108" s="77" t="str">
        <f>IF(BP108="","",WORKDAY.INTL(BP108,BN108*-1,1,Holidays[Date]))</f>
        <v/>
      </c>
      <c r="BL108" s="77" t="str">
        <f ca="1">IFERROR(IF(BM108="",WORKDAY.INTL(BG108,BJ108,1,Holidays[Date]),BM108),"")</f>
        <v/>
      </c>
      <c r="BM108" s="78"/>
      <c r="BN108" s="80"/>
      <c r="BO108" s="68"/>
      <c r="BP108" s="77" t="str">
        <f>IF(BU108="","",WORKDAY.INTL(BU108,BS108*-1,1,Holidays[Date]))</f>
        <v/>
      </c>
      <c r="BQ108" s="77" t="str">
        <f ca="1">IFERROR(IF(BR108="",WORKDAY.INTL(BL108,BO108,1,Holidays[Date]),BR108),"")</f>
        <v/>
      </c>
      <c r="BR108" s="78"/>
      <c r="BS108" s="80"/>
      <c r="BT108" s="68"/>
      <c r="BU108" s="77" t="str">
        <f>IF(BZ108="","",WORKDAY.INTL(BZ108,BX108*-1,1,Holidays[Date]))</f>
        <v/>
      </c>
      <c r="BV108" s="77" t="str">
        <f ca="1">IFERROR(IF(BW108="",WORKDAY.INTL(BQ108,BT108,1,Holidays[Date]),BW108),"")</f>
        <v/>
      </c>
      <c r="BW108" s="78"/>
      <c r="BX108" s="80"/>
      <c r="BY108" s="68"/>
      <c r="BZ108" s="81"/>
      <c r="CA108" s="77" t="str">
        <f ca="1">IFERROR(IF(CB108="",WORKDAY.INTL(BV108,BY108,1,Holidays[Date]),CB108),"")</f>
        <v/>
      </c>
      <c r="CB108" s="78"/>
    </row>
    <row r="109" spans="1:80" ht="19" customHeight="1" x14ac:dyDescent="0.35">
      <c r="A109" s="31"/>
      <c r="B109" s="82"/>
      <c r="C109" s="1"/>
      <c r="D109" s="8"/>
      <c r="E109" s="8"/>
      <c r="F109" s="8"/>
      <c r="G109" s="8"/>
      <c r="H109" s="8"/>
      <c r="I109" s="9"/>
      <c r="J109" s="8"/>
      <c r="K109" s="8"/>
      <c r="L109" s="8"/>
      <c r="M109" s="8"/>
      <c r="N109" s="8"/>
      <c r="O109" s="8"/>
      <c r="P109" s="8"/>
      <c r="Q109" s="2"/>
      <c r="R109" s="2"/>
      <c r="S109" s="88" t="str">
        <f>IF(tblProcRegister[[#This Row],[Award]]&lt;&gt;"",tblProcRegister[[#This Row],[Budget]]-tblProcRegister[[#This Row],[Award]],"")</f>
        <v/>
      </c>
      <c r="T109" s="68"/>
      <c r="U109" s="68"/>
      <c r="V109" s="68"/>
      <c r="W109" s="77" t="str">
        <f>IF(AB109="","",WORKDAY.INTL(AB109,Z109*-1,1,Holidays[Date]))</f>
        <v/>
      </c>
      <c r="X109" s="77" t="str">
        <f t="shared" ca="1" si="1"/>
        <v/>
      </c>
      <c r="Y109" s="78"/>
      <c r="Z109" s="79"/>
      <c r="AA109" s="68"/>
      <c r="AB109" s="77" t="str">
        <f>IF(AG109="","",WORKDAY.INTL(AG109,AE109*-1,1,Holidays[Date]))</f>
        <v/>
      </c>
      <c r="AC109" s="77" t="str">
        <f ca="1">IFERROR(IF(AD109="",WORKDAY.INTL(X109,AA109,1,Holidays[Date]),AD109),"")</f>
        <v/>
      </c>
      <c r="AD109" s="78"/>
      <c r="AE109" s="80"/>
      <c r="AF109" s="68"/>
      <c r="AG109" s="77" t="str">
        <f>IF(AL109="","",WORKDAY.INTL(AL109,AJ109*-1,1,Holidays[Date]))</f>
        <v/>
      </c>
      <c r="AH109" s="77" t="str">
        <f ca="1">IFERROR(IF(AI109="",WORKDAY.INTL(AC109,AF109,1,Holidays[Date]),AI109),"")</f>
        <v/>
      </c>
      <c r="AI109" s="78"/>
      <c r="AJ109" s="80"/>
      <c r="AK109" s="68"/>
      <c r="AL109" s="77" t="str">
        <f>IF(AQ109="","",WORKDAY.INTL(AQ109,AO109*-1,1,Holidays[Date]))</f>
        <v/>
      </c>
      <c r="AM109" s="77" t="str">
        <f ca="1">IFERROR(IF(AN109="",WORKDAY.INTL(AH109,AK109,1,Holidays[Date]),AN109),"")</f>
        <v/>
      </c>
      <c r="AN109" s="78"/>
      <c r="AO109" s="80"/>
      <c r="AP109" s="68"/>
      <c r="AQ109" s="77" t="str">
        <f>IF(AV109="","",WORKDAY.INTL(AV109,AT109*-1,1,Holidays[Date]))</f>
        <v/>
      </c>
      <c r="AR109" s="77" t="str">
        <f ca="1">IFERROR(IF(AS109="",WORKDAY.INTL(AM109,AP109,1,Holidays[Date]),AS109),"")</f>
        <v/>
      </c>
      <c r="AS109" s="78"/>
      <c r="AT109" s="80"/>
      <c r="AU109" s="68"/>
      <c r="AV109" s="77" t="str">
        <f>IF(BA109="","",WORKDAY.INTL(BA109,AY109*-1,1,Holidays[Date]))</f>
        <v/>
      </c>
      <c r="AW109" s="77" t="str">
        <f ca="1">IFERROR(IF(AX109="",WORKDAY.INTL(AR109,AU109,1,Holidays[Date]),AX109),"")</f>
        <v/>
      </c>
      <c r="AX109" s="78"/>
      <c r="AY109" s="80"/>
      <c r="AZ109" s="68"/>
      <c r="BA109" s="77" t="str">
        <f>IF(BF109="","",WORKDAY.INTL(BF109,BD109*-1,1,Holidays[Date]))</f>
        <v/>
      </c>
      <c r="BB109" s="77" t="str">
        <f ca="1">IFERROR(IF(BC109="",WORKDAY.INTL(AW109,AZ109,1,Holidays[Date]),BC109),"")</f>
        <v/>
      </c>
      <c r="BC109" s="78"/>
      <c r="BD109" s="80"/>
      <c r="BE109" s="68"/>
      <c r="BF109" s="77" t="str">
        <f>IF(BK109="","",WORKDAY.INTL(BK109,BI109*-1,1,Holidays[Date]))</f>
        <v/>
      </c>
      <c r="BG109" s="77" t="str">
        <f ca="1">IFERROR(IF(BH109="",WORKDAY.INTL(BB109,BE109,1,Holidays[Date]),BH109),"")</f>
        <v/>
      </c>
      <c r="BH109" s="78"/>
      <c r="BI109" s="80"/>
      <c r="BJ109" s="68"/>
      <c r="BK109" s="77" t="str">
        <f>IF(BP109="","",WORKDAY.INTL(BP109,BN109*-1,1,Holidays[Date]))</f>
        <v/>
      </c>
      <c r="BL109" s="77" t="str">
        <f ca="1">IFERROR(IF(BM109="",WORKDAY.INTL(BG109,BJ109,1,Holidays[Date]),BM109),"")</f>
        <v/>
      </c>
      <c r="BM109" s="78"/>
      <c r="BN109" s="80"/>
      <c r="BO109" s="68"/>
      <c r="BP109" s="77" t="str">
        <f>IF(BU109="","",WORKDAY.INTL(BU109,BS109*-1,1,Holidays[Date]))</f>
        <v/>
      </c>
      <c r="BQ109" s="77" t="str">
        <f ca="1">IFERROR(IF(BR109="",WORKDAY.INTL(BL109,BO109,1,Holidays[Date]),BR109),"")</f>
        <v/>
      </c>
      <c r="BR109" s="78"/>
      <c r="BS109" s="80"/>
      <c r="BT109" s="68"/>
      <c r="BU109" s="77" t="str">
        <f>IF(BZ109="","",WORKDAY.INTL(BZ109,BX109*-1,1,Holidays[Date]))</f>
        <v/>
      </c>
      <c r="BV109" s="77" t="str">
        <f ca="1">IFERROR(IF(BW109="",WORKDAY.INTL(BQ109,BT109,1,Holidays[Date]),BW109),"")</f>
        <v/>
      </c>
      <c r="BW109" s="78"/>
      <c r="BX109" s="80"/>
      <c r="BY109" s="68"/>
      <c r="BZ109" s="81"/>
      <c r="CA109" s="77" t="str">
        <f ca="1">IFERROR(IF(CB109="",WORKDAY.INTL(BV109,BY109,1,Holidays[Date]),CB109),"")</f>
        <v/>
      </c>
      <c r="CB109" s="78"/>
    </row>
    <row r="110" spans="1:80" ht="19" customHeight="1" x14ac:dyDescent="0.35">
      <c r="A110" s="31"/>
      <c r="B110" s="82"/>
      <c r="C110" s="1"/>
      <c r="D110" s="8"/>
      <c r="E110" s="8"/>
      <c r="F110" s="8"/>
      <c r="G110" s="8"/>
      <c r="H110" s="8"/>
      <c r="I110" s="9"/>
      <c r="J110" s="8"/>
      <c r="K110" s="8"/>
      <c r="L110" s="8"/>
      <c r="M110" s="8"/>
      <c r="N110" s="8"/>
      <c r="O110" s="8"/>
      <c r="P110" s="8"/>
      <c r="Q110" s="2"/>
      <c r="R110" s="2"/>
      <c r="S110" s="88" t="str">
        <f>IF(tblProcRegister[[#This Row],[Award]]&lt;&gt;"",tblProcRegister[[#This Row],[Budget]]-tblProcRegister[[#This Row],[Award]],"")</f>
        <v/>
      </c>
      <c r="T110" s="68"/>
      <c r="U110" s="68"/>
      <c r="V110" s="68"/>
      <c r="W110" s="77" t="str">
        <f>IF(AB110="","",WORKDAY.INTL(AB110,Z110*-1,1,Holidays[Date]))</f>
        <v/>
      </c>
      <c r="X110" s="77" t="str">
        <f t="shared" ca="1" si="1"/>
        <v/>
      </c>
      <c r="Y110" s="78"/>
      <c r="Z110" s="79"/>
      <c r="AA110" s="68"/>
      <c r="AB110" s="77" t="str">
        <f>IF(AG110="","",WORKDAY.INTL(AG110,AE110*-1,1,Holidays[Date]))</f>
        <v/>
      </c>
      <c r="AC110" s="77" t="str">
        <f ca="1">IFERROR(IF(AD110="",WORKDAY.INTL(X110,AA110,1,Holidays[Date]),AD110),"")</f>
        <v/>
      </c>
      <c r="AD110" s="78"/>
      <c r="AE110" s="80"/>
      <c r="AF110" s="68"/>
      <c r="AG110" s="77" t="str">
        <f>IF(AL110="","",WORKDAY.INTL(AL110,AJ110*-1,1,Holidays[Date]))</f>
        <v/>
      </c>
      <c r="AH110" s="77" t="str">
        <f ca="1">IFERROR(IF(AI110="",WORKDAY.INTL(AC110,AF110,1,Holidays[Date]),AI110),"")</f>
        <v/>
      </c>
      <c r="AI110" s="78"/>
      <c r="AJ110" s="80"/>
      <c r="AK110" s="68"/>
      <c r="AL110" s="77" t="str">
        <f>IF(AQ110="","",WORKDAY.INTL(AQ110,AO110*-1,1,Holidays[Date]))</f>
        <v/>
      </c>
      <c r="AM110" s="77" t="str">
        <f ca="1">IFERROR(IF(AN110="",WORKDAY.INTL(AH110,AK110,1,Holidays[Date]),AN110),"")</f>
        <v/>
      </c>
      <c r="AN110" s="78"/>
      <c r="AO110" s="80"/>
      <c r="AP110" s="68"/>
      <c r="AQ110" s="77" t="str">
        <f>IF(AV110="","",WORKDAY.INTL(AV110,AT110*-1,1,Holidays[Date]))</f>
        <v/>
      </c>
      <c r="AR110" s="77" t="str">
        <f ca="1">IFERROR(IF(AS110="",WORKDAY.INTL(AM110,AP110,1,Holidays[Date]),AS110),"")</f>
        <v/>
      </c>
      <c r="AS110" s="78"/>
      <c r="AT110" s="80"/>
      <c r="AU110" s="68"/>
      <c r="AV110" s="77" t="str">
        <f>IF(BA110="","",WORKDAY.INTL(BA110,AY110*-1,1,Holidays[Date]))</f>
        <v/>
      </c>
      <c r="AW110" s="77" t="str">
        <f ca="1">IFERROR(IF(AX110="",WORKDAY.INTL(AR110,AU110,1,Holidays[Date]),AX110),"")</f>
        <v/>
      </c>
      <c r="AX110" s="78"/>
      <c r="AY110" s="80"/>
      <c r="AZ110" s="68"/>
      <c r="BA110" s="77" t="str">
        <f>IF(BF110="","",WORKDAY.INTL(BF110,BD110*-1,1,Holidays[Date]))</f>
        <v/>
      </c>
      <c r="BB110" s="77" t="str">
        <f ca="1">IFERROR(IF(BC110="",WORKDAY.INTL(AW110,AZ110,1,Holidays[Date]),BC110),"")</f>
        <v/>
      </c>
      <c r="BC110" s="78"/>
      <c r="BD110" s="80"/>
      <c r="BE110" s="68"/>
      <c r="BF110" s="77" t="str">
        <f>IF(BK110="","",WORKDAY.INTL(BK110,BI110*-1,1,Holidays[Date]))</f>
        <v/>
      </c>
      <c r="BG110" s="77" t="str">
        <f ca="1">IFERROR(IF(BH110="",WORKDAY.INTL(BB110,BE110,1,Holidays[Date]),BH110),"")</f>
        <v/>
      </c>
      <c r="BH110" s="78"/>
      <c r="BI110" s="80"/>
      <c r="BJ110" s="68"/>
      <c r="BK110" s="77" t="str">
        <f>IF(BP110="","",WORKDAY.INTL(BP110,BN110*-1,1,Holidays[Date]))</f>
        <v/>
      </c>
      <c r="BL110" s="77" t="str">
        <f ca="1">IFERROR(IF(BM110="",WORKDAY.INTL(BG110,BJ110,1,Holidays[Date]),BM110),"")</f>
        <v/>
      </c>
      <c r="BM110" s="78"/>
      <c r="BN110" s="80"/>
      <c r="BO110" s="68"/>
      <c r="BP110" s="77" t="str">
        <f>IF(BU110="","",WORKDAY.INTL(BU110,BS110*-1,1,Holidays[Date]))</f>
        <v/>
      </c>
      <c r="BQ110" s="77" t="str">
        <f ca="1">IFERROR(IF(BR110="",WORKDAY.INTL(BL110,BO110,1,Holidays[Date]),BR110),"")</f>
        <v/>
      </c>
      <c r="BR110" s="78"/>
      <c r="BS110" s="80"/>
      <c r="BT110" s="68"/>
      <c r="BU110" s="77" t="str">
        <f>IF(BZ110="","",WORKDAY.INTL(BZ110,BX110*-1,1,Holidays[Date]))</f>
        <v/>
      </c>
      <c r="BV110" s="77" t="str">
        <f ca="1">IFERROR(IF(BW110="",WORKDAY.INTL(BQ110,BT110,1,Holidays[Date]),BW110),"")</f>
        <v/>
      </c>
      <c r="BW110" s="78"/>
      <c r="BX110" s="80"/>
      <c r="BY110" s="68"/>
      <c r="BZ110" s="81"/>
      <c r="CA110" s="77" t="str">
        <f ca="1">IFERROR(IF(CB110="",WORKDAY.INTL(BV110,BY110,1,Holidays[Date]),CB110),"")</f>
        <v/>
      </c>
      <c r="CB110" s="78"/>
    </row>
    <row r="111" spans="1:80" ht="19" customHeight="1" x14ac:dyDescent="0.35">
      <c r="A111" s="31"/>
      <c r="B111" s="82"/>
      <c r="C111" s="1"/>
      <c r="D111" s="8"/>
      <c r="E111" s="8"/>
      <c r="F111" s="8"/>
      <c r="G111" s="8"/>
      <c r="H111" s="8"/>
      <c r="I111" s="9"/>
      <c r="J111" s="8"/>
      <c r="K111" s="8"/>
      <c r="L111" s="8"/>
      <c r="M111" s="8"/>
      <c r="N111" s="8"/>
      <c r="O111" s="8"/>
      <c r="P111" s="8"/>
      <c r="Q111" s="2"/>
      <c r="R111" s="2"/>
      <c r="S111" s="88" t="str">
        <f>IF(tblProcRegister[[#This Row],[Award]]&lt;&gt;"",tblProcRegister[[#This Row],[Budget]]-tblProcRegister[[#This Row],[Award]],"")</f>
        <v/>
      </c>
      <c r="T111" s="68"/>
      <c r="U111" s="68"/>
      <c r="V111" s="68"/>
      <c r="W111" s="77" t="str">
        <f>IF(AB111="","",WORKDAY.INTL(AB111,Z111*-1,1,Holidays[Date]))</f>
        <v/>
      </c>
      <c r="X111" s="77" t="str">
        <f t="shared" ca="1" si="1"/>
        <v/>
      </c>
      <c r="Y111" s="78"/>
      <c r="Z111" s="79"/>
      <c r="AA111" s="68"/>
      <c r="AB111" s="77" t="str">
        <f>IF(AG111="","",WORKDAY.INTL(AG111,AE111*-1,1,Holidays[Date]))</f>
        <v/>
      </c>
      <c r="AC111" s="77" t="str">
        <f ca="1">IFERROR(IF(AD111="",WORKDAY.INTL(X111,AA111,1,Holidays[Date]),AD111),"")</f>
        <v/>
      </c>
      <c r="AD111" s="78"/>
      <c r="AE111" s="80"/>
      <c r="AF111" s="68"/>
      <c r="AG111" s="77" t="str">
        <f>IF(AL111="","",WORKDAY.INTL(AL111,AJ111*-1,1,Holidays[Date]))</f>
        <v/>
      </c>
      <c r="AH111" s="77" t="str">
        <f ca="1">IFERROR(IF(AI111="",WORKDAY.INTL(AC111,AF111,1,Holidays[Date]),AI111),"")</f>
        <v/>
      </c>
      <c r="AI111" s="78"/>
      <c r="AJ111" s="80"/>
      <c r="AK111" s="68"/>
      <c r="AL111" s="77" t="str">
        <f>IF(AQ111="","",WORKDAY.INTL(AQ111,AO111*-1,1,Holidays[Date]))</f>
        <v/>
      </c>
      <c r="AM111" s="77" t="str">
        <f ca="1">IFERROR(IF(AN111="",WORKDAY.INTL(AH111,AK111,1,Holidays[Date]),AN111),"")</f>
        <v/>
      </c>
      <c r="AN111" s="78"/>
      <c r="AO111" s="80"/>
      <c r="AP111" s="68"/>
      <c r="AQ111" s="77" t="str">
        <f>IF(AV111="","",WORKDAY.INTL(AV111,AT111*-1,1,Holidays[Date]))</f>
        <v/>
      </c>
      <c r="AR111" s="77" t="str">
        <f ca="1">IFERROR(IF(AS111="",WORKDAY.INTL(AM111,AP111,1,Holidays[Date]),AS111),"")</f>
        <v/>
      </c>
      <c r="AS111" s="78"/>
      <c r="AT111" s="80"/>
      <c r="AU111" s="68"/>
      <c r="AV111" s="77" t="str">
        <f>IF(BA111="","",WORKDAY.INTL(BA111,AY111*-1,1,Holidays[Date]))</f>
        <v/>
      </c>
      <c r="AW111" s="77" t="str">
        <f ca="1">IFERROR(IF(AX111="",WORKDAY.INTL(AR111,AU111,1,Holidays[Date]),AX111),"")</f>
        <v/>
      </c>
      <c r="AX111" s="78"/>
      <c r="AY111" s="80"/>
      <c r="AZ111" s="68"/>
      <c r="BA111" s="77" t="str">
        <f>IF(BF111="","",WORKDAY.INTL(BF111,BD111*-1,1,Holidays[Date]))</f>
        <v/>
      </c>
      <c r="BB111" s="77" t="str">
        <f ca="1">IFERROR(IF(BC111="",WORKDAY.INTL(AW111,AZ111,1,Holidays[Date]),BC111),"")</f>
        <v/>
      </c>
      <c r="BC111" s="78"/>
      <c r="BD111" s="80"/>
      <c r="BE111" s="68"/>
      <c r="BF111" s="77" t="str">
        <f>IF(BK111="","",WORKDAY.INTL(BK111,BI111*-1,1,Holidays[Date]))</f>
        <v/>
      </c>
      <c r="BG111" s="77" t="str">
        <f ca="1">IFERROR(IF(BH111="",WORKDAY.INTL(BB111,BE111,1,Holidays[Date]),BH111),"")</f>
        <v/>
      </c>
      <c r="BH111" s="78"/>
      <c r="BI111" s="80"/>
      <c r="BJ111" s="68"/>
      <c r="BK111" s="77" t="str">
        <f>IF(BP111="","",WORKDAY.INTL(BP111,BN111*-1,1,Holidays[Date]))</f>
        <v/>
      </c>
      <c r="BL111" s="77" t="str">
        <f ca="1">IFERROR(IF(BM111="",WORKDAY.INTL(BG111,BJ111,1,Holidays[Date]),BM111),"")</f>
        <v/>
      </c>
      <c r="BM111" s="78"/>
      <c r="BN111" s="80"/>
      <c r="BO111" s="68"/>
      <c r="BP111" s="77" t="str">
        <f>IF(BU111="","",WORKDAY.INTL(BU111,BS111*-1,1,Holidays[Date]))</f>
        <v/>
      </c>
      <c r="BQ111" s="77" t="str">
        <f ca="1">IFERROR(IF(BR111="",WORKDAY.INTL(BL111,BO111,1,Holidays[Date]),BR111),"")</f>
        <v/>
      </c>
      <c r="BR111" s="78"/>
      <c r="BS111" s="80"/>
      <c r="BT111" s="68"/>
      <c r="BU111" s="77" t="str">
        <f>IF(BZ111="","",WORKDAY.INTL(BZ111,BX111*-1,1,Holidays[Date]))</f>
        <v/>
      </c>
      <c r="BV111" s="77" t="str">
        <f ca="1">IFERROR(IF(BW111="",WORKDAY.INTL(BQ111,BT111,1,Holidays[Date]),BW111),"")</f>
        <v/>
      </c>
      <c r="BW111" s="78"/>
      <c r="BX111" s="80"/>
      <c r="BY111" s="68"/>
      <c r="BZ111" s="81"/>
      <c r="CA111" s="77" t="str">
        <f ca="1">IFERROR(IF(CB111="",WORKDAY.INTL(BV111,BY111,1,Holidays[Date]),CB111),"")</f>
        <v/>
      </c>
      <c r="CB111" s="78"/>
    </row>
    <row r="112" spans="1:80" ht="19" customHeight="1" x14ac:dyDescent="0.35">
      <c r="A112" s="31"/>
      <c r="B112" s="82"/>
      <c r="C112" s="1"/>
      <c r="D112" s="8"/>
      <c r="E112" s="8"/>
      <c r="F112" s="8"/>
      <c r="G112" s="8"/>
      <c r="H112" s="8"/>
      <c r="I112" s="9"/>
      <c r="J112" s="8"/>
      <c r="K112" s="8"/>
      <c r="L112" s="8"/>
      <c r="M112" s="8"/>
      <c r="N112" s="8"/>
      <c r="O112" s="8"/>
      <c r="P112" s="8"/>
      <c r="Q112" s="2"/>
      <c r="R112" s="2"/>
      <c r="S112" s="88" t="str">
        <f>IF(tblProcRegister[[#This Row],[Award]]&lt;&gt;"",tblProcRegister[[#This Row],[Budget]]-tblProcRegister[[#This Row],[Award]],"")</f>
        <v/>
      </c>
      <c r="T112" s="68"/>
      <c r="U112" s="68"/>
      <c r="V112" s="68"/>
      <c r="W112" s="77" t="str">
        <f>IF(AB112="","",WORKDAY.INTL(AB112,Z112*-1,1,Holidays[Date]))</f>
        <v/>
      </c>
      <c r="X112" s="77" t="str">
        <f t="shared" ca="1" si="1"/>
        <v/>
      </c>
      <c r="Y112" s="78"/>
      <c r="Z112" s="79"/>
      <c r="AA112" s="68"/>
      <c r="AB112" s="77" t="str">
        <f>IF(AG112="","",WORKDAY.INTL(AG112,AE112*-1,1,Holidays[Date]))</f>
        <v/>
      </c>
      <c r="AC112" s="77" t="str">
        <f ca="1">IFERROR(IF(AD112="",WORKDAY.INTL(X112,AA112,1,Holidays[Date]),AD112),"")</f>
        <v/>
      </c>
      <c r="AD112" s="78"/>
      <c r="AE112" s="80"/>
      <c r="AF112" s="68"/>
      <c r="AG112" s="77" t="str">
        <f>IF(AL112="","",WORKDAY.INTL(AL112,AJ112*-1,1,Holidays[Date]))</f>
        <v/>
      </c>
      <c r="AH112" s="77" t="str">
        <f ca="1">IFERROR(IF(AI112="",WORKDAY.INTL(AC112,AF112,1,Holidays[Date]),AI112),"")</f>
        <v/>
      </c>
      <c r="AI112" s="78"/>
      <c r="AJ112" s="80"/>
      <c r="AK112" s="68"/>
      <c r="AL112" s="77" t="str">
        <f>IF(AQ112="","",WORKDAY.INTL(AQ112,AO112*-1,1,Holidays[Date]))</f>
        <v/>
      </c>
      <c r="AM112" s="77" t="str">
        <f ca="1">IFERROR(IF(AN112="",WORKDAY.INTL(AH112,AK112,1,Holidays[Date]),AN112),"")</f>
        <v/>
      </c>
      <c r="AN112" s="78"/>
      <c r="AO112" s="80"/>
      <c r="AP112" s="68"/>
      <c r="AQ112" s="77" t="str">
        <f>IF(AV112="","",WORKDAY.INTL(AV112,AT112*-1,1,Holidays[Date]))</f>
        <v/>
      </c>
      <c r="AR112" s="77" t="str">
        <f ca="1">IFERROR(IF(AS112="",WORKDAY.INTL(AM112,AP112,1,Holidays[Date]),AS112),"")</f>
        <v/>
      </c>
      <c r="AS112" s="78"/>
      <c r="AT112" s="80"/>
      <c r="AU112" s="68"/>
      <c r="AV112" s="77" t="str">
        <f>IF(BA112="","",WORKDAY.INTL(BA112,AY112*-1,1,Holidays[Date]))</f>
        <v/>
      </c>
      <c r="AW112" s="77" t="str">
        <f ca="1">IFERROR(IF(AX112="",WORKDAY.INTL(AR112,AU112,1,Holidays[Date]),AX112),"")</f>
        <v/>
      </c>
      <c r="AX112" s="78"/>
      <c r="AY112" s="80"/>
      <c r="AZ112" s="68"/>
      <c r="BA112" s="77" t="str">
        <f>IF(BF112="","",WORKDAY.INTL(BF112,BD112*-1,1,Holidays[Date]))</f>
        <v/>
      </c>
      <c r="BB112" s="77" t="str">
        <f ca="1">IFERROR(IF(BC112="",WORKDAY.INTL(AW112,AZ112,1,Holidays[Date]),BC112),"")</f>
        <v/>
      </c>
      <c r="BC112" s="78"/>
      <c r="BD112" s="80"/>
      <c r="BE112" s="68"/>
      <c r="BF112" s="77" t="str">
        <f>IF(BK112="","",WORKDAY.INTL(BK112,BI112*-1,1,Holidays[Date]))</f>
        <v/>
      </c>
      <c r="BG112" s="77" t="str">
        <f ca="1">IFERROR(IF(BH112="",WORKDAY.INTL(BB112,BE112,1,Holidays[Date]),BH112),"")</f>
        <v/>
      </c>
      <c r="BH112" s="78"/>
      <c r="BI112" s="80"/>
      <c r="BJ112" s="68"/>
      <c r="BK112" s="77" t="str">
        <f>IF(BP112="","",WORKDAY.INTL(BP112,BN112*-1,1,Holidays[Date]))</f>
        <v/>
      </c>
      <c r="BL112" s="77" t="str">
        <f ca="1">IFERROR(IF(BM112="",WORKDAY.INTL(BG112,BJ112,1,Holidays[Date]),BM112),"")</f>
        <v/>
      </c>
      <c r="BM112" s="78"/>
      <c r="BN112" s="80"/>
      <c r="BO112" s="68"/>
      <c r="BP112" s="77" t="str">
        <f>IF(BU112="","",WORKDAY.INTL(BU112,BS112*-1,1,Holidays[Date]))</f>
        <v/>
      </c>
      <c r="BQ112" s="77" t="str">
        <f ca="1">IFERROR(IF(BR112="",WORKDAY.INTL(BL112,BO112,1,Holidays[Date]),BR112),"")</f>
        <v/>
      </c>
      <c r="BR112" s="78"/>
      <c r="BS112" s="80"/>
      <c r="BT112" s="68"/>
      <c r="BU112" s="77" t="str">
        <f>IF(BZ112="","",WORKDAY.INTL(BZ112,BX112*-1,1,Holidays[Date]))</f>
        <v/>
      </c>
      <c r="BV112" s="77" t="str">
        <f ca="1">IFERROR(IF(BW112="",WORKDAY.INTL(BQ112,BT112,1,Holidays[Date]),BW112),"")</f>
        <v/>
      </c>
      <c r="BW112" s="78"/>
      <c r="BX112" s="80"/>
      <c r="BY112" s="68"/>
      <c r="BZ112" s="81"/>
      <c r="CA112" s="77" t="str">
        <f ca="1">IFERROR(IF(CB112="",WORKDAY.INTL(BV112,BY112,1,Holidays[Date]),CB112),"")</f>
        <v/>
      </c>
      <c r="CB112" s="78"/>
    </row>
    <row r="113" spans="1:80" ht="19" customHeight="1" x14ac:dyDescent="0.35">
      <c r="A113" s="31"/>
      <c r="B113" s="82"/>
      <c r="C113" s="1"/>
      <c r="D113" s="8"/>
      <c r="E113" s="8"/>
      <c r="F113" s="8"/>
      <c r="G113" s="8"/>
      <c r="H113" s="8"/>
      <c r="I113" s="9"/>
      <c r="J113" s="8"/>
      <c r="K113" s="8"/>
      <c r="L113" s="8"/>
      <c r="M113" s="8"/>
      <c r="N113" s="8"/>
      <c r="O113" s="8"/>
      <c r="P113" s="8"/>
      <c r="Q113" s="2"/>
      <c r="R113" s="2"/>
      <c r="S113" s="88" t="str">
        <f>IF(tblProcRegister[[#This Row],[Award]]&lt;&gt;"",tblProcRegister[[#This Row],[Budget]]-tblProcRegister[[#This Row],[Award]],"")</f>
        <v/>
      </c>
      <c r="T113" s="68"/>
      <c r="U113" s="68"/>
      <c r="V113" s="68"/>
      <c r="W113" s="77" t="str">
        <f>IF(AB113="","",WORKDAY.INTL(AB113,Z113*-1,1,Holidays[Date]))</f>
        <v/>
      </c>
      <c r="X113" s="77" t="str">
        <f t="shared" ca="1" si="1"/>
        <v/>
      </c>
      <c r="Y113" s="78"/>
      <c r="Z113" s="79"/>
      <c r="AA113" s="68"/>
      <c r="AB113" s="77" t="str">
        <f>IF(AG113="","",WORKDAY.INTL(AG113,AE113*-1,1,Holidays[Date]))</f>
        <v/>
      </c>
      <c r="AC113" s="77" t="str">
        <f ca="1">IFERROR(IF(AD113="",WORKDAY.INTL(X113,AA113,1,Holidays[Date]),AD113),"")</f>
        <v/>
      </c>
      <c r="AD113" s="78"/>
      <c r="AE113" s="80"/>
      <c r="AF113" s="68"/>
      <c r="AG113" s="77" t="str">
        <f>IF(AL113="","",WORKDAY.INTL(AL113,AJ113*-1,1,Holidays[Date]))</f>
        <v/>
      </c>
      <c r="AH113" s="77" t="str">
        <f ca="1">IFERROR(IF(AI113="",WORKDAY.INTL(AC113,AF113,1,Holidays[Date]),AI113),"")</f>
        <v/>
      </c>
      <c r="AI113" s="78"/>
      <c r="AJ113" s="80"/>
      <c r="AK113" s="68"/>
      <c r="AL113" s="77" t="str">
        <f>IF(AQ113="","",WORKDAY.INTL(AQ113,AO113*-1,1,Holidays[Date]))</f>
        <v/>
      </c>
      <c r="AM113" s="77" t="str">
        <f ca="1">IFERROR(IF(AN113="",WORKDAY.INTL(AH113,AK113,1,Holidays[Date]),AN113),"")</f>
        <v/>
      </c>
      <c r="AN113" s="78"/>
      <c r="AO113" s="80"/>
      <c r="AP113" s="68"/>
      <c r="AQ113" s="77" t="str">
        <f>IF(AV113="","",WORKDAY.INTL(AV113,AT113*-1,1,Holidays[Date]))</f>
        <v/>
      </c>
      <c r="AR113" s="77" t="str">
        <f ca="1">IFERROR(IF(AS113="",WORKDAY.INTL(AM113,AP113,1,Holidays[Date]),AS113),"")</f>
        <v/>
      </c>
      <c r="AS113" s="78"/>
      <c r="AT113" s="80"/>
      <c r="AU113" s="68"/>
      <c r="AV113" s="77" t="str">
        <f>IF(BA113="","",WORKDAY.INTL(BA113,AY113*-1,1,Holidays[Date]))</f>
        <v/>
      </c>
      <c r="AW113" s="77" t="str">
        <f ca="1">IFERROR(IF(AX113="",WORKDAY.INTL(AR113,AU113,1,Holidays[Date]),AX113),"")</f>
        <v/>
      </c>
      <c r="AX113" s="78"/>
      <c r="AY113" s="80"/>
      <c r="AZ113" s="68"/>
      <c r="BA113" s="77" t="str">
        <f>IF(BF113="","",WORKDAY.INTL(BF113,BD113*-1,1,Holidays[Date]))</f>
        <v/>
      </c>
      <c r="BB113" s="77" t="str">
        <f ca="1">IFERROR(IF(BC113="",WORKDAY.INTL(AW113,AZ113,1,Holidays[Date]),BC113),"")</f>
        <v/>
      </c>
      <c r="BC113" s="78"/>
      <c r="BD113" s="80"/>
      <c r="BE113" s="68"/>
      <c r="BF113" s="77" t="str">
        <f>IF(BK113="","",WORKDAY.INTL(BK113,BI113*-1,1,Holidays[Date]))</f>
        <v/>
      </c>
      <c r="BG113" s="77" t="str">
        <f ca="1">IFERROR(IF(BH113="",WORKDAY.INTL(BB113,BE113,1,Holidays[Date]),BH113),"")</f>
        <v/>
      </c>
      <c r="BH113" s="78"/>
      <c r="BI113" s="80"/>
      <c r="BJ113" s="68"/>
      <c r="BK113" s="77" t="str">
        <f>IF(BP113="","",WORKDAY.INTL(BP113,BN113*-1,1,Holidays[Date]))</f>
        <v/>
      </c>
      <c r="BL113" s="77" t="str">
        <f ca="1">IFERROR(IF(BM113="",WORKDAY.INTL(BG113,BJ113,1,Holidays[Date]),BM113),"")</f>
        <v/>
      </c>
      <c r="BM113" s="78"/>
      <c r="BN113" s="80"/>
      <c r="BO113" s="68"/>
      <c r="BP113" s="77" t="str">
        <f>IF(BU113="","",WORKDAY.INTL(BU113,BS113*-1,1,Holidays[Date]))</f>
        <v/>
      </c>
      <c r="BQ113" s="77" t="str">
        <f ca="1">IFERROR(IF(BR113="",WORKDAY.INTL(BL113,BO113,1,Holidays[Date]),BR113),"")</f>
        <v/>
      </c>
      <c r="BR113" s="78"/>
      <c r="BS113" s="80"/>
      <c r="BT113" s="68"/>
      <c r="BU113" s="77" t="str">
        <f>IF(BZ113="","",WORKDAY.INTL(BZ113,BX113*-1,1,Holidays[Date]))</f>
        <v/>
      </c>
      <c r="BV113" s="77" t="str">
        <f ca="1">IFERROR(IF(BW113="",WORKDAY.INTL(BQ113,BT113,1,Holidays[Date]),BW113),"")</f>
        <v/>
      </c>
      <c r="BW113" s="78"/>
      <c r="BX113" s="80"/>
      <c r="BY113" s="68"/>
      <c r="BZ113" s="81"/>
      <c r="CA113" s="77" t="str">
        <f ca="1">IFERROR(IF(CB113="",WORKDAY.INTL(BV113,BY113,1,Holidays[Date]),CB113),"")</f>
        <v/>
      </c>
      <c r="CB113" s="78"/>
    </row>
    <row r="114" spans="1:80" ht="19" customHeight="1" x14ac:dyDescent="0.35">
      <c r="A114" s="31"/>
      <c r="B114" s="82"/>
      <c r="C114" s="1"/>
      <c r="D114" s="8"/>
      <c r="E114" s="8"/>
      <c r="F114" s="8"/>
      <c r="G114" s="8"/>
      <c r="H114" s="8"/>
      <c r="I114" s="9"/>
      <c r="J114" s="8"/>
      <c r="K114" s="8"/>
      <c r="L114" s="8"/>
      <c r="M114" s="8"/>
      <c r="N114" s="8"/>
      <c r="O114" s="8"/>
      <c r="P114" s="8"/>
      <c r="Q114" s="2"/>
      <c r="R114" s="2"/>
      <c r="S114" s="88" t="str">
        <f>IF(tblProcRegister[[#This Row],[Award]]&lt;&gt;"",tblProcRegister[[#This Row],[Budget]]-tblProcRegister[[#This Row],[Award]],"")</f>
        <v/>
      </c>
      <c r="T114" s="68"/>
      <c r="U114" s="68"/>
      <c r="V114" s="68"/>
      <c r="W114" s="77" t="str">
        <f>IF(AB114="","",WORKDAY.INTL(AB114,Z114*-1,1,Holidays[Date]))</f>
        <v/>
      </c>
      <c r="X114" s="77" t="str">
        <f t="shared" ca="1" si="1"/>
        <v/>
      </c>
      <c r="Y114" s="78"/>
      <c r="Z114" s="79"/>
      <c r="AA114" s="68"/>
      <c r="AB114" s="77" t="str">
        <f>IF(AG114="","",WORKDAY.INTL(AG114,AE114*-1,1,Holidays[Date]))</f>
        <v/>
      </c>
      <c r="AC114" s="77" t="str">
        <f ca="1">IFERROR(IF(AD114="",WORKDAY.INTL(X114,AA114,1,Holidays[Date]),AD114),"")</f>
        <v/>
      </c>
      <c r="AD114" s="78"/>
      <c r="AE114" s="80"/>
      <c r="AF114" s="68"/>
      <c r="AG114" s="77" t="str">
        <f>IF(AL114="","",WORKDAY.INTL(AL114,AJ114*-1,1,Holidays[Date]))</f>
        <v/>
      </c>
      <c r="AH114" s="77" t="str">
        <f ca="1">IFERROR(IF(AI114="",WORKDAY.INTL(AC114,AF114,1,Holidays[Date]),AI114),"")</f>
        <v/>
      </c>
      <c r="AI114" s="78"/>
      <c r="AJ114" s="80"/>
      <c r="AK114" s="68"/>
      <c r="AL114" s="77" t="str">
        <f>IF(AQ114="","",WORKDAY.INTL(AQ114,AO114*-1,1,Holidays[Date]))</f>
        <v/>
      </c>
      <c r="AM114" s="77" t="str">
        <f ca="1">IFERROR(IF(AN114="",WORKDAY.INTL(AH114,AK114,1,Holidays[Date]),AN114),"")</f>
        <v/>
      </c>
      <c r="AN114" s="78"/>
      <c r="AO114" s="80"/>
      <c r="AP114" s="68"/>
      <c r="AQ114" s="77" t="str">
        <f>IF(AV114="","",WORKDAY.INTL(AV114,AT114*-1,1,Holidays[Date]))</f>
        <v/>
      </c>
      <c r="AR114" s="77" t="str">
        <f ca="1">IFERROR(IF(AS114="",WORKDAY.INTL(AM114,AP114,1,Holidays[Date]),AS114),"")</f>
        <v/>
      </c>
      <c r="AS114" s="78"/>
      <c r="AT114" s="80"/>
      <c r="AU114" s="68"/>
      <c r="AV114" s="77" t="str">
        <f>IF(BA114="","",WORKDAY.INTL(BA114,AY114*-1,1,Holidays[Date]))</f>
        <v/>
      </c>
      <c r="AW114" s="77" t="str">
        <f ca="1">IFERROR(IF(AX114="",WORKDAY.INTL(AR114,AU114,1,Holidays[Date]),AX114),"")</f>
        <v/>
      </c>
      <c r="AX114" s="78"/>
      <c r="AY114" s="80"/>
      <c r="AZ114" s="68"/>
      <c r="BA114" s="77" t="str">
        <f>IF(BF114="","",WORKDAY.INTL(BF114,BD114*-1,1,Holidays[Date]))</f>
        <v/>
      </c>
      <c r="BB114" s="77" t="str">
        <f ca="1">IFERROR(IF(BC114="",WORKDAY.INTL(AW114,AZ114,1,Holidays[Date]),BC114),"")</f>
        <v/>
      </c>
      <c r="BC114" s="78"/>
      <c r="BD114" s="80"/>
      <c r="BE114" s="68"/>
      <c r="BF114" s="77" t="str">
        <f>IF(BK114="","",WORKDAY.INTL(BK114,BI114*-1,1,Holidays[Date]))</f>
        <v/>
      </c>
      <c r="BG114" s="77" t="str">
        <f ca="1">IFERROR(IF(BH114="",WORKDAY.INTL(BB114,BE114,1,Holidays[Date]),BH114),"")</f>
        <v/>
      </c>
      <c r="BH114" s="78"/>
      <c r="BI114" s="80"/>
      <c r="BJ114" s="68"/>
      <c r="BK114" s="77" t="str">
        <f>IF(BP114="","",WORKDAY.INTL(BP114,BN114*-1,1,Holidays[Date]))</f>
        <v/>
      </c>
      <c r="BL114" s="77" t="str">
        <f ca="1">IFERROR(IF(BM114="",WORKDAY.INTL(BG114,BJ114,1,Holidays[Date]),BM114),"")</f>
        <v/>
      </c>
      <c r="BM114" s="78"/>
      <c r="BN114" s="80"/>
      <c r="BO114" s="68"/>
      <c r="BP114" s="77" t="str">
        <f>IF(BU114="","",WORKDAY.INTL(BU114,BS114*-1,1,Holidays[Date]))</f>
        <v/>
      </c>
      <c r="BQ114" s="77" t="str">
        <f ca="1">IFERROR(IF(BR114="",WORKDAY.INTL(BL114,BO114,1,Holidays[Date]),BR114),"")</f>
        <v/>
      </c>
      <c r="BR114" s="78"/>
      <c r="BS114" s="80"/>
      <c r="BT114" s="68"/>
      <c r="BU114" s="77" t="str">
        <f>IF(BZ114="","",WORKDAY.INTL(BZ114,BX114*-1,1,Holidays[Date]))</f>
        <v/>
      </c>
      <c r="BV114" s="77" t="str">
        <f ca="1">IFERROR(IF(BW114="",WORKDAY.INTL(BQ114,BT114,1,Holidays[Date]),BW114),"")</f>
        <v/>
      </c>
      <c r="BW114" s="78"/>
      <c r="BX114" s="80"/>
      <c r="BY114" s="68"/>
      <c r="BZ114" s="81"/>
      <c r="CA114" s="77" t="str">
        <f ca="1">IFERROR(IF(CB114="",WORKDAY.INTL(BV114,BY114,1,Holidays[Date]),CB114),"")</f>
        <v/>
      </c>
      <c r="CB114" s="78"/>
    </row>
    <row r="115" spans="1:80" ht="19" customHeight="1" x14ac:dyDescent="0.35">
      <c r="A115" s="31"/>
      <c r="B115" s="82"/>
      <c r="C115" s="1"/>
      <c r="D115" s="8"/>
      <c r="E115" s="8"/>
      <c r="F115" s="8"/>
      <c r="G115" s="8"/>
      <c r="H115" s="8"/>
      <c r="I115" s="9"/>
      <c r="J115" s="8"/>
      <c r="K115" s="8"/>
      <c r="L115" s="8"/>
      <c r="M115" s="8"/>
      <c r="N115" s="8"/>
      <c r="O115" s="8"/>
      <c r="P115" s="8"/>
      <c r="Q115" s="2"/>
      <c r="R115" s="2"/>
      <c r="S115" s="88" t="str">
        <f>IF(tblProcRegister[[#This Row],[Award]]&lt;&gt;"",tblProcRegister[[#This Row],[Budget]]-tblProcRegister[[#This Row],[Award]],"")</f>
        <v/>
      </c>
      <c r="T115" s="68"/>
      <c r="U115" s="68"/>
      <c r="V115" s="68"/>
      <c r="W115" s="77" t="str">
        <f>IF(AB115="","",WORKDAY.INTL(AB115,Z115*-1,1,Holidays[Date]))</f>
        <v/>
      </c>
      <c r="X115" s="77" t="str">
        <f t="shared" ca="1" si="1"/>
        <v/>
      </c>
      <c r="Y115" s="78"/>
      <c r="Z115" s="79"/>
      <c r="AA115" s="68"/>
      <c r="AB115" s="77" t="str">
        <f>IF(AG115="","",WORKDAY.INTL(AG115,AE115*-1,1,Holidays[Date]))</f>
        <v/>
      </c>
      <c r="AC115" s="77" t="str">
        <f ca="1">IFERROR(IF(AD115="",WORKDAY.INTL(X115,AA115,1,Holidays[Date]),AD115),"")</f>
        <v/>
      </c>
      <c r="AD115" s="78"/>
      <c r="AE115" s="80"/>
      <c r="AF115" s="68"/>
      <c r="AG115" s="77" t="str">
        <f>IF(AL115="","",WORKDAY.INTL(AL115,AJ115*-1,1,Holidays[Date]))</f>
        <v/>
      </c>
      <c r="AH115" s="77" t="str">
        <f ca="1">IFERROR(IF(AI115="",WORKDAY.INTL(AC115,AF115,1,Holidays[Date]),AI115),"")</f>
        <v/>
      </c>
      <c r="AI115" s="78"/>
      <c r="AJ115" s="80"/>
      <c r="AK115" s="68"/>
      <c r="AL115" s="77" t="str">
        <f>IF(AQ115="","",WORKDAY.INTL(AQ115,AO115*-1,1,Holidays[Date]))</f>
        <v/>
      </c>
      <c r="AM115" s="77" t="str">
        <f ca="1">IFERROR(IF(AN115="",WORKDAY.INTL(AH115,AK115,1,Holidays[Date]),AN115),"")</f>
        <v/>
      </c>
      <c r="AN115" s="78"/>
      <c r="AO115" s="80"/>
      <c r="AP115" s="68"/>
      <c r="AQ115" s="77" t="str">
        <f>IF(AV115="","",WORKDAY.INTL(AV115,AT115*-1,1,Holidays[Date]))</f>
        <v/>
      </c>
      <c r="AR115" s="77" t="str">
        <f ca="1">IFERROR(IF(AS115="",WORKDAY.INTL(AM115,AP115,1,Holidays[Date]),AS115),"")</f>
        <v/>
      </c>
      <c r="AS115" s="78"/>
      <c r="AT115" s="80"/>
      <c r="AU115" s="68"/>
      <c r="AV115" s="77" t="str">
        <f>IF(BA115="","",WORKDAY.INTL(BA115,AY115*-1,1,Holidays[Date]))</f>
        <v/>
      </c>
      <c r="AW115" s="77" t="str">
        <f ca="1">IFERROR(IF(AX115="",WORKDAY.INTL(AR115,AU115,1,Holidays[Date]),AX115),"")</f>
        <v/>
      </c>
      <c r="AX115" s="78"/>
      <c r="AY115" s="80"/>
      <c r="AZ115" s="68"/>
      <c r="BA115" s="77" t="str">
        <f>IF(BF115="","",WORKDAY.INTL(BF115,BD115*-1,1,Holidays[Date]))</f>
        <v/>
      </c>
      <c r="BB115" s="77" t="str">
        <f ca="1">IFERROR(IF(BC115="",WORKDAY.INTL(AW115,AZ115,1,Holidays[Date]),BC115),"")</f>
        <v/>
      </c>
      <c r="BC115" s="78"/>
      <c r="BD115" s="80"/>
      <c r="BE115" s="68"/>
      <c r="BF115" s="77" t="str">
        <f>IF(BK115="","",WORKDAY.INTL(BK115,BI115*-1,1,Holidays[Date]))</f>
        <v/>
      </c>
      <c r="BG115" s="77" t="str">
        <f ca="1">IFERROR(IF(BH115="",WORKDAY.INTL(BB115,BE115,1,Holidays[Date]),BH115),"")</f>
        <v/>
      </c>
      <c r="BH115" s="78"/>
      <c r="BI115" s="80"/>
      <c r="BJ115" s="68"/>
      <c r="BK115" s="77" t="str">
        <f>IF(BP115="","",WORKDAY.INTL(BP115,BN115*-1,1,Holidays[Date]))</f>
        <v/>
      </c>
      <c r="BL115" s="77" t="str">
        <f ca="1">IFERROR(IF(BM115="",WORKDAY.INTL(BG115,BJ115,1,Holidays[Date]),BM115),"")</f>
        <v/>
      </c>
      <c r="BM115" s="78"/>
      <c r="BN115" s="80"/>
      <c r="BO115" s="68"/>
      <c r="BP115" s="77" t="str">
        <f>IF(BU115="","",WORKDAY.INTL(BU115,BS115*-1,1,Holidays[Date]))</f>
        <v/>
      </c>
      <c r="BQ115" s="77" t="str">
        <f ca="1">IFERROR(IF(BR115="",WORKDAY.INTL(BL115,BO115,1,Holidays[Date]),BR115),"")</f>
        <v/>
      </c>
      <c r="BR115" s="78"/>
      <c r="BS115" s="80"/>
      <c r="BT115" s="68"/>
      <c r="BU115" s="77" t="str">
        <f>IF(BZ115="","",WORKDAY.INTL(BZ115,BX115*-1,1,Holidays[Date]))</f>
        <v/>
      </c>
      <c r="BV115" s="77" t="str">
        <f ca="1">IFERROR(IF(BW115="",WORKDAY.INTL(BQ115,BT115,1,Holidays[Date]),BW115),"")</f>
        <v/>
      </c>
      <c r="BW115" s="78"/>
      <c r="BX115" s="80"/>
      <c r="BY115" s="68"/>
      <c r="BZ115" s="81"/>
      <c r="CA115" s="77" t="str">
        <f ca="1">IFERROR(IF(CB115="",WORKDAY.INTL(BV115,BY115,1,Holidays[Date]),CB115),"")</f>
        <v/>
      </c>
      <c r="CB115" s="78"/>
    </row>
    <row r="116" spans="1:80" ht="19" customHeight="1" x14ac:dyDescent="0.35">
      <c r="A116" s="31"/>
      <c r="B116" s="82"/>
      <c r="C116" s="1"/>
      <c r="D116" s="8"/>
      <c r="E116" s="8"/>
      <c r="F116" s="8"/>
      <c r="G116" s="8"/>
      <c r="H116" s="8"/>
      <c r="I116" s="9"/>
      <c r="J116" s="8"/>
      <c r="K116" s="8"/>
      <c r="L116" s="8"/>
      <c r="M116" s="8"/>
      <c r="N116" s="8"/>
      <c r="O116" s="8"/>
      <c r="P116" s="8"/>
      <c r="Q116" s="2"/>
      <c r="R116" s="2"/>
      <c r="S116" s="88" t="str">
        <f>IF(tblProcRegister[[#This Row],[Award]]&lt;&gt;"",tblProcRegister[[#This Row],[Budget]]-tblProcRegister[[#This Row],[Award]],"")</f>
        <v/>
      </c>
      <c r="T116" s="68"/>
      <c r="U116" s="68"/>
      <c r="V116" s="68"/>
      <c r="W116" s="77" t="str">
        <f>IF(AB116="","",WORKDAY.INTL(AB116,Z116*-1,1,Holidays[Date]))</f>
        <v/>
      </c>
      <c r="X116" s="77" t="str">
        <f t="shared" ca="1" si="1"/>
        <v/>
      </c>
      <c r="Y116" s="78"/>
      <c r="Z116" s="79"/>
      <c r="AA116" s="68"/>
      <c r="AB116" s="77" t="str">
        <f>IF(AG116="","",WORKDAY.INTL(AG116,AE116*-1,1,Holidays[Date]))</f>
        <v/>
      </c>
      <c r="AC116" s="77" t="str">
        <f ca="1">IFERROR(IF(AD116="",WORKDAY.INTL(X116,AA116,1,Holidays[Date]),AD116),"")</f>
        <v/>
      </c>
      <c r="AD116" s="78"/>
      <c r="AE116" s="80"/>
      <c r="AF116" s="68"/>
      <c r="AG116" s="77" t="str">
        <f>IF(AL116="","",WORKDAY.INTL(AL116,AJ116*-1,1,Holidays[Date]))</f>
        <v/>
      </c>
      <c r="AH116" s="77" t="str">
        <f ca="1">IFERROR(IF(AI116="",WORKDAY.INTL(AC116,AF116,1,Holidays[Date]),AI116),"")</f>
        <v/>
      </c>
      <c r="AI116" s="78"/>
      <c r="AJ116" s="80"/>
      <c r="AK116" s="68"/>
      <c r="AL116" s="77" t="str">
        <f>IF(AQ116="","",WORKDAY.INTL(AQ116,AO116*-1,1,Holidays[Date]))</f>
        <v/>
      </c>
      <c r="AM116" s="77" t="str">
        <f ca="1">IFERROR(IF(AN116="",WORKDAY.INTL(AH116,AK116,1,Holidays[Date]),AN116),"")</f>
        <v/>
      </c>
      <c r="AN116" s="78"/>
      <c r="AO116" s="80"/>
      <c r="AP116" s="68"/>
      <c r="AQ116" s="77" t="str">
        <f>IF(AV116="","",WORKDAY.INTL(AV116,AT116*-1,1,Holidays[Date]))</f>
        <v/>
      </c>
      <c r="AR116" s="77" t="str">
        <f ca="1">IFERROR(IF(AS116="",WORKDAY.INTL(AM116,AP116,1,Holidays[Date]),AS116),"")</f>
        <v/>
      </c>
      <c r="AS116" s="78"/>
      <c r="AT116" s="80"/>
      <c r="AU116" s="68"/>
      <c r="AV116" s="77" t="str">
        <f>IF(BA116="","",WORKDAY.INTL(BA116,AY116*-1,1,Holidays[Date]))</f>
        <v/>
      </c>
      <c r="AW116" s="77" t="str">
        <f ca="1">IFERROR(IF(AX116="",WORKDAY.INTL(AR116,AU116,1,Holidays[Date]),AX116),"")</f>
        <v/>
      </c>
      <c r="AX116" s="78"/>
      <c r="AY116" s="80"/>
      <c r="AZ116" s="68"/>
      <c r="BA116" s="77" t="str">
        <f>IF(BF116="","",WORKDAY.INTL(BF116,BD116*-1,1,Holidays[Date]))</f>
        <v/>
      </c>
      <c r="BB116" s="77" t="str">
        <f ca="1">IFERROR(IF(BC116="",WORKDAY.INTL(AW116,AZ116,1,Holidays[Date]),BC116),"")</f>
        <v/>
      </c>
      <c r="BC116" s="78"/>
      <c r="BD116" s="80"/>
      <c r="BE116" s="68"/>
      <c r="BF116" s="77" t="str">
        <f>IF(BK116="","",WORKDAY.INTL(BK116,BI116*-1,1,Holidays[Date]))</f>
        <v/>
      </c>
      <c r="BG116" s="77" t="str">
        <f ca="1">IFERROR(IF(BH116="",WORKDAY.INTL(BB116,BE116,1,Holidays[Date]),BH116),"")</f>
        <v/>
      </c>
      <c r="BH116" s="78"/>
      <c r="BI116" s="80"/>
      <c r="BJ116" s="68"/>
      <c r="BK116" s="77" t="str">
        <f>IF(BP116="","",WORKDAY.INTL(BP116,BN116*-1,1,Holidays[Date]))</f>
        <v/>
      </c>
      <c r="BL116" s="77" t="str">
        <f ca="1">IFERROR(IF(BM116="",WORKDAY.INTL(BG116,BJ116,1,Holidays[Date]),BM116),"")</f>
        <v/>
      </c>
      <c r="BM116" s="78"/>
      <c r="BN116" s="80"/>
      <c r="BO116" s="68"/>
      <c r="BP116" s="77" t="str">
        <f>IF(BU116="","",WORKDAY.INTL(BU116,BS116*-1,1,Holidays[Date]))</f>
        <v/>
      </c>
      <c r="BQ116" s="77" t="str">
        <f ca="1">IFERROR(IF(BR116="",WORKDAY.INTL(BL116,BO116,1,Holidays[Date]),BR116),"")</f>
        <v/>
      </c>
      <c r="BR116" s="78"/>
      <c r="BS116" s="80"/>
      <c r="BT116" s="68"/>
      <c r="BU116" s="77" t="str">
        <f>IF(BZ116="","",WORKDAY.INTL(BZ116,BX116*-1,1,Holidays[Date]))</f>
        <v/>
      </c>
      <c r="BV116" s="77" t="str">
        <f ca="1">IFERROR(IF(BW116="",WORKDAY.INTL(BQ116,BT116,1,Holidays[Date]),BW116),"")</f>
        <v/>
      </c>
      <c r="BW116" s="78"/>
      <c r="BX116" s="80"/>
      <c r="BY116" s="68"/>
      <c r="BZ116" s="81"/>
      <c r="CA116" s="77" t="str">
        <f ca="1">IFERROR(IF(CB116="",WORKDAY.INTL(BV116,BY116,1,Holidays[Date]),CB116),"")</f>
        <v/>
      </c>
      <c r="CB116" s="78"/>
    </row>
    <row r="117" spans="1:80" ht="19" customHeight="1" x14ac:dyDescent="0.35">
      <c r="A117" s="31"/>
      <c r="B117" s="82"/>
      <c r="C117" s="1"/>
      <c r="D117" s="8"/>
      <c r="E117" s="8"/>
      <c r="F117" s="8"/>
      <c r="G117" s="8"/>
      <c r="H117" s="8"/>
      <c r="I117" s="9"/>
      <c r="J117" s="8"/>
      <c r="K117" s="8"/>
      <c r="L117" s="8"/>
      <c r="M117" s="8"/>
      <c r="N117" s="8"/>
      <c r="O117" s="8"/>
      <c r="P117" s="8"/>
      <c r="Q117" s="2"/>
      <c r="R117" s="2"/>
      <c r="S117" s="88" t="str">
        <f>IF(tblProcRegister[[#This Row],[Award]]&lt;&gt;"",tblProcRegister[[#This Row],[Budget]]-tblProcRegister[[#This Row],[Award]],"")</f>
        <v/>
      </c>
      <c r="T117" s="68"/>
      <c r="U117" s="68"/>
      <c r="V117" s="68"/>
      <c r="W117" s="77" t="str">
        <f>IF(AB117="","",WORKDAY.INTL(AB117,Z117*-1,1,Holidays[Date]))</f>
        <v/>
      </c>
      <c r="X117" s="77" t="str">
        <f t="shared" ca="1" si="1"/>
        <v/>
      </c>
      <c r="Y117" s="78"/>
      <c r="Z117" s="79"/>
      <c r="AA117" s="68"/>
      <c r="AB117" s="77" t="str">
        <f>IF(AG117="","",WORKDAY.INTL(AG117,AE117*-1,1,Holidays[Date]))</f>
        <v/>
      </c>
      <c r="AC117" s="77" t="str">
        <f ca="1">IFERROR(IF(AD117="",WORKDAY.INTL(X117,AA117,1,Holidays[Date]),AD117),"")</f>
        <v/>
      </c>
      <c r="AD117" s="78"/>
      <c r="AE117" s="80"/>
      <c r="AF117" s="68"/>
      <c r="AG117" s="77" t="str">
        <f>IF(AL117="","",WORKDAY.INTL(AL117,AJ117*-1,1,Holidays[Date]))</f>
        <v/>
      </c>
      <c r="AH117" s="77" t="str">
        <f ca="1">IFERROR(IF(AI117="",WORKDAY.INTL(AC117,AF117,1,Holidays[Date]),AI117),"")</f>
        <v/>
      </c>
      <c r="AI117" s="78"/>
      <c r="AJ117" s="80"/>
      <c r="AK117" s="68"/>
      <c r="AL117" s="77" t="str">
        <f>IF(AQ117="","",WORKDAY.INTL(AQ117,AO117*-1,1,Holidays[Date]))</f>
        <v/>
      </c>
      <c r="AM117" s="77" t="str">
        <f ca="1">IFERROR(IF(AN117="",WORKDAY.INTL(AH117,AK117,1,Holidays[Date]),AN117),"")</f>
        <v/>
      </c>
      <c r="AN117" s="78"/>
      <c r="AO117" s="80"/>
      <c r="AP117" s="68"/>
      <c r="AQ117" s="77" t="str">
        <f>IF(AV117="","",WORKDAY.INTL(AV117,AT117*-1,1,Holidays[Date]))</f>
        <v/>
      </c>
      <c r="AR117" s="77" t="str">
        <f ca="1">IFERROR(IF(AS117="",WORKDAY.INTL(AM117,AP117,1,Holidays[Date]),AS117),"")</f>
        <v/>
      </c>
      <c r="AS117" s="78"/>
      <c r="AT117" s="80"/>
      <c r="AU117" s="68"/>
      <c r="AV117" s="77" t="str">
        <f>IF(BA117="","",WORKDAY.INTL(BA117,AY117*-1,1,Holidays[Date]))</f>
        <v/>
      </c>
      <c r="AW117" s="77" t="str">
        <f ca="1">IFERROR(IF(AX117="",WORKDAY.INTL(AR117,AU117,1,Holidays[Date]),AX117),"")</f>
        <v/>
      </c>
      <c r="AX117" s="78"/>
      <c r="AY117" s="80"/>
      <c r="AZ117" s="68"/>
      <c r="BA117" s="77" t="str">
        <f>IF(BF117="","",WORKDAY.INTL(BF117,BD117*-1,1,Holidays[Date]))</f>
        <v/>
      </c>
      <c r="BB117" s="77" t="str">
        <f ca="1">IFERROR(IF(BC117="",WORKDAY.INTL(AW117,AZ117,1,Holidays[Date]),BC117),"")</f>
        <v/>
      </c>
      <c r="BC117" s="78"/>
      <c r="BD117" s="80"/>
      <c r="BE117" s="68"/>
      <c r="BF117" s="77" t="str">
        <f>IF(BK117="","",WORKDAY.INTL(BK117,BI117*-1,1,Holidays[Date]))</f>
        <v/>
      </c>
      <c r="BG117" s="77" t="str">
        <f ca="1">IFERROR(IF(BH117="",WORKDAY.INTL(BB117,BE117,1,Holidays[Date]),BH117),"")</f>
        <v/>
      </c>
      <c r="BH117" s="78"/>
      <c r="BI117" s="80"/>
      <c r="BJ117" s="68"/>
      <c r="BK117" s="77" t="str">
        <f>IF(BP117="","",WORKDAY.INTL(BP117,BN117*-1,1,Holidays[Date]))</f>
        <v/>
      </c>
      <c r="BL117" s="77" t="str">
        <f ca="1">IFERROR(IF(BM117="",WORKDAY.INTL(BG117,BJ117,1,Holidays[Date]),BM117),"")</f>
        <v/>
      </c>
      <c r="BM117" s="78"/>
      <c r="BN117" s="80"/>
      <c r="BO117" s="68"/>
      <c r="BP117" s="77" t="str">
        <f>IF(BU117="","",WORKDAY.INTL(BU117,BS117*-1,1,Holidays[Date]))</f>
        <v/>
      </c>
      <c r="BQ117" s="77" t="str">
        <f ca="1">IFERROR(IF(BR117="",WORKDAY.INTL(BL117,BO117,1,Holidays[Date]),BR117),"")</f>
        <v/>
      </c>
      <c r="BR117" s="78"/>
      <c r="BS117" s="80"/>
      <c r="BT117" s="68"/>
      <c r="BU117" s="77" t="str">
        <f>IF(BZ117="","",WORKDAY.INTL(BZ117,BX117*-1,1,Holidays[Date]))</f>
        <v/>
      </c>
      <c r="BV117" s="77" t="str">
        <f ca="1">IFERROR(IF(BW117="",WORKDAY.INTL(BQ117,BT117,1,Holidays[Date]),BW117),"")</f>
        <v/>
      </c>
      <c r="BW117" s="78"/>
      <c r="BX117" s="80"/>
      <c r="BY117" s="68"/>
      <c r="BZ117" s="81"/>
      <c r="CA117" s="77" t="str">
        <f ca="1">IFERROR(IF(CB117="",WORKDAY.INTL(BV117,BY117,1,Holidays[Date]),CB117),"")</f>
        <v/>
      </c>
      <c r="CB117" s="78"/>
    </row>
    <row r="118" spans="1:80" ht="19" customHeight="1" x14ac:dyDescent="0.35">
      <c r="A118" s="31"/>
      <c r="B118" s="82"/>
      <c r="C118" s="1"/>
      <c r="D118" s="8"/>
      <c r="E118" s="8"/>
      <c r="F118" s="8"/>
      <c r="G118" s="8"/>
      <c r="H118" s="8"/>
      <c r="I118" s="9"/>
      <c r="J118" s="8"/>
      <c r="K118" s="8"/>
      <c r="L118" s="8"/>
      <c r="M118" s="8"/>
      <c r="N118" s="8"/>
      <c r="O118" s="8"/>
      <c r="P118" s="8"/>
      <c r="Q118" s="2"/>
      <c r="R118" s="2"/>
      <c r="S118" s="88" t="str">
        <f>IF(tblProcRegister[[#This Row],[Award]]&lt;&gt;"",tblProcRegister[[#This Row],[Budget]]-tblProcRegister[[#This Row],[Award]],"")</f>
        <v/>
      </c>
      <c r="T118" s="68"/>
      <c r="U118" s="68"/>
      <c r="V118" s="68"/>
      <c r="W118" s="77" t="str">
        <f>IF(AB118="","",WORKDAY.INTL(AB118,Z118*-1,1,Holidays[Date]))</f>
        <v/>
      </c>
      <c r="X118" s="77" t="str">
        <f t="shared" ca="1" si="1"/>
        <v/>
      </c>
      <c r="Y118" s="78"/>
      <c r="Z118" s="79"/>
      <c r="AA118" s="68"/>
      <c r="AB118" s="77" t="str">
        <f>IF(AG118="","",WORKDAY.INTL(AG118,AE118*-1,1,Holidays[Date]))</f>
        <v/>
      </c>
      <c r="AC118" s="77" t="str">
        <f ca="1">IFERROR(IF(AD118="",WORKDAY.INTL(X118,AA118,1,Holidays[Date]),AD118),"")</f>
        <v/>
      </c>
      <c r="AD118" s="78"/>
      <c r="AE118" s="80"/>
      <c r="AF118" s="68"/>
      <c r="AG118" s="77" t="str">
        <f>IF(AL118="","",WORKDAY.INTL(AL118,AJ118*-1,1,Holidays[Date]))</f>
        <v/>
      </c>
      <c r="AH118" s="77" t="str">
        <f ca="1">IFERROR(IF(AI118="",WORKDAY.INTL(AC118,AF118,1,Holidays[Date]),AI118),"")</f>
        <v/>
      </c>
      <c r="AI118" s="78"/>
      <c r="AJ118" s="80"/>
      <c r="AK118" s="68"/>
      <c r="AL118" s="77" t="str">
        <f>IF(AQ118="","",WORKDAY.INTL(AQ118,AO118*-1,1,Holidays[Date]))</f>
        <v/>
      </c>
      <c r="AM118" s="77" t="str">
        <f ca="1">IFERROR(IF(AN118="",WORKDAY.INTL(AH118,AK118,1,Holidays[Date]),AN118),"")</f>
        <v/>
      </c>
      <c r="AN118" s="78"/>
      <c r="AO118" s="80"/>
      <c r="AP118" s="68"/>
      <c r="AQ118" s="77" t="str">
        <f>IF(AV118="","",WORKDAY.INTL(AV118,AT118*-1,1,Holidays[Date]))</f>
        <v/>
      </c>
      <c r="AR118" s="77" t="str">
        <f ca="1">IFERROR(IF(AS118="",WORKDAY.INTL(AM118,AP118,1,Holidays[Date]),AS118),"")</f>
        <v/>
      </c>
      <c r="AS118" s="78"/>
      <c r="AT118" s="80"/>
      <c r="AU118" s="68"/>
      <c r="AV118" s="77" t="str">
        <f>IF(BA118="","",WORKDAY.INTL(BA118,AY118*-1,1,Holidays[Date]))</f>
        <v/>
      </c>
      <c r="AW118" s="77" t="str">
        <f ca="1">IFERROR(IF(AX118="",WORKDAY.INTL(AR118,AU118,1,Holidays[Date]),AX118),"")</f>
        <v/>
      </c>
      <c r="AX118" s="78"/>
      <c r="AY118" s="80"/>
      <c r="AZ118" s="68"/>
      <c r="BA118" s="77" t="str">
        <f>IF(BF118="","",WORKDAY.INTL(BF118,BD118*-1,1,Holidays[Date]))</f>
        <v/>
      </c>
      <c r="BB118" s="77" t="str">
        <f ca="1">IFERROR(IF(BC118="",WORKDAY.INTL(AW118,AZ118,1,Holidays[Date]),BC118),"")</f>
        <v/>
      </c>
      <c r="BC118" s="78"/>
      <c r="BD118" s="80"/>
      <c r="BE118" s="68"/>
      <c r="BF118" s="77" t="str">
        <f>IF(BK118="","",WORKDAY.INTL(BK118,BI118*-1,1,Holidays[Date]))</f>
        <v/>
      </c>
      <c r="BG118" s="77" t="str">
        <f ca="1">IFERROR(IF(BH118="",WORKDAY.INTL(BB118,BE118,1,Holidays[Date]),BH118),"")</f>
        <v/>
      </c>
      <c r="BH118" s="78"/>
      <c r="BI118" s="80"/>
      <c r="BJ118" s="68"/>
      <c r="BK118" s="77" t="str">
        <f>IF(BP118="","",WORKDAY.INTL(BP118,BN118*-1,1,Holidays[Date]))</f>
        <v/>
      </c>
      <c r="BL118" s="77" t="str">
        <f ca="1">IFERROR(IF(BM118="",WORKDAY.INTL(BG118,BJ118,1,Holidays[Date]),BM118),"")</f>
        <v/>
      </c>
      <c r="BM118" s="78"/>
      <c r="BN118" s="80"/>
      <c r="BO118" s="68"/>
      <c r="BP118" s="77" t="str">
        <f>IF(BU118="","",WORKDAY.INTL(BU118,BS118*-1,1,Holidays[Date]))</f>
        <v/>
      </c>
      <c r="BQ118" s="77" t="str">
        <f ca="1">IFERROR(IF(BR118="",WORKDAY.INTL(BL118,BO118,1,Holidays[Date]),BR118),"")</f>
        <v/>
      </c>
      <c r="BR118" s="78"/>
      <c r="BS118" s="80"/>
      <c r="BT118" s="68"/>
      <c r="BU118" s="77" t="str">
        <f>IF(BZ118="","",WORKDAY.INTL(BZ118,BX118*-1,1,Holidays[Date]))</f>
        <v/>
      </c>
      <c r="BV118" s="77" t="str">
        <f ca="1">IFERROR(IF(BW118="",WORKDAY.INTL(BQ118,BT118,1,Holidays[Date]),BW118),"")</f>
        <v/>
      </c>
      <c r="BW118" s="78"/>
      <c r="BX118" s="80"/>
      <c r="BY118" s="68"/>
      <c r="BZ118" s="81"/>
      <c r="CA118" s="77" t="str">
        <f ca="1">IFERROR(IF(CB118="",WORKDAY.INTL(BV118,BY118,1,Holidays[Date]),CB118),"")</f>
        <v/>
      </c>
      <c r="CB118" s="78"/>
    </row>
    <row r="119" spans="1:80" ht="19" customHeight="1" x14ac:dyDescent="0.35">
      <c r="A119" s="31"/>
      <c r="B119" s="82"/>
      <c r="C119" s="1"/>
      <c r="D119" s="8"/>
      <c r="E119" s="8"/>
      <c r="F119" s="8"/>
      <c r="G119" s="8"/>
      <c r="H119" s="8"/>
      <c r="I119" s="9"/>
      <c r="J119" s="8"/>
      <c r="K119" s="8"/>
      <c r="L119" s="8"/>
      <c r="M119" s="8"/>
      <c r="N119" s="8"/>
      <c r="O119" s="8"/>
      <c r="P119" s="8"/>
      <c r="Q119" s="2"/>
      <c r="R119" s="2"/>
      <c r="S119" s="88" t="str">
        <f>IF(tblProcRegister[[#This Row],[Award]]&lt;&gt;"",tblProcRegister[[#This Row],[Budget]]-tblProcRegister[[#This Row],[Award]],"")</f>
        <v/>
      </c>
      <c r="T119" s="68"/>
      <c r="U119" s="68"/>
      <c r="V119" s="68"/>
      <c r="W119" s="77" t="str">
        <f>IF(AB119="","",WORKDAY.INTL(AB119,Z119*-1,1,Holidays[Date]))</f>
        <v/>
      </c>
      <c r="X119" s="77" t="str">
        <f t="shared" ca="1" si="1"/>
        <v/>
      </c>
      <c r="Y119" s="78"/>
      <c r="Z119" s="79"/>
      <c r="AA119" s="68"/>
      <c r="AB119" s="77" t="str">
        <f>IF(AG119="","",WORKDAY.INTL(AG119,AE119*-1,1,Holidays[Date]))</f>
        <v/>
      </c>
      <c r="AC119" s="77" t="str">
        <f ca="1">IFERROR(IF(AD119="",WORKDAY.INTL(X119,AA119,1,Holidays[Date]),AD119),"")</f>
        <v/>
      </c>
      <c r="AD119" s="78"/>
      <c r="AE119" s="80"/>
      <c r="AF119" s="68"/>
      <c r="AG119" s="77" t="str">
        <f>IF(AL119="","",WORKDAY.INTL(AL119,AJ119*-1,1,Holidays[Date]))</f>
        <v/>
      </c>
      <c r="AH119" s="77" t="str">
        <f ca="1">IFERROR(IF(AI119="",WORKDAY.INTL(AC119,AF119,1,Holidays[Date]),AI119),"")</f>
        <v/>
      </c>
      <c r="AI119" s="78"/>
      <c r="AJ119" s="80"/>
      <c r="AK119" s="68"/>
      <c r="AL119" s="77" t="str">
        <f>IF(AQ119="","",WORKDAY.INTL(AQ119,AO119*-1,1,Holidays[Date]))</f>
        <v/>
      </c>
      <c r="AM119" s="77" t="str">
        <f ca="1">IFERROR(IF(AN119="",WORKDAY.INTL(AH119,AK119,1,Holidays[Date]),AN119),"")</f>
        <v/>
      </c>
      <c r="AN119" s="78"/>
      <c r="AO119" s="80"/>
      <c r="AP119" s="68"/>
      <c r="AQ119" s="77" t="str">
        <f>IF(AV119="","",WORKDAY.INTL(AV119,AT119*-1,1,Holidays[Date]))</f>
        <v/>
      </c>
      <c r="AR119" s="77" t="str">
        <f ca="1">IFERROR(IF(AS119="",WORKDAY.INTL(AM119,AP119,1,Holidays[Date]),AS119),"")</f>
        <v/>
      </c>
      <c r="AS119" s="78"/>
      <c r="AT119" s="80"/>
      <c r="AU119" s="68"/>
      <c r="AV119" s="77" t="str">
        <f>IF(BA119="","",WORKDAY.INTL(BA119,AY119*-1,1,Holidays[Date]))</f>
        <v/>
      </c>
      <c r="AW119" s="77" t="str">
        <f ca="1">IFERROR(IF(AX119="",WORKDAY.INTL(AR119,AU119,1,Holidays[Date]),AX119),"")</f>
        <v/>
      </c>
      <c r="AX119" s="78"/>
      <c r="AY119" s="80"/>
      <c r="AZ119" s="68"/>
      <c r="BA119" s="77" t="str">
        <f>IF(BF119="","",WORKDAY.INTL(BF119,BD119*-1,1,Holidays[Date]))</f>
        <v/>
      </c>
      <c r="BB119" s="77" t="str">
        <f ca="1">IFERROR(IF(BC119="",WORKDAY.INTL(AW119,AZ119,1,Holidays[Date]),BC119),"")</f>
        <v/>
      </c>
      <c r="BC119" s="78"/>
      <c r="BD119" s="80"/>
      <c r="BE119" s="68"/>
      <c r="BF119" s="77" t="str">
        <f>IF(BK119="","",WORKDAY.INTL(BK119,BI119*-1,1,Holidays[Date]))</f>
        <v/>
      </c>
      <c r="BG119" s="77" t="str">
        <f ca="1">IFERROR(IF(BH119="",WORKDAY.INTL(BB119,BE119,1,Holidays[Date]),BH119),"")</f>
        <v/>
      </c>
      <c r="BH119" s="78"/>
      <c r="BI119" s="80"/>
      <c r="BJ119" s="68"/>
      <c r="BK119" s="77" t="str">
        <f>IF(BP119="","",WORKDAY.INTL(BP119,BN119*-1,1,Holidays[Date]))</f>
        <v/>
      </c>
      <c r="BL119" s="77" t="str">
        <f ca="1">IFERROR(IF(BM119="",WORKDAY.INTL(BG119,BJ119,1,Holidays[Date]),BM119),"")</f>
        <v/>
      </c>
      <c r="BM119" s="78"/>
      <c r="BN119" s="80"/>
      <c r="BO119" s="68"/>
      <c r="BP119" s="77" t="str">
        <f>IF(BU119="","",WORKDAY.INTL(BU119,BS119*-1,1,Holidays[Date]))</f>
        <v/>
      </c>
      <c r="BQ119" s="77" t="str">
        <f ca="1">IFERROR(IF(BR119="",WORKDAY.INTL(BL119,BO119,1,Holidays[Date]),BR119),"")</f>
        <v/>
      </c>
      <c r="BR119" s="78"/>
      <c r="BS119" s="80"/>
      <c r="BT119" s="68"/>
      <c r="BU119" s="77" t="str">
        <f>IF(BZ119="","",WORKDAY.INTL(BZ119,BX119*-1,1,Holidays[Date]))</f>
        <v/>
      </c>
      <c r="BV119" s="77" t="str">
        <f ca="1">IFERROR(IF(BW119="",WORKDAY.INTL(BQ119,BT119,1,Holidays[Date]),BW119),"")</f>
        <v/>
      </c>
      <c r="BW119" s="78"/>
      <c r="BX119" s="80"/>
      <c r="BY119" s="68"/>
      <c r="BZ119" s="81"/>
      <c r="CA119" s="77" t="str">
        <f ca="1">IFERROR(IF(CB119="",WORKDAY.INTL(BV119,BY119,1,Holidays[Date]),CB119),"")</f>
        <v/>
      </c>
      <c r="CB119" s="78"/>
    </row>
    <row r="120" spans="1:80" ht="19" customHeight="1" x14ac:dyDescent="0.35">
      <c r="A120" s="31"/>
      <c r="B120" s="82"/>
      <c r="C120" s="1"/>
      <c r="D120" s="8"/>
      <c r="E120" s="8"/>
      <c r="F120" s="8"/>
      <c r="G120" s="8"/>
      <c r="H120" s="8"/>
      <c r="I120" s="9"/>
      <c r="J120" s="8"/>
      <c r="K120" s="8"/>
      <c r="L120" s="8"/>
      <c r="M120" s="8"/>
      <c r="N120" s="8"/>
      <c r="O120" s="8"/>
      <c r="P120" s="8"/>
      <c r="Q120" s="2"/>
      <c r="R120" s="2"/>
      <c r="S120" s="88" t="str">
        <f>IF(tblProcRegister[[#This Row],[Award]]&lt;&gt;"",tblProcRegister[[#This Row],[Budget]]-tblProcRegister[[#This Row],[Award]],"")</f>
        <v/>
      </c>
      <c r="T120" s="68"/>
      <c r="U120" s="68"/>
      <c r="V120" s="68"/>
      <c r="W120" s="77" t="str">
        <f>IF(AB120="","",WORKDAY.INTL(AB120,Z120*-1,1,Holidays[Date]))</f>
        <v/>
      </c>
      <c r="X120" s="77" t="str">
        <f t="shared" ca="1" si="1"/>
        <v/>
      </c>
      <c r="Y120" s="78"/>
      <c r="Z120" s="79"/>
      <c r="AA120" s="68"/>
      <c r="AB120" s="77" t="str">
        <f>IF(AG120="","",WORKDAY.INTL(AG120,AE120*-1,1,Holidays[Date]))</f>
        <v/>
      </c>
      <c r="AC120" s="77" t="str">
        <f ca="1">IFERROR(IF(AD120="",WORKDAY.INTL(X120,AA120,1,Holidays[Date]),AD120),"")</f>
        <v/>
      </c>
      <c r="AD120" s="78"/>
      <c r="AE120" s="80"/>
      <c r="AF120" s="68"/>
      <c r="AG120" s="77" t="str">
        <f>IF(AL120="","",WORKDAY.INTL(AL120,AJ120*-1,1,Holidays[Date]))</f>
        <v/>
      </c>
      <c r="AH120" s="77" t="str">
        <f ca="1">IFERROR(IF(AI120="",WORKDAY.INTL(AC120,AF120,1,Holidays[Date]),AI120),"")</f>
        <v/>
      </c>
      <c r="AI120" s="78"/>
      <c r="AJ120" s="80"/>
      <c r="AK120" s="68"/>
      <c r="AL120" s="77" t="str">
        <f>IF(AQ120="","",WORKDAY.INTL(AQ120,AO120*-1,1,Holidays[Date]))</f>
        <v/>
      </c>
      <c r="AM120" s="77" t="str">
        <f ca="1">IFERROR(IF(AN120="",WORKDAY.INTL(AH120,AK120,1,Holidays[Date]),AN120),"")</f>
        <v/>
      </c>
      <c r="AN120" s="78"/>
      <c r="AO120" s="80"/>
      <c r="AP120" s="68"/>
      <c r="AQ120" s="77" t="str">
        <f>IF(AV120="","",WORKDAY.INTL(AV120,AT120*-1,1,Holidays[Date]))</f>
        <v/>
      </c>
      <c r="AR120" s="77" t="str">
        <f ca="1">IFERROR(IF(AS120="",WORKDAY.INTL(AM120,AP120,1,Holidays[Date]),AS120),"")</f>
        <v/>
      </c>
      <c r="AS120" s="78"/>
      <c r="AT120" s="80"/>
      <c r="AU120" s="68"/>
      <c r="AV120" s="77" t="str">
        <f>IF(BA120="","",WORKDAY.INTL(BA120,AY120*-1,1,Holidays[Date]))</f>
        <v/>
      </c>
      <c r="AW120" s="77" t="str">
        <f ca="1">IFERROR(IF(AX120="",WORKDAY.INTL(AR120,AU120,1,Holidays[Date]),AX120),"")</f>
        <v/>
      </c>
      <c r="AX120" s="78"/>
      <c r="AY120" s="80"/>
      <c r="AZ120" s="68"/>
      <c r="BA120" s="77" t="str">
        <f>IF(BF120="","",WORKDAY.INTL(BF120,BD120*-1,1,Holidays[Date]))</f>
        <v/>
      </c>
      <c r="BB120" s="77" t="str">
        <f ca="1">IFERROR(IF(BC120="",WORKDAY.INTL(AW120,AZ120,1,Holidays[Date]),BC120),"")</f>
        <v/>
      </c>
      <c r="BC120" s="78"/>
      <c r="BD120" s="80"/>
      <c r="BE120" s="68"/>
      <c r="BF120" s="77" t="str">
        <f>IF(BK120="","",WORKDAY.INTL(BK120,BI120*-1,1,Holidays[Date]))</f>
        <v/>
      </c>
      <c r="BG120" s="77" t="str">
        <f ca="1">IFERROR(IF(BH120="",WORKDAY.INTL(BB120,BE120,1,Holidays[Date]),BH120),"")</f>
        <v/>
      </c>
      <c r="BH120" s="78"/>
      <c r="BI120" s="80"/>
      <c r="BJ120" s="68"/>
      <c r="BK120" s="77" t="str">
        <f>IF(BP120="","",WORKDAY.INTL(BP120,BN120*-1,1,Holidays[Date]))</f>
        <v/>
      </c>
      <c r="BL120" s="77" t="str">
        <f ca="1">IFERROR(IF(BM120="",WORKDAY.INTL(BG120,BJ120,1,Holidays[Date]),BM120),"")</f>
        <v/>
      </c>
      <c r="BM120" s="78"/>
      <c r="BN120" s="80"/>
      <c r="BO120" s="68"/>
      <c r="BP120" s="77" t="str">
        <f>IF(BU120="","",WORKDAY.INTL(BU120,BS120*-1,1,Holidays[Date]))</f>
        <v/>
      </c>
      <c r="BQ120" s="77" t="str">
        <f ca="1">IFERROR(IF(BR120="",WORKDAY.INTL(BL120,BO120,1,Holidays[Date]),BR120),"")</f>
        <v/>
      </c>
      <c r="BR120" s="78"/>
      <c r="BS120" s="80"/>
      <c r="BT120" s="68"/>
      <c r="BU120" s="77" t="str">
        <f>IF(BZ120="","",WORKDAY.INTL(BZ120,BX120*-1,1,Holidays[Date]))</f>
        <v/>
      </c>
      <c r="BV120" s="77" t="str">
        <f ca="1">IFERROR(IF(BW120="",WORKDAY.INTL(BQ120,BT120,1,Holidays[Date]),BW120),"")</f>
        <v/>
      </c>
      <c r="BW120" s="78"/>
      <c r="BX120" s="80"/>
      <c r="BY120" s="68"/>
      <c r="BZ120" s="81"/>
      <c r="CA120" s="77" t="str">
        <f ca="1">IFERROR(IF(CB120="",WORKDAY.INTL(BV120,BY120,1,Holidays[Date]),CB120),"")</f>
        <v/>
      </c>
      <c r="CB120" s="78"/>
    </row>
    <row r="121" spans="1:80" ht="19" customHeight="1" x14ac:dyDescent="0.35">
      <c r="A121" s="31"/>
      <c r="B121" s="82"/>
      <c r="C121" s="1"/>
      <c r="D121" s="8"/>
      <c r="E121" s="8"/>
      <c r="F121" s="8"/>
      <c r="G121" s="8"/>
      <c r="H121" s="8"/>
      <c r="I121" s="9"/>
      <c r="J121" s="8"/>
      <c r="K121" s="8"/>
      <c r="L121" s="8"/>
      <c r="M121" s="8"/>
      <c r="N121" s="8"/>
      <c r="O121" s="8"/>
      <c r="P121" s="8"/>
      <c r="Q121" s="2"/>
      <c r="R121" s="2"/>
      <c r="S121" s="88" t="str">
        <f>IF(tblProcRegister[[#This Row],[Award]]&lt;&gt;"",tblProcRegister[[#This Row],[Budget]]-tblProcRegister[[#This Row],[Award]],"")</f>
        <v/>
      </c>
      <c r="T121" s="68"/>
      <c r="U121" s="68"/>
      <c r="V121" s="68"/>
      <c r="W121" s="77" t="str">
        <f>IF(AB121="","",WORKDAY.INTL(AB121,Z121*-1,1,Holidays[Date]))</f>
        <v/>
      </c>
      <c r="X121" s="77" t="str">
        <f t="shared" ca="1" si="1"/>
        <v/>
      </c>
      <c r="Y121" s="78"/>
      <c r="Z121" s="79"/>
      <c r="AA121" s="68"/>
      <c r="AB121" s="77" t="str">
        <f>IF(AG121="","",WORKDAY.INTL(AG121,AE121*-1,1,Holidays[Date]))</f>
        <v/>
      </c>
      <c r="AC121" s="77" t="str">
        <f ca="1">IFERROR(IF(AD121="",WORKDAY.INTL(X121,AA121,1,Holidays[Date]),AD121),"")</f>
        <v/>
      </c>
      <c r="AD121" s="78"/>
      <c r="AE121" s="80"/>
      <c r="AF121" s="68"/>
      <c r="AG121" s="77" t="str">
        <f>IF(AL121="","",WORKDAY.INTL(AL121,AJ121*-1,1,Holidays[Date]))</f>
        <v/>
      </c>
      <c r="AH121" s="77" t="str">
        <f ca="1">IFERROR(IF(AI121="",WORKDAY.INTL(AC121,AF121,1,Holidays[Date]),AI121),"")</f>
        <v/>
      </c>
      <c r="AI121" s="78"/>
      <c r="AJ121" s="80"/>
      <c r="AK121" s="68"/>
      <c r="AL121" s="77" t="str">
        <f>IF(AQ121="","",WORKDAY.INTL(AQ121,AO121*-1,1,Holidays[Date]))</f>
        <v/>
      </c>
      <c r="AM121" s="77" t="str">
        <f ca="1">IFERROR(IF(AN121="",WORKDAY.INTL(AH121,AK121,1,Holidays[Date]),AN121),"")</f>
        <v/>
      </c>
      <c r="AN121" s="78"/>
      <c r="AO121" s="80"/>
      <c r="AP121" s="68"/>
      <c r="AQ121" s="77" t="str">
        <f>IF(AV121="","",WORKDAY.INTL(AV121,AT121*-1,1,Holidays[Date]))</f>
        <v/>
      </c>
      <c r="AR121" s="77" t="str">
        <f ca="1">IFERROR(IF(AS121="",WORKDAY.INTL(AM121,AP121,1,Holidays[Date]),AS121),"")</f>
        <v/>
      </c>
      <c r="AS121" s="78"/>
      <c r="AT121" s="80"/>
      <c r="AU121" s="68"/>
      <c r="AV121" s="77" t="str">
        <f>IF(BA121="","",WORKDAY.INTL(BA121,AY121*-1,1,Holidays[Date]))</f>
        <v/>
      </c>
      <c r="AW121" s="77" t="str">
        <f ca="1">IFERROR(IF(AX121="",WORKDAY.INTL(AR121,AU121,1,Holidays[Date]),AX121),"")</f>
        <v/>
      </c>
      <c r="AX121" s="78"/>
      <c r="AY121" s="80"/>
      <c r="AZ121" s="68"/>
      <c r="BA121" s="77" t="str">
        <f>IF(BF121="","",WORKDAY.INTL(BF121,BD121*-1,1,Holidays[Date]))</f>
        <v/>
      </c>
      <c r="BB121" s="77" t="str">
        <f ca="1">IFERROR(IF(BC121="",WORKDAY.INTL(AW121,AZ121,1,Holidays[Date]),BC121),"")</f>
        <v/>
      </c>
      <c r="BC121" s="78"/>
      <c r="BD121" s="80"/>
      <c r="BE121" s="68"/>
      <c r="BF121" s="77" t="str">
        <f>IF(BK121="","",WORKDAY.INTL(BK121,BI121*-1,1,Holidays[Date]))</f>
        <v/>
      </c>
      <c r="BG121" s="77" t="str">
        <f ca="1">IFERROR(IF(BH121="",WORKDAY.INTL(BB121,BE121,1,Holidays[Date]),BH121),"")</f>
        <v/>
      </c>
      <c r="BH121" s="78"/>
      <c r="BI121" s="80"/>
      <c r="BJ121" s="68"/>
      <c r="BK121" s="77" t="str">
        <f>IF(BP121="","",WORKDAY.INTL(BP121,BN121*-1,1,Holidays[Date]))</f>
        <v/>
      </c>
      <c r="BL121" s="77" t="str">
        <f ca="1">IFERROR(IF(BM121="",WORKDAY.INTL(BG121,BJ121,1,Holidays[Date]),BM121),"")</f>
        <v/>
      </c>
      <c r="BM121" s="78"/>
      <c r="BN121" s="80"/>
      <c r="BO121" s="68"/>
      <c r="BP121" s="77" t="str">
        <f>IF(BU121="","",WORKDAY.INTL(BU121,BS121*-1,1,Holidays[Date]))</f>
        <v/>
      </c>
      <c r="BQ121" s="77" t="str">
        <f ca="1">IFERROR(IF(BR121="",WORKDAY.INTL(BL121,BO121,1,Holidays[Date]),BR121),"")</f>
        <v/>
      </c>
      <c r="BR121" s="78"/>
      <c r="BS121" s="80"/>
      <c r="BT121" s="68"/>
      <c r="BU121" s="77" t="str">
        <f>IF(BZ121="","",WORKDAY.INTL(BZ121,BX121*-1,1,Holidays[Date]))</f>
        <v/>
      </c>
      <c r="BV121" s="77" t="str">
        <f ca="1">IFERROR(IF(BW121="",WORKDAY.INTL(BQ121,BT121,1,Holidays[Date]),BW121),"")</f>
        <v/>
      </c>
      <c r="BW121" s="78"/>
      <c r="BX121" s="80"/>
      <c r="BY121" s="68"/>
      <c r="BZ121" s="81"/>
      <c r="CA121" s="77" t="str">
        <f ca="1">IFERROR(IF(CB121="",WORKDAY.INTL(BV121,BY121,1,Holidays[Date]),CB121),"")</f>
        <v/>
      </c>
      <c r="CB121" s="78"/>
    </row>
    <row r="122" spans="1:80" ht="19" customHeight="1" x14ac:dyDescent="0.35">
      <c r="A122" s="31"/>
      <c r="B122" s="82"/>
      <c r="C122" s="1"/>
      <c r="D122" s="8"/>
      <c r="E122" s="8"/>
      <c r="F122" s="8"/>
      <c r="G122" s="8"/>
      <c r="H122" s="8"/>
      <c r="I122" s="9"/>
      <c r="J122" s="8"/>
      <c r="K122" s="8"/>
      <c r="L122" s="8"/>
      <c r="M122" s="8"/>
      <c r="N122" s="8"/>
      <c r="O122" s="8"/>
      <c r="P122" s="8"/>
      <c r="Q122" s="2"/>
      <c r="R122" s="2"/>
      <c r="S122" s="88" t="str">
        <f>IF(tblProcRegister[[#This Row],[Award]]&lt;&gt;"",tblProcRegister[[#This Row],[Budget]]-tblProcRegister[[#This Row],[Award]],"")</f>
        <v/>
      </c>
      <c r="T122" s="68"/>
      <c r="U122" s="68"/>
      <c r="V122" s="68"/>
      <c r="W122" s="77" t="str">
        <f>IF(AB122="","",WORKDAY.INTL(AB122,Z122*-1,1,Holidays[Date]))</f>
        <v/>
      </c>
      <c r="X122" s="77" t="str">
        <f t="shared" ca="1" si="1"/>
        <v/>
      </c>
      <c r="Y122" s="78"/>
      <c r="Z122" s="79"/>
      <c r="AA122" s="68"/>
      <c r="AB122" s="77" t="str">
        <f>IF(AG122="","",WORKDAY.INTL(AG122,AE122*-1,1,Holidays[Date]))</f>
        <v/>
      </c>
      <c r="AC122" s="77" t="str">
        <f ca="1">IFERROR(IF(AD122="",WORKDAY.INTL(X122,AA122,1,Holidays[Date]),AD122),"")</f>
        <v/>
      </c>
      <c r="AD122" s="78"/>
      <c r="AE122" s="80"/>
      <c r="AF122" s="68"/>
      <c r="AG122" s="77" t="str">
        <f>IF(AL122="","",WORKDAY.INTL(AL122,AJ122*-1,1,Holidays[Date]))</f>
        <v/>
      </c>
      <c r="AH122" s="77" t="str">
        <f ca="1">IFERROR(IF(AI122="",WORKDAY.INTL(AC122,AF122,1,Holidays[Date]),AI122),"")</f>
        <v/>
      </c>
      <c r="AI122" s="78"/>
      <c r="AJ122" s="80"/>
      <c r="AK122" s="68"/>
      <c r="AL122" s="77" t="str">
        <f>IF(AQ122="","",WORKDAY.INTL(AQ122,AO122*-1,1,Holidays[Date]))</f>
        <v/>
      </c>
      <c r="AM122" s="77" t="str">
        <f ca="1">IFERROR(IF(AN122="",WORKDAY.INTL(AH122,AK122,1,Holidays[Date]),AN122),"")</f>
        <v/>
      </c>
      <c r="AN122" s="78"/>
      <c r="AO122" s="80"/>
      <c r="AP122" s="68"/>
      <c r="AQ122" s="77" t="str">
        <f>IF(AV122="","",WORKDAY.INTL(AV122,AT122*-1,1,Holidays[Date]))</f>
        <v/>
      </c>
      <c r="AR122" s="77" t="str">
        <f ca="1">IFERROR(IF(AS122="",WORKDAY.INTL(AM122,AP122,1,Holidays[Date]),AS122),"")</f>
        <v/>
      </c>
      <c r="AS122" s="78"/>
      <c r="AT122" s="80"/>
      <c r="AU122" s="68"/>
      <c r="AV122" s="77" t="str">
        <f>IF(BA122="","",WORKDAY.INTL(BA122,AY122*-1,1,Holidays[Date]))</f>
        <v/>
      </c>
      <c r="AW122" s="77" t="str">
        <f ca="1">IFERROR(IF(AX122="",WORKDAY.INTL(AR122,AU122,1,Holidays[Date]),AX122),"")</f>
        <v/>
      </c>
      <c r="AX122" s="78"/>
      <c r="AY122" s="80"/>
      <c r="AZ122" s="68"/>
      <c r="BA122" s="77" t="str">
        <f>IF(BF122="","",WORKDAY.INTL(BF122,BD122*-1,1,Holidays[Date]))</f>
        <v/>
      </c>
      <c r="BB122" s="77" t="str">
        <f ca="1">IFERROR(IF(BC122="",WORKDAY.INTL(AW122,AZ122,1,Holidays[Date]),BC122),"")</f>
        <v/>
      </c>
      <c r="BC122" s="78"/>
      <c r="BD122" s="80"/>
      <c r="BE122" s="68"/>
      <c r="BF122" s="77" t="str">
        <f>IF(BK122="","",WORKDAY.INTL(BK122,BI122*-1,1,Holidays[Date]))</f>
        <v/>
      </c>
      <c r="BG122" s="77" t="str">
        <f ca="1">IFERROR(IF(BH122="",WORKDAY.INTL(BB122,BE122,1,Holidays[Date]),BH122),"")</f>
        <v/>
      </c>
      <c r="BH122" s="78"/>
      <c r="BI122" s="80"/>
      <c r="BJ122" s="68"/>
      <c r="BK122" s="77" t="str">
        <f>IF(BP122="","",WORKDAY.INTL(BP122,BN122*-1,1,Holidays[Date]))</f>
        <v/>
      </c>
      <c r="BL122" s="77" t="str">
        <f ca="1">IFERROR(IF(BM122="",WORKDAY.INTL(BG122,BJ122,1,Holidays[Date]),BM122),"")</f>
        <v/>
      </c>
      <c r="BM122" s="78"/>
      <c r="BN122" s="80"/>
      <c r="BO122" s="68"/>
      <c r="BP122" s="77" t="str">
        <f>IF(BU122="","",WORKDAY.INTL(BU122,BS122*-1,1,Holidays[Date]))</f>
        <v/>
      </c>
      <c r="BQ122" s="77" t="str">
        <f ca="1">IFERROR(IF(BR122="",WORKDAY.INTL(BL122,BO122,1,Holidays[Date]),BR122),"")</f>
        <v/>
      </c>
      <c r="BR122" s="78"/>
      <c r="BS122" s="80"/>
      <c r="BT122" s="68"/>
      <c r="BU122" s="77" t="str">
        <f>IF(BZ122="","",WORKDAY.INTL(BZ122,BX122*-1,1,Holidays[Date]))</f>
        <v/>
      </c>
      <c r="BV122" s="77" t="str">
        <f ca="1">IFERROR(IF(BW122="",WORKDAY.INTL(BQ122,BT122,1,Holidays[Date]),BW122),"")</f>
        <v/>
      </c>
      <c r="BW122" s="78"/>
      <c r="BX122" s="80"/>
      <c r="BY122" s="68"/>
      <c r="BZ122" s="81"/>
      <c r="CA122" s="77" t="str">
        <f ca="1">IFERROR(IF(CB122="",WORKDAY.INTL(BV122,BY122,1,Holidays[Date]),CB122),"")</f>
        <v/>
      </c>
      <c r="CB122" s="78"/>
    </row>
    <row r="123" spans="1:80" ht="19" customHeight="1" x14ac:dyDescent="0.35">
      <c r="A123" s="31"/>
      <c r="B123" s="82"/>
      <c r="C123" s="1"/>
      <c r="D123" s="8"/>
      <c r="E123" s="8"/>
      <c r="F123" s="8"/>
      <c r="G123" s="8"/>
      <c r="H123" s="8"/>
      <c r="I123" s="9"/>
      <c r="J123" s="8"/>
      <c r="K123" s="8"/>
      <c r="L123" s="8"/>
      <c r="M123" s="8"/>
      <c r="N123" s="8"/>
      <c r="O123" s="8"/>
      <c r="P123" s="8"/>
      <c r="Q123" s="2"/>
      <c r="R123" s="2"/>
      <c r="S123" s="88" t="str">
        <f>IF(tblProcRegister[[#This Row],[Award]]&lt;&gt;"",tblProcRegister[[#This Row],[Budget]]-tblProcRegister[[#This Row],[Award]],"")</f>
        <v/>
      </c>
      <c r="T123" s="68"/>
      <c r="U123" s="68"/>
      <c r="V123" s="68"/>
      <c r="W123" s="77" t="str">
        <f>IF(AB123="","",WORKDAY.INTL(AB123,Z123*-1,1,Holidays[Date]))</f>
        <v/>
      </c>
      <c r="X123" s="77" t="str">
        <f t="shared" ca="1" si="1"/>
        <v/>
      </c>
      <c r="Y123" s="78"/>
      <c r="Z123" s="79"/>
      <c r="AA123" s="68"/>
      <c r="AB123" s="77" t="str">
        <f>IF(AG123="","",WORKDAY.INTL(AG123,AE123*-1,1,Holidays[Date]))</f>
        <v/>
      </c>
      <c r="AC123" s="77" t="str">
        <f ca="1">IFERROR(IF(AD123="",WORKDAY.INTL(X123,AA123,1,Holidays[Date]),AD123),"")</f>
        <v/>
      </c>
      <c r="AD123" s="78"/>
      <c r="AE123" s="80"/>
      <c r="AF123" s="68"/>
      <c r="AG123" s="77" t="str">
        <f>IF(AL123="","",WORKDAY.INTL(AL123,AJ123*-1,1,Holidays[Date]))</f>
        <v/>
      </c>
      <c r="AH123" s="77" t="str">
        <f ca="1">IFERROR(IF(AI123="",WORKDAY.INTL(AC123,AF123,1,Holidays[Date]),AI123),"")</f>
        <v/>
      </c>
      <c r="AI123" s="78"/>
      <c r="AJ123" s="80"/>
      <c r="AK123" s="68"/>
      <c r="AL123" s="77" t="str">
        <f>IF(AQ123="","",WORKDAY.INTL(AQ123,AO123*-1,1,Holidays[Date]))</f>
        <v/>
      </c>
      <c r="AM123" s="77" t="str">
        <f ca="1">IFERROR(IF(AN123="",WORKDAY.INTL(AH123,AK123,1,Holidays[Date]),AN123),"")</f>
        <v/>
      </c>
      <c r="AN123" s="78"/>
      <c r="AO123" s="80"/>
      <c r="AP123" s="68"/>
      <c r="AQ123" s="77" t="str">
        <f>IF(AV123="","",WORKDAY.INTL(AV123,AT123*-1,1,Holidays[Date]))</f>
        <v/>
      </c>
      <c r="AR123" s="77" t="str">
        <f ca="1">IFERROR(IF(AS123="",WORKDAY.INTL(AM123,AP123,1,Holidays[Date]),AS123),"")</f>
        <v/>
      </c>
      <c r="AS123" s="78"/>
      <c r="AT123" s="80"/>
      <c r="AU123" s="68"/>
      <c r="AV123" s="77" t="str">
        <f>IF(BA123="","",WORKDAY.INTL(BA123,AY123*-1,1,Holidays[Date]))</f>
        <v/>
      </c>
      <c r="AW123" s="77" t="str">
        <f ca="1">IFERROR(IF(AX123="",WORKDAY.INTL(AR123,AU123,1,Holidays[Date]),AX123),"")</f>
        <v/>
      </c>
      <c r="AX123" s="78"/>
      <c r="AY123" s="80"/>
      <c r="AZ123" s="68"/>
      <c r="BA123" s="77" t="str">
        <f>IF(BF123="","",WORKDAY.INTL(BF123,BD123*-1,1,Holidays[Date]))</f>
        <v/>
      </c>
      <c r="BB123" s="77" t="str">
        <f ca="1">IFERROR(IF(BC123="",WORKDAY.INTL(AW123,AZ123,1,Holidays[Date]),BC123),"")</f>
        <v/>
      </c>
      <c r="BC123" s="78"/>
      <c r="BD123" s="80"/>
      <c r="BE123" s="68"/>
      <c r="BF123" s="77" t="str">
        <f>IF(BK123="","",WORKDAY.INTL(BK123,BI123*-1,1,Holidays[Date]))</f>
        <v/>
      </c>
      <c r="BG123" s="77" t="str">
        <f ca="1">IFERROR(IF(BH123="",WORKDAY.INTL(BB123,BE123,1,Holidays[Date]),BH123),"")</f>
        <v/>
      </c>
      <c r="BH123" s="78"/>
      <c r="BI123" s="80"/>
      <c r="BJ123" s="68"/>
      <c r="BK123" s="77" t="str">
        <f>IF(BP123="","",WORKDAY.INTL(BP123,BN123*-1,1,Holidays[Date]))</f>
        <v/>
      </c>
      <c r="BL123" s="77" t="str">
        <f ca="1">IFERROR(IF(BM123="",WORKDAY.INTL(BG123,BJ123,1,Holidays[Date]),BM123),"")</f>
        <v/>
      </c>
      <c r="BM123" s="78"/>
      <c r="BN123" s="80"/>
      <c r="BO123" s="68"/>
      <c r="BP123" s="77" t="str">
        <f>IF(BU123="","",WORKDAY.INTL(BU123,BS123*-1,1,Holidays[Date]))</f>
        <v/>
      </c>
      <c r="BQ123" s="77" t="str">
        <f ca="1">IFERROR(IF(BR123="",WORKDAY.INTL(BL123,BO123,1,Holidays[Date]),BR123),"")</f>
        <v/>
      </c>
      <c r="BR123" s="78"/>
      <c r="BS123" s="80"/>
      <c r="BT123" s="68"/>
      <c r="BU123" s="77" t="str">
        <f>IF(BZ123="","",WORKDAY.INTL(BZ123,BX123*-1,1,Holidays[Date]))</f>
        <v/>
      </c>
      <c r="BV123" s="77" t="str">
        <f ca="1">IFERROR(IF(BW123="",WORKDAY.INTL(BQ123,BT123,1,Holidays[Date]),BW123),"")</f>
        <v/>
      </c>
      <c r="BW123" s="78"/>
      <c r="BX123" s="80"/>
      <c r="BY123" s="68"/>
      <c r="BZ123" s="81"/>
      <c r="CA123" s="77" t="str">
        <f ca="1">IFERROR(IF(CB123="",WORKDAY.INTL(BV123,BY123,1,Holidays[Date]),CB123),"")</f>
        <v/>
      </c>
      <c r="CB123" s="78"/>
    </row>
    <row r="124" spans="1:80" ht="19" customHeight="1" x14ac:dyDescent="0.35">
      <c r="A124" s="31"/>
      <c r="B124" s="82"/>
      <c r="C124" s="1"/>
      <c r="D124" s="8"/>
      <c r="E124" s="8"/>
      <c r="F124" s="8"/>
      <c r="G124" s="8"/>
      <c r="H124" s="8"/>
      <c r="I124" s="9"/>
      <c r="J124" s="8"/>
      <c r="K124" s="8"/>
      <c r="L124" s="8"/>
      <c r="M124" s="8"/>
      <c r="N124" s="8"/>
      <c r="O124" s="8"/>
      <c r="P124" s="8"/>
      <c r="Q124" s="2"/>
      <c r="R124" s="2"/>
      <c r="S124" s="88" t="str">
        <f>IF(tblProcRegister[[#This Row],[Award]]&lt;&gt;"",tblProcRegister[[#This Row],[Budget]]-tblProcRegister[[#This Row],[Award]],"")</f>
        <v/>
      </c>
      <c r="T124" s="68"/>
      <c r="U124" s="68"/>
      <c r="V124" s="68"/>
      <c r="W124" s="77" t="str">
        <f>IF(AB124="","",WORKDAY.INTL(AB124,Z124*-1,1,Holidays[Date]))</f>
        <v/>
      </c>
      <c r="X124" s="77" t="str">
        <f t="shared" ca="1" si="1"/>
        <v/>
      </c>
      <c r="Y124" s="78"/>
      <c r="Z124" s="79"/>
      <c r="AA124" s="68"/>
      <c r="AB124" s="77" t="str">
        <f>IF(AG124="","",WORKDAY.INTL(AG124,AE124*-1,1,Holidays[Date]))</f>
        <v/>
      </c>
      <c r="AC124" s="77" t="str">
        <f ca="1">IFERROR(IF(AD124="",WORKDAY.INTL(X124,AA124,1,Holidays[Date]),AD124),"")</f>
        <v/>
      </c>
      <c r="AD124" s="78"/>
      <c r="AE124" s="80"/>
      <c r="AF124" s="68"/>
      <c r="AG124" s="77" t="str">
        <f>IF(AL124="","",WORKDAY.INTL(AL124,AJ124*-1,1,Holidays[Date]))</f>
        <v/>
      </c>
      <c r="AH124" s="77" t="str">
        <f ca="1">IFERROR(IF(AI124="",WORKDAY.INTL(AC124,AF124,1,Holidays[Date]),AI124),"")</f>
        <v/>
      </c>
      <c r="AI124" s="78"/>
      <c r="AJ124" s="80"/>
      <c r="AK124" s="68"/>
      <c r="AL124" s="77" t="str">
        <f>IF(AQ124="","",WORKDAY.INTL(AQ124,AO124*-1,1,Holidays[Date]))</f>
        <v/>
      </c>
      <c r="AM124" s="77" t="str">
        <f ca="1">IFERROR(IF(AN124="",WORKDAY.INTL(AH124,AK124,1,Holidays[Date]),AN124),"")</f>
        <v/>
      </c>
      <c r="AN124" s="78"/>
      <c r="AO124" s="80"/>
      <c r="AP124" s="68"/>
      <c r="AQ124" s="77" t="str">
        <f>IF(AV124="","",WORKDAY.INTL(AV124,AT124*-1,1,Holidays[Date]))</f>
        <v/>
      </c>
      <c r="AR124" s="77" t="str">
        <f ca="1">IFERROR(IF(AS124="",WORKDAY.INTL(AM124,AP124,1,Holidays[Date]),AS124),"")</f>
        <v/>
      </c>
      <c r="AS124" s="78"/>
      <c r="AT124" s="80"/>
      <c r="AU124" s="68"/>
      <c r="AV124" s="77" t="str">
        <f>IF(BA124="","",WORKDAY.INTL(BA124,AY124*-1,1,Holidays[Date]))</f>
        <v/>
      </c>
      <c r="AW124" s="77" t="str">
        <f ca="1">IFERROR(IF(AX124="",WORKDAY.INTL(AR124,AU124,1,Holidays[Date]),AX124),"")</f>
        <v/>
      </c>
      <c r="AX124" s="78"/>
      <c r="AY124" s="80"/>
      <c r="AZ124" s="68"/>
      <c r="BA124" s="77" t="str">
        <f>IF(BF124="","",WORKDAY.INTL(BF124,BD124*-1,1,Holidays[Date]))</f>
        <v/>
      </c>
      <c r="BB124" s="77" t="str">
        <f ca="1">IFERROR(IF(BC124="",WORKDAY.INTL(AW124,AZ124,1,Holidays[Date]),BC124),"")</f>
        <v/>
      </c>
      <c r="BC124" s="78"/>
      <c r="BD124" s="80"/>
      <c r="BE124" s="68"/>
      <c r="BF124" s="77" t="str">
        <f>IF(BK124="","",WORKDAY.INTL(BK124,BI124*-1,1,Holidays[Date]))</f>
        <v/>
      </c>
      <c r="BG124" s="77" t="str">
        <f ca="1">IFERROR(IF(BH124="",WORKDAY.INTL(BB124,BE124,1,Holidays[Date]),BH124),"")</f>
        <v/>
      </c>
      <c r="BH124" s="78"/>
      <c r="BI124" s="80"/>
      <c r="BJ124" s="68"/>
      <c r="BK124" s="77" t="str">
        <f>IF(BP124="","",WORKDAY.INTL(BP124,BN124*-1,1,Holidays[Date]))</f>
        <v/>
      </c>
      <c r="BL124" s="77" t="str">
        <f ca="1">IFERROR(IF(BM124="",WORKDAY.INTL(BG124,BJ124,1,Holidays[Date]),BM124),"")</f>
        <v/>
      </c>
      <c r="BM124" s="78"/>
      <c r="BN124" s="80"/>
      <c r="BO124" s="68"/>
      <c r="BP124" s="77" t="str">
        <f>IF(BU124="","",WORKDAY.INTL(BU124,BS124*-1,1,Holidays[Date]))</f>
        <v/>
      </c>
      <c r="BQ124" s="77" t="str">
        <f ca="1">IFERROR(IF(BR124="",WORKDAY.INTL(BL124,BO124,1,Holidays[Date]),BR124),"")</f>
        <v/>
      </c>
      <c r="BR124" s="78"/>
      <c r="BS124" s="80"/>
      <c r="BT124" s="68"/>
      <c r="BU124" s="77" t="str">
        <f>IF(BZ124="","",WORKDAY.INTL(BZ124,BX124*-1,1,Holidays[Date]))</f>
        <v/>
      </c>
      <c r="BV124" s="77" t="str">
        <f ca="1">IFERROR(IF(BW124="",WORKDAY.INTL(BQ124,BT124,1,Holidays[Date]),BW124),"")</f>
        <v/>
      </c>
      <c r="BW124" s="78"/>
      <c r="BX124" s="80"/>
      <c r="BY124" s="68"/>
      <c r="BZ124" s="81"/>
      <c r="CA124" s="77" t="str">
        <f ca="1">IFERROR(IF(CB124="",WORKDAY.INTL(BV124,BY124,1,Holidays[Date]),CB124),"")</f>
        <v/>
      </c>
      <c r="CB124" s="78"/>
    </row>
    <row r="125" spans="1:80" ht="19" customHeight="1" x14ac:dyDescent="0.35">
      <c r="A125" s="31"/>
      <c r="B125" s="82"/>
      <c r="C125" s="1"/>
      <c r="D125" s="8"/>
      <c r="E125" s="8"/>
      <c r="F125" s="8"/>
      <c r="G125" s="8"/>
      <c r="H125" s="8"/>
      <c r="I125" s="9"/>
      <c r="J125" s="8"/>
      <c r="K125" s="8"/>
      <c r="L125" s="8"/>
      <c r="M125" s="8"/>
      <c r="N125" s="8"/>
      <c r="O125" s="8"/>
      <c r="P125" s="8"/>
      <c r="Q125" s="2"/>
      <c r="R125" s="2"/>
      <c r="S125" s="88" t="str">
        <f>IF(tblProcRegister[[#This Row],[Award]]&lt;&gt;"",tblProcRegister[[#This Row],[Budget]]-tblProcRegister[[#This Row],[Award]],"")</f>
        <v/>
      </c>
      <c r="T125" s="68"/>
      <c r="U125" s="68"/>
      <c r="V125" s="68"/>
      <c r="W125" s="77" t="str">
        <f>IF(AB125="","",WORKDAY.INTL(AB125,Z125*-1,1,Holidays[Date]))</f>
        <v/>
      </c>
      <c r="X125" s="77" t="str">
        <f t="shared" ca="1" si="1"/>
        <v/>
      </c>
      <c r="Y125" s="78"/>
      <c r="Z125" s="79"/>
      <c r="AA125" s="68"/>
      <c r="AB125" s="77" t="str">
        <f>IF(AG125="","",WORKDAY.INTL(AG125,AE125*-1,1,Holidays[Date]))</f>
        <v/>
      </c>
      <c r="AC125" s="77" t="str">
        <f ca="1">IFERROR(IF(AD125="",WORKDAY.INTL(X125,AA125,1,Holidays[Date]),AD125),"")</f>
        <v/>
      </c>
      <c r="AD125" s="78"/>
      <c r="AE125" s="80"/>
      <c r="AF125" s="68"/>
      <c r="AG125" s="77" t="str">
        <f>IF(AL125="","",WORKDAY.INTL(AL125,AJ125*-1,1,Holidays[Date]))</f>
        <v/>
      </c>
      <c r="AH125" s="77" t="str">
        <f ca="1">IFERROR(IF(AI125="",WORKDAY.INTL(AC125,AF125,1,Holidays[Date]),AI125),"")</f>
        <v/>
      </c>
      <c r="AI125" s="78"/>
      <c r="AJ125" s="80"/>
      <c r="AK125" s="68"/>
      <c r="AL125" s="77" t="str">
        <f>IF(AQ125="","",WORKDAY.INTL(AQ125,AO125*-1,1,Holidays[Date]))</f>
        <v/>
      </c>
      <c r="AM125" s="77" t="str">
        <f ca="1">IFERROR(IF(AN125="",WORKDAY.INTL(AH125,AK125,1,Holidays[Date]),AN125),"")</f>
        <v/>
      </c>
      <c r="AN125" s="78"/>
      <c r="AO125" s="80"/>
      <c r="AP125" s="68"/>
      <c r="AQ125" s="77" t="str">
        <f>IF(AV125="","",WORKDAY.INTL(AV125,AT125*-1,1,Holidays[Date]))</f>
        <v/>
      </c>
      <c r="AR125" s="77" t="str">
        <f ca="1">IFERROR(IF(AS125="",WORKDAY.INTL(AM125,AP125,1,Holidays[Date]),AS125),"")</f>
        <v/>
      </c>
      <c r="AS125" s="78"/>
      <c r="AT125" s="80"/>
      <c r="AU125" s="68"/>
      <c r="AV125" s="77" t="str">
        <f>IF(BA125="","",WORKDAY.INTL(BA125,AY125*-1,1,Holidays[Date]))</f>
        <v/>
      </c>
      <c r="AW125" s="77" t="str">
        <f ca="1">IFERROR(IF(AX125="",WORKDAY.INTL(AR125,AU125,1,Holidays[Date]),AX125),"")</f>
        <v/>
      </c>
      <c r="AX125" s="78"/>
      <c r="AY125" s="80"/>
      <c r="AZ125" s="68"/>
      <c r="BA125" s="77" t="str">
        <f>IF(BF125="","",WORKDAY.INTL(BF125,BD125*-1,1,Holidays[Date]))</f>
        <v/>
      </c>
      <c r="BB125" s="77" t="str">
        <f ca="1">IFERROR(IF(BC125="",WORKDAY.INTL(AW125,AZ125,1,Holidays[Date]),BC125),"")</f>
        <v/>
      </c>
      <c r="BC125" s="78"/>
      <c r="BD125" s="80"/>
      <c r="BE125" s="68"/>
      <c r="BF125" s="77" t="str">
        <f>IF(BK125="","",WORKDAY.INTL(BK125,BI125*-1,1,Holidays[Date]))</f>
        <v/>
      </c>
      <c r="BG125" s="77" t="str">
        <f ca="1">IFERROR(IF(BH125="",WORKDAY.INTL(BB125,BE125,1,Holidays[Date]),BH125),"")</f>
        <v/>
      </c>
      <c r="BH125" s="78"/>
      <c r="BI125" s="80"/>
      <c r="BJ125" s="68"/>
      <c r="BK125" s="77" t="str">
        <f>IF(BP125="","",WORKDAY.INTL(BP125,BN125*-1,1,Holidays[Date]))</f>
        <v/>
      </c>
      <c r="BL125" s="77" t="str">
        <f ca="1">IFERROR(IF(BM125="",WORKDAY.INTL(BG125,BJ125,1,Holidays[Date]),BM125),"")</f>
        <v/>
      </c>
      <c r="BM125" s="78"/>
      <c r="BN125" s="80"/>
      <c r="BO125" s="68"/>
      <c r="BP125" s="77" t="str">
        <f>IF(BU125="","",WORKDAY.INTL(BU125,BS125*-1,1,Holidays[Date]))</f>
        <v/>
      </c>
      <c r="BQ125" s="77" t="str">
        <f ca="1">IFERROR(IF(BR125="",WORKDAY.INTL(BL125,BO125,1,Holidays[Date]),BR125),"")</f>
        <v/>
      </c>
      <c r="BR125" s="78"/>
      <c r="BS125" s="80"/>
      <c r="BT125" s="68"/>
      <c r="BU125" s="77" t="str">
        <f>IF(BZ125="","",WORKDAY.INTL(BZ125,BX125*-1,1,Holidays[Date]))</f>
        <v/>
      </c>
      <c r="BV125" s="77" t="str">
        <f ca="1">IFERROR(IF(BW125="",WORKDAY.INTL(BQ125,BT125,1,Holidays[Date]),BW125),"")</f>
        <v/>
      </c>
      <c r="BW125" s="78"/>
      <c r="BX125" s="80"/>
      <c r="BY125" s="68"/>
      <c r="BZ125" s="81"/>
      <c r="CA125" s="77" t="str">
        <f ca="1">IFERROR(IF(CB125="",WORKDAY.INTL(BV125,BY125,1,Holidays[Date]),CB125),"")</f>
        <v/>
      </c>
      <c r="CB125" s="78"/>
    </row>
    <row r="126" spans="1:80" ht="19" customHeight="1" x14ac:dyDescent="0.35">
      <c r="A126" s="31"/>
      <c r="B126" s="82"/>
      <c r="C126" s="1"/>
      <c r="D126" s="8"/>
      <c r="E126" s="8"/>
      <c r="F126" s="8"/>
      <c r="G126" s="8"/>
      <c r="H126" s="8"/>
      <c r="I126" s="9"/>
      <c r="J126" s="8"/>
      <c r="K126" s="8"/>
      <c r="L126" s="8"/>
      <c r="M126" s="8"/>
      <c r="N126" s="8"/>
      <c r="O126" s="8"/>
      <c r="P126" s="8"/>
      <c r="Q126" s="2"/>
      <c r="R126" s="2"/>
      <c r="S126" s="88" t="str">
        <f>IF(tblProcRegister[[#This Row],[Award]]&lt;&gt;"",tblProcRegister[[#This Row],[Budget]]-tblProcRegister[[#This Row],[Award]],"")</f>
        <v/>
      </c>
      <c r="T126" s="68"/>
      <c r="U126" s="68"/>
      <c r="V126" s="68"/>
      <c r="W126" s="77" t="str">
        <f>IF(AB126="","",WORKDAY.INTL(AB126,Z126*-1,1,Holidays[Date]))</f>
        <v/>
      </c>
      <c r="X126" s="77" t="str">
        <f t="shared" ca="1" si="1"/>
        <v/>
      </c>
      <c r="Y126" s="78"/>
      <c r="Z126" s="79"/>
      <c r="AA126" s="68"/>
      <c r="AB126" s="77" t="str">
        <f>IF(AG126="","",WORKDAY.INTL(AG126,AE126*-1,1,Holidays[Date]))</f>
        <v/>
      </c>
      <c r="AC126" s="77" t="str">
        <f ca="1">IFERROR(IF(AD126="",WORKDAY.INTL(X126,AA126,1,Holidays[Date]),AD126),"")</f>
        <v/>
      </c>
      <c r="AD126" s="78"/>
      <c r="AE126" s="80"/>
      <c r="AF126" s="68"/>
      <c r="AG126" s="77" t="str">
        <f>IF(AL126="","",WORKDAY.INTL(AL126,AJ126*-1,1,Holidays[Date]))</f>
        <v/>
      </c>
      <c r="AH126" s="77" t="str">
        <f ca="1">IFERROR(IF(AI126="",WORKDAY.INTL(AC126,AF126,1,Holidays[Date]),AI126),"")</f>
        <v/>
      </c>
      <c r="AI126" s="78"/>
      <c r="AJ126" s="80"/>
      <c r="AK126" s="68"/>
      <c r="AL126" s="77" t="str">
        <f>IF(AQ126="","",WORKDAY.INTL(AQ126,AO126*-1,1,Holidays[Date]))</f>
        <v/>
      </c>
      <c r="AM126" s="77" t="str">
        <f ca="1">IFERROR(IF(AN126="",WORKDAY.INTL(AH126,AK126,1,Holidays[Date]),AN126),"")</f>
        <v/>
      </c>
      <c r="AN126" s="78"/>
      <c r="AO126" s="80"/>
      <c r="AP126" s="68"/>
      <c r="AQ126" s="77" t="str">
        <f>IF(AV126="","",WORKDAY.INTL(AV126,AT126*-1,1,Holidays[Date]))</f>
        <v/>
      </c>
      <c r="AR126" s="77" t="str">
        <f ca="1">IFERROR(IF(AS126="",WORKDAY.INTL(AM126,AP126,1,Holidays[Date]),AS126),"")</f>
        <v/>
      </c>
      <c r="AS126" s="78"/>
      <c r="AT126" s="80"/>
      <c r="AU126" s="68"/>
      <c r="AV126" s="77" t="str">
        <f>IF(BA126="","",WORKDAY.INTL(BA126,AY126*-1,1,Holidays[Date]))</f>
        <v/>
      </c>
      <c r="AW126" s="77" t="str">
        <f ca="1">IFERROR(IF(AX126="",WORKDAY.INTL(AR126,AU126,1,Holidays[Date]),AX126),"")</f>
        <v/>
      </c>
      <c r="AX126" s="78"/>
      <c r="AY126" s="80"/>
      <c r="AZ126" s="68"/>
      <c r="BA126" s="77" t="str">
        <f>IF(BF126="","",WORKDAY.INTL(BF126,BD126*-1,1,Holidays[Date]))</f>
        <v/>
      </c>
      <c r="BB126" s="77" t="str">
        <f ca="1">IFERROR(IF(BC126="",WORKDAY.INTL(AW126,AZ126,1,Holidays[Date]),BC126),"")</f>
        <v/>
      </c>
      <c r="BC126" s="78"/>
      <c r="BD126" s="80"/>
      <c r="BE126" s="68"/>
      <c r="BF126" s="77" t="str">
        <f>IF(BK126="","",WORKDAY.INTL(BK126,BI126*-1,1,Holidays[Date]))</f>
        <v/>
      </c>
      <c r="BG126" s="77" t="str">
        <f ca="1">IFERROR(IF(BH126="",WORKDAY.INTL(BB126,BE126,1,Holidays[Date]),BH126),"")</f>
        <v/>
      </c>
      <c r="BH126" s="78"/>
      <c r="BI126" s="80"/>
      <c r="BJ126" s="68"/>
      <c r="BK126" s="77" t="str">
        <f>IF(BP126="","",WORKDAY.INTL(BP126,BN126*-1,1,Holidays[Date]))</f>
        <v/>
      </c>
      <c r="BL126" s="77" t="str">
        <f ca="1">IFERROR(IF(BM126="",WORKDAY.INTL(BG126,BJ126,1,Holidays[Date]),BM126),"")</f>
        <v/>
      </c>
      <c r="BM126" s="78"/>
      <c r="BN126" s="80"/>
      <c r="BO126" s="68"/>
      <c r="BP126" s="77" t="str">
        <f>IF(BU126="","",WORKDAY.INTL(BU126,BS126*-1,1,Holidays[Date]))</f>
        <v/>
      </c>
      <c r="BQ126" s="77" t="str">
        <f ca="1">IFERROR(IF(BR126="",WORKDAY.INTL(BL126,BO126,1,Holidays[Date]),BR126),"")</f>
        <v/>
      </c>
      <c r="BR126" s="78"/>
      <c r="BS126" s="80"/>
      <c r="BT126" s="68"/>
      <c r="BU126" s="77" t="str">
        <f>IF(BZ126="","",WORKDAY.INTL(BZ126,BX126*-1,1,Holidays[Date]))</f>
        <v/>
      </c>
      <c r="BV126" s="77" t="str">
        <f ca="1">IFERROR(IF(BW126="",WORKDAY.INTL(BQ126,BT126,1,Holidays[Date]),BW126),"")</f>
        <v/>
      </c>
      <c r="BW126" s="78"/>
      <c r="BX126" s="80"/>
      <c r="BY126" s="68"/>
      <c r="BZ126" s="81"/>
      <c r="CA126" s="77" t="str">
        <f ca="1">IFERROR(IF(CB126="",WORKDAY.INTL(BV126,BY126,1,Holidays[Date]),CB126),"")</f>
        <v/>
      </c>
      <c r="CB126" s="78"/>
    </row>
    <row r="127" spans="1:80" ht="19" customHeight="1" x14ac:dyDescent="0.35">
      <c r="A127" s="31"/>
      <c r="B127" s="82"/>
      <c r="C127" s="1"/>
      <c r="D127" s="8"/>
      <c r="E127" s="8"/>
      <c r="F127" s="8"/>
      <c r="G127" s="8"/>
      <c r="H127" s="8"/>
      <c r="I127" s="9"/>
      <c r="J127" s="8"/>
      <c r="K127" s="8"/>
      <c r="L127" s="8"/>
      <c r="M127" s="8"/>
      <c r="N127" s="8"/>
      <c r="O127" s="8"/>
      <c r="P127" s="8"/>
      <c r="Q127" s="2"/>
      <c r="R127" s="2"/>
      <c r="S127" s="88" t="str">
        <f>IF(tblProcRegister[[#This Row],[Award]]&lt;&gt;"",tblProcRegister[[#This Row],[Budget]]-tblProcRegister[[#This Row],[Award]],"")</f>
        <v/>
      </c>
      <c r="T127" s="68"/>
      <c r="U127" s="68"/>
      <c r="V127" s="68"/>
      <c r="W127" s="77" t="str">
        <f>IF(AB127="","",WORKDAY.INTL(AB127,Z127*-1,1,Holidays[Date]))</f>
        <v/>
      </c>
      <c r="X127" s="77" t="str">
        <f t="shared" ca="1" si="1"/>
        <v/>
      </c>
      <c r="Y127" s="78"/>
      <c r="Z127" s="79"/>
      <c r="AA127" s="68"/>
      <c r="AB127" s="77" t="str">
        <f>IF(AG127="","",WORKDAY.INTL(AG127,AE127*-1,1,Holidays[Date]))</f>
        <v/>
      </c>
      <c r="AC127" s="77" t="str">
        <f ca="1">IFERROR(IF(AD127="",WORKDAY.INTL(X127,AA127,1,Holidays[Date]),AD127),"")</f>
        <v/>
      </c>
      <c r="AD127" s="78"/>
      <c r="AE127" s="80"/>
      <c r="AF127" s="68"/>
      <c r="AG127" s="77" t="str">
        <f>IF(AL127="","",WORKDAY.INTL(AL127,AJ127*-1,1,Holidays[Date]))</f>
        <v/>
      </c>
      <c r="AH127" s="77" t="str">
        <f ca="1">IFERROR(IF(AI127="",WORKDAY.INTL(AC127,AF127,1,Holidays[Date]),AI127),"")</f>
        <v/>
      </c>
      <c r="AI127" s="78"/>
      <c r="AJ127" s="80"/>
      <c r="AK127" s="68"/>
      <c r="AL127" s="77" t="str">
        <f>IF(AQ127="","",WORKDAY.INTL(AQ127,AO127*-1,1,Holidays[Date]))</f>
        <v/>
      </c>
      <c r="AM127" s="77" t="str">
        <f ca="1">IFERROR(IF(AN127="",WORKDAY.INTL(AH127,AK127,1,Holidays[Date]),AN127),"")</f>
        <v/>
      </c>
      <c r="AN127" s="78"/>
      <c r="AO127" s="80"/>
      <c r="AP127" s="68"/>
      <c r="AQ127" s="77" t="str">
        <f>IF(AV127="","",WORKDAY.INTL(AV127,AT127*-1,1,Holidays[Date]))</f>
        <v/>
      </c>
      <c r="AR127" s="77" t="str">
        <f ca="1">IFERROR(IF(AS127="",WORKDAY.INTL(AM127,AP127,1,Holidays[Date]),AS127),"")</f>
        <v/>
      </c>
      <c r="AS127" s="78"/>
      <c r="AT127" s="80"/>
      <c r="AU127" s="68"/>
      <c r="AV127" s="77" t="str">
        <f>IF(BA127="","",WORKDAY.INTL(BA127,AY127*-1,1,Holidays[Date]))</f>
        <v/>
      </c>
      <c r="AW127" s="77" t="str">
        <f ca="1">IFERROR(IF(AX127="",WORKDAY.INTL(AR127,AU127,1,Holidays[Date]),AX127),"")</f>
        <v/>
      </c>
      <c r="AX127" s="78"/>
      <c r="AY127" s="80"/>
      <c r="AZ127" s="68"/>
      <c r="BA127" s="77" t="str">
        <f>IF(BF127="","",WORKDAY.INTL(BF127,BD127*-1,1,Holidays[Date]))</f>
        <v/>
      </c>
      <c r="BB127" s="77" t="str">
        <f ca="1">IFERROR(IF(BC127="",WORKDAY.INTL(AW127,AZ127,1,Holidays[Date]),BC127),"")</f>
        <v/>
      </c>
      <c r="BC127" s="78"/>
      <c r="BD127" s="80"/>
      <c r="BE127" s="68"/>
      <c r="BF127" s="77" t="str">
        <f>IF(BK127="","",WORKDAY.INTL(BK127,BI127*-1,1,Holidays[Date]))</f>
        <v/>
      </c>
      <c r="BG127" s="77" t="str">
        <f ca="1">IFERROR(IF(BH127="",WORKDAY.INTL(BB127,BE127,1,Holidays[Date]),BH127),"")</f>
        <v/>
      </c>
      <c r="BH127" s="78"/>
      <c r="BI127" s="80"/>
      <c r="BJ127" s="68"/>
      <c r="BK127" s="77" t="str">
        <f>IF(BP127="","",WORKDAY.INTL(BP127,BN127*-1,1,Holidays[Date]))</f>
        <v/>
      </c>
      <c r="BL127" s="77" t="str">
        <f ca="1">IFERROR(IF(BM127="",WORKDAY.INTL(BG127,BJ127,1,Holidays[Date]),BM127),"")</f>
        <v/>
      </c>
      <c r="BM127" s="78"/>
      <c r="BN127" s="80"/>
      <c r="BO127" s="68"/>
      <c r="BP127" s="77" t="str">
        <f>IF(BU127="","",WORKDAY.INTL(BU127,BS127*-1,1,Holidays[Date]))</f>
        <v/>
      </c>
      <c r="BQ127" s="77" t="str">
        <f ca="1">IFERROR(IF(BR127="",WORKDAY.INTL(BL127,BO127,1,Holidays[Date]),BR127),"")</f>
        <v/>
      </c>
      <c r="BR127" s="78"/>
      <c r="BS127" s="80"/>
      <c r="BT127" s="68"/>
      <c r="BU127" s="77" t="str">
        <f>IF(BZ127="","",WORKDAY.INTL(BZ127,BX127*-1,1,Holidays[Date]))</f>
        <v/>
      </c>
      <c r="BV127" s="77" t="str">
        <f ca="1">IFERROR(IF(BW127="",WORKDAY.INTL(BQ127,BT127,1,Holidays[Date]),BW127),"")</f>
        <v/>
      </c>
      <c r="BW127" s="78"/>
      <c r="BX127" s="80"/>
      <c r="BY127" s="68"/>
      <c r="BZ127" s="81"/>
      <c r="CA127" s="77" t="str">
        <f ca="1">IFERROR(IF(CB127="",WORKDAY.INTL(BV127,BY127,1,Holidays[Date]),CB127),"")</f>
        <v/>
      </c>
      <c r="CB127" s="78"/>
    </row>
    <row r="128" spans="1:80" ht="19" customHeight="1" x14ac:dyDescent="0.35">
      <c r="A128" s="31"/>
      <c r="B128" s="82"/>
      <c r="C128" s="1"/>
      <c r="D128" s="8"/>
      <c r="E128" s="8"/>
      <c r="F128" s="8"/>
      <c r="G128" s="8"/>
      <c r="H128" s="8"/>
      <c r="I128" s="9"/>
      <c r="J128" s="8"/>
      <c r="K128" s="8"/>
      <c r="L128" s="8"/>
      <c r="M128" s="8"/>
      <c r="N128" s="8"/>
      <c r="O128" s="8"/>
      <c r="P128" s="8"/>
      <c r="Q128" s="2"/>
      <c r="R128" s="2"/>
      <c r="S128" s="88" t="str">
        <f>IF(tblProcRegister[[#This Row],[Award]]&lt;&gt;"",tblProcRegister[[#This Row],[Budget]]-tblProcRegister[[#This Row],[Award]],"")</f>
        <v/>
      </c>
      <c r="T128" s="68"/>
      <c r="U128" s="68"/>
      <c r="V128" s="68"/>
      <c r="W128" s="77" t="str">
        <f>IF(AB128="","",WORKDAY.INTL(AB128,Z128*-1,1,Holidays[Date]))</f>
        <v/>
      </c>
      <c r="X128" s="77" t="str">
        <f t="shared" ca="1" si="1"/>
        <v/>
      </c>
      <c r="Y128" s="78"/>
      <c r="Z128" s="79"/>
      <c r="AA128" s="68"/>
      <c r="AB128" s="77" t="str">
        <f>IF(AG128="","",WORKDAY.INTL(AG128,AE128*-1,1,Holidays[Date]))</f>
        <v/>
      </c>
      <c r="AC128" s="77" t="str">
        <f ca="1">IFERROR(IF(AD128="",WORKDAY.INTL(X128,AA128,1,Holidays[Date]),AD128),"")</f>
        <v/>
      </c>
      <c r="AD128" s="78"/>
      <c r="AE128" s="80"/>
      <c r="AF128" s="68"/>
      <c r="AG128" s="77" t="str">
        <f>IF(AL128="","",WORKDAY.INTL(AL128,AJ128*-1,1,Holidays[Date]))</f>
        <v/>
      </c>
      <c r="AH128" s="77" t="str">
        <f ca="1">IFERROR(IF(AI128="",WORKDAY.INTL(AC128,AF128,1,Holidays[Date]),AI128),"")</f>
        <v/>
      </c>
      <c r="AI128" s="78"/>
      <c r="AJ128" s="80"/>
      <c r="AK128" s="68"/>
      <c r="AL128" s="77" t="str">
        <f>IF(AQ128="","",WORKDAY.INTL(AQ128,AO128*-1,1,Holidays[Date]))</f>
        <v/>
      </c>
      <c r="AM128" s="77" t="str">
        <f ca="1">IFERROR(IF(AN128="",WORKDAY.INTL(AH128,AK128,1,Holidays[Date]),AN128),"")</f>
        <v/>
      </c>
      <c r="AN128" s="78"/>
      <c r="AO128" s="80"/>
      <c r="AP128" s="68"/>
      <c r="AQ128" s="77" t="str">
        <f>IF(AV128="","",WORKDAY.INTL(AV128,AT128*-1,1,Holidays[Date]))</f>
        <v/>
      </c>
      <c r="AR128" s="77" t="str">
        <f ca="1">IFERROR(IF(AS128="",WORKDAY.INTL(AM128,AP128,1,Holidays[Date]),AS128),"")</f>
        <v/>
      </c>
      <c r="AS128" s="78"/>
      <c r="AT128" s="80"/>
      <c r="AU128" s="68"/>
      <c r="AV128" s="77" t="str">
        <f>IF(BA128="","",WORKDAY.INTL(BA128,AY128*-1,1,Holidays[Date]))</f>
        <v/>
      </c>
      <c r="AW128" s="77" t="str">
        <f ca="1">IFERROR(IF(AX128="",WORKDAY.INTL(AR128,AU128,1,Holidays[Date]),AX128),"")</f>
        <v/>
      </c>
      <c r="AX128" s="78"/>
      <c r="AY128" s="80"/>
      <c r="AZ128" s="68"/>
      <c r="BA128" s="77" t="str">
        <f>IF(BF128="","",WORKDAY.INTL(BF128,BD128*-1,1,Holidays[Date]))</f>
        <v/>
      </c>
      <c r="BB128" s="77" t="str">
        <f ca="1">IFERROR(IF(BC128="",WORKDAY.INTL(AW128,AZ128,1,Holidays[Date]),BC128),"")</f>
        <v/>
      </c>
      <c r="BC128" s="78"/>
      <c r="BD128" s="80"/>
      <c r="BE128" s="68"/>
      <c r="BF128" s="77" t="str">
        <f>IF(BK128="","",WORKDAY.INTL(BK128,BI128*-1,1,Holidays[Date]))</f>
        <v/>
      </c>
      <c r="BG128" s="77" t="str">
        <f ca="1">IFERROR(IF(BH128="",WORKDAY.INTL(BB128,BE128,1,Holidays[Date]),BH128),"")</f>
        <v/>
      </c>
      <c r="BH128" s="78"/>
      <c r="BI128" s="80"/>
      <c r="BJ128" s="68"/>
      <c r="BK128" s="77" t="str">
        <f>IF(BP128="","",WORKDAY.INTL(BP128,BN128*-1,1,Holidays[Date]))</f>
        <v/>
      </c>
      <c r="BL128" s="77" t="str">
        <f ca="1">IFERROR(IF(BM128="",WORKDAY.INTL(BG128,BJ128,1,Holidays[Date]),BM128),"")</f>
        <v/>
      </c>
      <c r="BM128" s="78"/>
      <c r="BN128" s="80"/>
      <c r="BO128" s="68"/>
      <c r="BP128" s="77" t="str">
        <f>IF(BU128="","",WORKDAY.INTL(BU128,BS128*-1,1,Holidays[Date]))</f>
        <v/>
      </c>
      <c r="BQ128" s="77" t="str">
        <f ca="1">IFERROR(IF(BR128="",WORKDAY.INTL(BL128,BO128,1,Holidays[Date]),BR128),"")</f>
        <v/>
      </c>
      <c r="BR128" s="78"/>
      <c r="BS128" s="80"/>
      <c r="BT128" s="68"/>
      <c r="BU128" s="77" t="str">
        <f>IF(BZ128="","",WORKDAY.INTL(BZ128,BX128*-1,1,Holidays[Date]))</f>
        <v/>
      </c>
      <c r="BV128" s="77" t="str">
        <f ca="1">IFERROR(IF(BW128="",WORKDAY.INTL(BQ128,BT128,1,Holidays[Date]),BW128),"")</f>
        <v/>
      </c>
      <c r="BW128" s="78"/>
      <c r="BX128" s="80"/>
      <c r="BY128" s="68"/>
      <c r="BZ128" s="81"/>
      <c r="CA128" s="77" t="str">
        <f ca="1">IFERROR(IF(CB128="",WORKDAY.INTL(BV128,BY128,1,Holidays[Date]),CB128),"")</f>
        <v/>
      </c>
      <c r="CB128" s="78"/>
    </row>
    <row r="129" spans="1:80" ht="19" customHeight="1" x14ac:dyDescent="0.35">
      <c r="A129" s="31"/>
      <c r="B129" s="82"/>
      <c r="C129" s="1"/>
      <c r="D129" s="8"/>
      <c r="E129" s="8"/>
      <c r="F129" s="8"/>
      <c r="G129" s="8"/>
      <c r="H129" s="8"/>
      <c r="I129" s="9"/>
      <c r="J129" s="8"/>
      <c r="K129" s="8"/>
      <c r="L129" s="8"/>
      <c r="M129" s="8"/>
      <c r="N129" s="8"/>
      <c r="O129" s="8"/>
      <c r="P129" s="8"/>
      <c r="Q129" s="2"/>
      <c r="R129" s="2"/>
      <c r="S129" s="88" t="str">
        <f>IF(tblProcRegister[[#This Row],[Award]]&lt;&gt;"",tblProcRegister[[#This Row],[Budget]]-tblProcRegister[[#This Row],[Award]],"")</f>
        <v/>
      </c>
      <c r="T129" s="68"/>
      <c r="U129" s="68"/>
      <c r="V129" s="68"/>
      <c r="W129" s="77" t="str">
        <f>IF(AB129="","",WORKDAY.INTL(AB129,Z129*-1,1,Holidays[Date]))</f>
        <v/>
      </c>
      <c r="X129" s="77" t="str">
        <f t="shared" ca="1" si="1"/>
        <v/>
      </c>
      <c r="Y129" s="78"/>
      <c r="Z129" s="79"/>
      <c r="AA129" s="68"/>
      <c r="AB129" s="77" t="str">
        <f>IF(AG129="","",WORKDAY.INTL(AG129,AE129*-1,1,Holidays[Date]))</f>
        <v/>
      </c>
      <c r="AC129" s="77" t="str">
        <f ca="1">IFERROR(IF(AD129="",WORKDAY.INTL(X129,AA129,1,Holidays[Date]),AD129),"")</f>
        <v/>
      </c>
      <c r="AD129" s="78"/>
      <c r="AE129" s="80"/>
      <c r="AF129" s="68"/>
      <c r="AG129" s="77" t="str">
        <f>IF(AL129="","",WORKDAY.INTL(AL129,AJ129*-1,1,Holidays[Date]))</f>
        <v/>
      </c>
      <c r="AH129" s="77" t="str">
        <f ca="1">IFERROR(IF(AI129="",WORKDAY.INTL(AC129,AF129,1,Holidays[Date]),AI129),"")</f>
        <v/>
      </c>
      <c r="AI129" s="78"/>
      <c r="AJ129" s="80"/>
      <c r="AK129" s="68"/>
      <c r="AL129" s="77" t="str">
        <f>IF(AQ129="","",WORKDAY.INTL(AQ129,AO129*-1,1,Holidays[Date]))</f>
        <v/>
      </c>
      <c r="AM129" s="77" t="str">
        <f ca="1">IFERROR(IF(AN129="",WORKDAY.INTL(AH129,AK129,1,Holidays[Date]),AN129),"")</f>
        <v/>
      </c>
      <c r="AN129" s="78"/>
      <c r="AO129" s="80"/>
      <c r="AP129" s="68"/>
      <c r="AQ129" s="77" t="str">
        <f>IF(AV129="","",WORKDAY.INTL(AV129,AT129*-1,1,Holidays[Date]))</f>
        <v/>
      </c>
      <c r="AR129" s="77" t="str">
        <f ca="1">IFERROR(IF(AS129="",WORKDAY.INTL(AM129,AP129,1,Holidays[Date]),AS129),"")</f>
        <v/>
      </c>
      <c r="AS129" s="78"/>
      <c r="AT129" s="80"/>
      <c r="AU129" s="68"/>
      <c r="AV129" s="77" t="str">
        <f>IF(BA129="","",WORKDAY.INTL(BA129,AY129*-1,1,Holidays[Date]))</f>
        <v/>
      </c>
      <c r="AW129" s="77" t="str">
        <f ca="1">IFERROR(IF(AX129="",WORKDAY.INTL(AR129,AU129,1,Holidays[Date]),AX129),"")</f>
        <v/>
      </c>
      <c r="AX129" s="78"/>
      <c r="AY129" s="80"/>
      <c r="AZ129" s="68"/>
      <c r="BA129" s="77" t="str">
        <f>IF(BF129="","",WORKDAY.INTL(BF129,BD129*-1,1,Holidays[Date]))</f>
        <v/>
      </c>
      <c r="BB129" s="77" t="str">
        <f ca="1">IFERROR(IF(BC129="",WORKDAY.INTL(AW129,AZ129,1,Holidays[Date]),BC129),"")</f>
        <v/>
      </c>
      <c r="BC129" s="78"/>
      <c r="BD129" s="80"/>
      <c r="BE129" s="68"/>
      <c r="BF129" s="77" t="str">
        <f>IF(BK129="","",WORKDAY.INTL(BK129,BI129*-1,1,Holidays[Date]))</f>
        <v/>
      </c>
      <c r="BG129" s="77" t="str">
        <f ca="1">IFERROR(IF(BH129="",WORKDAY.INTL(BB129,BE129,1,Holidays[Date]),BH129),"")</f>
        <v/>
      </c>
      <c r="BH129" s="78"/>
      <c r="BI129" s="80"/>
      <c r="BJ129" s="68"/>
      <c r="BK129" s="77" t="str">
        <f>IF(BP129="","",WORKDAY.INTL(BP129,BN129*-1,1,Holidays[Date]))</f>
        <v/>
      </c>
      <c r="BL129" s="77" t="str">
        <f ca="1">IFERROR(IF(BM129="",WORKDAY.INTL(BG129,BJ129,1,Holidays[Date]),BM129),"")</f>
        <v/>
      </c>
      <c r="BM129" s="78"/>
      <c r="BN129" s="80"/>
      <c r="BO129" s="68"/>
      <c r="BP129" s="77" t="str">
        <f>IF(BU129="","",WORKDAY.INTL(BU129,BS129*-1,1,Holidays[Date]))</f>
        <v/>
      </c>
      <c r="BQ129" s="77" t="str">
        <f ca="1">IFERROR(IF(BR129="",WORKDAY.INTL(BL129,BO129,1,Holidays[Date]),BR129),"")</f>
        <v/>
      </c>
      <c r="BR129" s="78"/>
      <c r="BS129" s="80"/>
      <c r="BT129" s="68"/>
      <c r="BU129" s="77" t="str">
        <f>IF(BZ129="","",WORKDAY.INTL(BZ129,BX129*-1,1,Holidays[Date]))</f>
        <v/>
      </c>
      <c r="BV129" s="77" t="str">
        <f ca="1">IFERROR(IF(BW129="",WORKDAY.INTL(BQ129,BT129,1,Holidays[Date]),BW129),"")</f>
        <v/>
      </c>
      <c r="BW129" s="78"/>
      <c r="BX129" s="80"/>
      <c r="BY129" s="68"/>
      <c r="BZ129" s="81"/>
      <c r="CA129" s="77" t="str">
        <f ca="1">IFERROR(IF(CB129="",WORKDAY.INTL(BV129,BY129,1,Holidays[Date]),CB129),"")</f>
        <v/>
      </c>
      <c r="CB129" s="78"/>
    </row>
    <row r="130" spans="1:80" ht="19" customHeight="1" x14ac:dyDescent="0.35">
      <c r="A130" s="31"/>
      <c r="B130" s="82"/>
      <c r="C130" s="1"/>
      <c r="D130" s="8"/>
      <c r="E130" s="8"/>
      <c r="F130" s="8"/>
      <c r="G130" s="8"/>
      <c r="H130" s="8"/>
      <c r="I130" s="9"/>
      <c r="J130" s="8"/>
      <c r="K130" s="8"/>
      <c r="L130" s="8"/>
      <c r="M130" s="8"/>
      <c r="N130" s="8"/>
      <c r="O130" s="8"/>
      <c r="P130" s="8"/>
      <c r="Q130" s="2"/>
      <c r="R130" s="2"/>
      <c r="S130" s="88" t="str">
        <f>IF(tblProcRegister[[#This Row],[Award]]&lt;&gt;"",tblProcRegister[[#This Row],[Budget]]-tblProcRegister[[#This Row],[Award]],"")</f>
        <v/>
      </c>
      <c r="T130" s="68"/>
      <c r="U130" s="68"/>
      <c r="V130" s="68"/>
      <c r="W130" s="77" t="str">
        <f>IF(AB130="","",WORKDAY.INTL(AB130,Z130*-1,1,Holidays[Date]))</f>
        <v/>
      </c>
      <c r="X130" s="77" t="str">
        <f t="shared" ca="1" si="1"/>
        <v/>
      </c>
      <c r="Y130" s="78"/>
      <c r="Z130" s="79"/>
      <c r="AA130" s="68"/>
      <c r="AB130" s="77" t="str">
        <f>IF(AG130="","",WORKDAY.INTL(AG130,AE130*-1,1,Holidays[Date]))</f>
        <v/>
      </c>
      <c r="AC130" s="77" t="str">
        <f ca="1">IFERROR(IF(AD130="",WORKDAY.INTL(X130,AA130,1,Holidays[Date]),AD130),"")</f>
        <v/>
      </c>
      <c r="AD130" s="78"/>
      <c r="AE130" s="80"/>
      <c r="AF130" s="68"/>
      <c r="AG130" s="77" t="str">
        <f>IF(AL130="","",WORKDAY.INTL(AL130,AJ130*-1,1,Holidays[Date]))</f>
        <v/>
      </c>
      <c r="AH130" s="77" t="str">
        <f ca="1">IFERROR(IF(AI130="",WORKDAY.INTL(AC130,AF130,1,Holidays[Date]),AI130),"")</f>
        <v/>
      </c>
      <c r="AI130" s="78"/>
      <c r="AJ130" s="80"/>
      <c r="AK130" s="68"/>
      <c r="AL130" s="77" t="str">
        <f>IF(AQ130="","",WORKDAY.INTL(AQ130,AO130*-1,1,Holidays[Date]))</f>
        <v/>
      </c>
      <c r="AM130" s="77" t="str">
        <f ca="1">IFERROR(IF(AN130="",WORKDAY.INTL(AH130,AK130,1,Holidays[Date]),AN130),"")</f>
        <v/>
      </c>
      <c r="AN130" s="78"/>
      <c r="AO130" s="80"/>
      <c r="AP130" s="68"/>
      <c r="AQ130" s="77" t="str">
        <f>IF(AV130="","",WORKDAY.INTL(AV130,AT130*-1,1,Holidays[Date]))</f>
        <v/>
      </c>
      <c r="AR130" s="77" t="str">
        <f ca="1">IFERROR(IF(AS130="",WORKDAY.INTL(AM130,AP130,1,Holidays[Date]),AS130),"")</f>
        <v/>
      </c>
      <c r="AS130" s="78"/>
      <c r="AT130" s="80"/>
      <c r="AU130" s="68"/>
      <c r="AV130" s="77" t="str">
        <f>IF(BA130="","",WORKDAY.INTL(BA130,AY130*-1,1,Holidays[Date]))</f>
        <v/>
      </c>
      <c r="AW130" s="77" t="str">
        <f ca="1">IFERROR(IF(AX130="",WORKDAY.INTL(AR130,AU130,1,Holidays[Date]),AX130),"")</f>
        <v/>
      </c>
      <c r="AX130" s="78"/>
      <c r="AY130" s="80"/>
      <c r="AZ130" s="68"/>
      <c r="BA130" s="77" t="str">
        <f>IF(BF130="","",WORKDAY.INTL(BF130,BD130*-1,1,Holidays[Date]))</f>
        <v/>
      </c>
      <c r="BB130" s="77" t="str">
        <f ca="1">IFERROR(IF(BC130="",WORKDAY.INTL(AW130,AZ130,1,Holidays[Date]),BC130),"")</f>
        <v/>
      </c>
      <c r="BC130" s="78"/>
      <c r="BD130" s="80"/>
      <c r="BE130" s="68"/>
      <c r="BF130" s="77" t="str">
        <f>IF(BK130="","",WORKDAY.INTL(BK130,BI130*-1,1,Holidays[Date]))</f>
        <v/>
      </c>
      <c r="BG130" s="77" t="str">
        <f ca="1">IFERROR(IF(BH130="",WORKDAY.INTL(BB130,BE130,1,Holidays[Date]),BH130),"")</f>
        <v/>
      </c>
      <c r="BH130" s="78"/>
      <c r="BI130" s="80"/>
      <c r="BJ130" s="68"/>
      <c r="BK130" s="77" t="str">
        <f>IF(BP130="","",WORKDAY.INTL(BP130,BN130*-1,1,Holidays[Date]))</f>
        <v/>
      </c>
      <c r="BL130" s="77" t="str">
        <f ca="1">IFERROR(IF(BM130="",WORKDAY.INTL(BG130,BJ130,1,Holidays[Date]),BM130),"")</f>
        <v/>
      </c>
      <c r="BM130" s="78"/>
      <c r="BN130" s="80"/>
      <c r="BO130" s="68"/>
      <c r="BP130" s="77" t="str">
        <f>IF(BU130="","",WORKDAY.INTL(BU130,BS130*-1,1,Holidays[Date]))</f>
        <v/>
      </c>
      <c r="BQ130" s="77" t="str">
        <f ca="1">IFERROR(IF(BR130="",WORKDAY.INTL(BL130,BO130,1,Holidays[Date]),BR130),"")</f>
        <v/>
      </c>
      <c r="BR130" s="78"/>
      <c r="BS130" s="80"/>
      <c r="BT130" s="68"/>
      <c r="BU130" s="77" t="str">
        <f>IF(BZ130="","",WORKDAY.INTL(BZ130,BX130*-1,1,Holidays[Date]))</f>
        <v/>
      </c>
      <c r="BV130" s="77" t="str">
        <f ca="1">IFERROR(IF(BW130="",WORKDAY.INTL(BQ130,BT130,1,Holidays[Date]),BW130),"")</f>
        <v/>
      </c>
      <c r="BW130" s="78"/>
      <c r="BX130" s="80"/>
      <c r="BY130" s="68"/>
      <c r="BZ130" s="81"/>
      <c r="CA130" s="77" t="str">
        <f ca="1">IFERROR(IF(CB130="",WORKDAY.INTL(BV130,BY130,1,Holidays[Date]),CB130),"")</f>
        <v/>
      </c>
      <c r="CB130" s="78"/>
    </row>
    <row r="131" spans="1:80" ht="19" customHeight="1" x14ac:dyDescent="0.35">
      <c r="A131" s="31"/>
      <c r="B131" s="82"/>
      <c r="C131" s="1"/>
      <c r="D131" s="8"/>
      <c r="E131" s="8"/>
      <c r="F131" s="8"/>
      <c r="G131" s="8"/>
      <c r="H131" s="8"/>
      <c r="I131" s="9"/>
      <c r="J131" s="8"/>
      <c r="K131" s="8"/>
      <c r="L131" s="8"/>
      <c r="M131" s="8"/>
      <c r="N131" s="8"/>
      <c r="O131" s="8"/>
      <c r="P131" s="8"/>
      <c r="Q131" s="2"/>
      <c r="R131" s="2"/>
      <c r="S131" s="88" t="str">
        <f>IF(tblProcRegister[[#This Row],[Award]]&lt;&gt;"",tblProcRegister[[#This Row],[Budget]]-tblProcRegister[[#This Row],[Award]],"")</f>
        <v/>
      </c>
      <c r="T131" s="68"/>
      <c r="U131" s="68"/>
      <c r="V131" s="68"/>
      <c r="W131" s="77" t="str">
        <f>IF(AB131="","",WORKDAY.INTL(AB131,Z131*-1,1,Holidays[Date]))</f>
        <v/>
      </c>
      <c r="X131" s="77" t="str">
        <f t="shared" ca="1" si="1"/>
        <v/>
      </c>
      <c r="Y131" s="78"/>
      <c r="Z131" s="79"/>
      <c r="AA131" s="68"/>
      <c r="AB131" s="77" t="str">
        <f>IF(AG131="","",WORKDAY.INTL(AG131,AE131*-1,1,Holidays[Date]))</f>
        <v/>
      </c>
      <c r="AC131" s="77" t="str">
        <f ca="1">IFERROR(IF(AD131="",WORKDAY.INTL(X131,AA131,1,Holidays[Date]),AD131),"")</f>
        <v/>
      </c>
      <c r="AD131" s="78"/>
      <c r="AE131" s="80"/>
      <c r="AF131" s="68"/>
      <c r="AG131" s="77" t="str">
        <f>IF(AL131="","",WORKDAY.INTL(AL131,AJ131*-1,1,Holidays[Date]))</f>
        <v/>
      </c>
      <c r="AH131" s="77" t="str">
        <f ca="1">IFERROR(IF(AI131="",WORKDAY.INTL(AC131,AF131,1,Holidays[Date]),AI131),"")</f>
        <v/>
      </c>
      <c r="AI131" s="78"/>
      <c r="AJ131" s="80"/>
      <c r="AK131" s="68"/>
      <c r="AL131" s="77" t="str">
        <f>IF(AQ131="","",WORKDAY.INTL(AQ131,AO131*-1,1,Holidays[Date]))</f>
        <v/>
      </c>
      <c r="AM131" s="77" t="str">
        <f ca="1">IFERROR(IF(AN131="",WORKDAY.INTL(AH131,AK131,1,Holidays[Date]),AN131),"")</f>
        <v/>
      </c>
      <c r="AN131" s="78"/>
      <c r="AO131" s="80"/>
      <c r="AP131" s="68"/>
      <c r="AQ131" s="77" t="str">
        <f>IF(AV131="","",WORKDAY.INTL(AV131,AT131*-1,1,Holidays[Date]))</f>
        <v/>
      </c>
      <c r="AR131" s="77" t="str">
        <f ca="1">IFERROR(IF(AS131="",WORKDAY.INTL(AM131,AP131,1,Holidays[Date]),AS131),"")</f>
        <v/>
      </c>
      <c r="AS131" s="78"/>
      <c r="AT131" s="80"/>
      <c r="AU131" s="68"/>
      <c r="AV131" s="77" t="str">
        <f>IF(BA131="","",WORKDAY.INTL(BA131,AY131*-1,1,Holidays[Date]))</f>
        <v/>
      </c>
      <c r="AW131" s="77" t="str">
        <f ca="1">IFERROR(IF(AX131="",WORKDAY.INTL(AR131,AU131,1,Holidays[Date]),AX131),"")</f>
        <v/>
      </c>
      <c r="AX131" s="78"/>
      <c r="AY131" s="80"/>
      <c r="AZ131" s="68"/>
      <c r="BA131" s="77" t="str">
        <f>IF(BF131="","",WORKDAY.INTL(BF131,BD131*-1,1,Holidays[Date]))</f>
        <v/>
      </c>
      <c r="BB131" s="77" t="str">
        <f ca="1">IFERROR(IF(BC131="",WORKDAY.INTL(AW131,AZ131,1,Holidays[Date]),BC131),"")</f>
        <v/>
      </c>
      <c r="BC131" s="78"/>
      <c r="BD131" s="80"/>
      <c r="BE131" s="68"/>
      <c r="BF131" s="77" t="str">
        <f>IF(BK131="","",WORKDAY.INTL(BK131,BI131*-1,1,Holidays[Date]))</f>
        <v/>
      </c>
      <c r="BG131" s="77" t="str">
        <f ca="1">IFERROR(IF(BH131="",WORKDAY.INTL(BB131,BE131,1,Holidays[Date]),BH131),"")</f>
        <v/>
      </c>
      <c r="BH131" s="78"/>
      <c r="BI131" s="80"/>
      <c r="BJ131" s="68"/>
      <c r="BK131" s="77" t="str">
        <f>IF(BP131="","",WORKDAY.INTL(BP131,BN131*-1,1,Holidays[Date]))</f>
        <v/>
      </c>
      <c r="BL131" s="77" t="str">
        <f ca="1">IFERROR(IF(BM131="",WORKDAY.INTL(BG131,BJ131,1,Holidays[Date]),BM131),"")</f>
        <v/>
      </c>
      <c r="BM131" s="78"/>
      <c r="BN131" s="80"/>
      <c r="BO131" s="68"/>
      <c r="BP131" s="77" t="str">
        <f>IF(BU131="","",WORKDAY.INTL(BU131,BS131*-1,1,Holidays[Date]))</f>
        <v/>
      </c>
      <c r="BQ131" s="77" t="str">
        <f ca="1">IFERROR(IF(BR131="",WORKDAY.INTL(BL131,BO131,1,Holidays[Date]),BR131),"")</f>
        <v/>
      </c>
      <c r="BR131" s="78"/>
      <c r="BS131" s="80"/>
      <c r="BT131" s="68"/>
      <c r="BU131" s="77" t="str">
        <f>IF(BZ131="","",WORKDAY.INTL(BZ131,BX131*-1,1,Holidays[Date]))</f>
        <v/>
      </c>
      <c r="BV131" s="77" t="str">
        <f ca="1">IFERROR(IF(BW131="",WORKDAY.INTL(BQ131,BT131,1,Holidays[Date]),BW131),"")</f>
        <v/>
      </c>
      <c r="BW131" s="78"/>
      <c r="BX131" s="80"/>
      <c r="BY131" s="68"/>
      <c r="BZ131" s="81"/>
      <c r="CA131" s="77" t="str">
        <f ca="1">IFERROR(IF(CB131="",WORKDAY.INTL(BV131,BY131,1,Holidays[Date]),CB131),"")</f>
        <v/>
      </c>
      <c r="CB131" s="78"/>
    </row>
    <row r="132" spans="1:80" ht="19" customHeight="1" x14ac:dyDescent="0.35">
      <c r="A132" s="31"/>
      <c r="B132" s="82"/>
      <c r="C132" s="1"/>
      <c r="D132" s="8"/>
      <c r="E132" s="8"/>
      <c r="F132" s="8"/>
      <c r="G132" s="8"/>
      <c r="H132" s="8"/>
      <c r="I132" s="9"/>
      <c r="J132" s="8"/>
      <c r="K132" s="8"/>
      <c r="L132" s="8"/>
      <c r="M132" s="8"/>
      <c r="N132" s="8"/>
      <c r="O132" s="8"/>
      <c r="P132" s="8"/>
      <c r="Q132" s="2"/>
      <c r="R132" s="2"/>
      <c r="S132" s="88" t="str">
        <f>IF(tblProcRegister[[#This Row],[Award]]&lt;&gt;"",tblProcRegister[[#This Row],[Budget]]-tblProcRegister[[#This Row],[Award]],"")</f>
        <v/>
      </c>
      <c r="T132" s="68"/>
      <c r="U132" s="68"/>
      <c r="V132" s="68"/>
      <c r="W132" s="77" t="str">
        <f>IF(AB132="","",WORKDAY.INTL(AB132,Z132*-1,1,Holidays[Date]))</f>
        <v/>
      </c>
      <c r="X132" s="77" t="str">
        <f t="shared" ca="1" si="1"/>
        <v/>
      </c>
      <c r="Y132" s="78"/>
      <c r="Z132" s="79"/>
      <c r="AA132" s="68"/>
      <c r="AB132" s="77" t="str">
        <f>IF(AG132="","",WORKDAY.INTL(AG132,AE132*-1,1,Holidays[Date]))</f>
        <v/>
      </c>
      <c r="AC132" s="77" t="str">
        <f ca="1">IFERROR(IF(AD132="",WORKDAY.INTL(X132,AA132,1,Holidays[Date]),AD132),"")</f>
        <v/>
      </c>
      <c r="AD132" s="78"/>
      <c r="AE132" s="80"/>
      <c r="AF132" s="68"/>
      <c r="AG132" s="77" t="str">
        <f>IF(AL132="","",WORKDAY.INTL(AL132,AJ132*-1,1,Holidays[Date]))</f>
        <v/>
      </c>
      <c r="AH132" s="77" t="str">
        <f ca="1">IFERROR(IF(AI132="",WORKDAY.INTL(AC132,AF132,1,Holidays[Date]),AI132),"")</f>
        <v/>
      </c>
      <c r="AI132" s="78"/>
      <c r="AJ132" s="80"/>
      <c r="AK132" s="68"/>
      <c r="AL132" s="77" t="str">
        <f>IF(AQ132="","",WORKDAY.INTL(AQ132,AO132*-1,1,Holidays[Date]))</f>
        <v/>
      </c>
      <c r="AM132" s="77" t="str">
        <f ca="1">IFERROR(IF(AN132="",WORKDAY.INTL(AH132,AK132,1,Holidays[Date]),AN132),"")</f>
        <v/>
      </c>
      <c r="AN132" s="78"/>
      <c r="AO132" s="80"/>
      <c r="AP132" s="68"/>
      <c r="AQ132" s="77" t="str">
        <f>IF(AV132="","",WORKDAY.INTL(AV132,AT132*-1,1,Holidays[Date]))</f>
        <v/>
      </c>
      <c r="AR132" s="77" t="str">
        <f ca="1">IFERROR(IF(AS132="",WORKDAY.INTL(AM132,AP132,1,Holidays[Date]),AS132),"")</f>
        <v/>
      </c>
      <c r="AS132" s="78"/>
      <c r="AT132" s="80"/>
      <c r="AU132" s="68"/>
      <c r="AV132" s="77" t="str">
        <f>IF(BA132="","",WORKDAY.INTL(BA132,AY132*-1,1,Holidays[Date]))</f>
        <v/>
      </c>
      <c r="AW132" s="77" t="str">
        <f ca="1">IFERROR(IF(AX132="",WORKDAY.INTL(AR132,AU132,1,Holidays[Date]),AX132),"")</f>
        <v/>
      </c>
      <c r="AX132" s="78"/>
      <c r="AY132" s="80"/>
      <c r="AZ132" s="68"/>
      <c r="BA132" s="77" t="str">
        <f>IF(BF132="","",WORKDAY.INTL(BF132,BD132*-1,1,Holidays[Date]))</f>
        <v/>
      </c>
      <c r="BB132" s="77" t="str">
        <f ca="1">IFERROR(IF(BC132="",WORKDAY.INTL(AW132,AZ132,1,Holidays[Date]),BC132),"")</f>
        <v/>
      </c>
      <c r="BC132" s="78"/>
      <c r="BD132" s="80"/>
      <c r="BE132" s="68"/>
      <c r="BF132" s="77" t="str">
        <f>IF(BK132="","",WORKDAY.INTL(BK132,BI132*-1,1,Holidays[Date]))</f>
        <v/>
      </c>
      <c r="BG132" s="77" t="str">
        <f ca="1">IFERROR(IF(BH132="",WORKDAY.INTL(BB132,BE132,1,Holidays[Date]),BH132),"")</f>
        <v/>
      </c>
      <c r="BH132" s="78"/>
      <c r="BI132" s="80"/>
      <c r="BJ132" s="68"/>
      <c r="BK132" s="77" t="str">
        <f>IF(BP132="","",WORKDAY.INTL(BP132,BN132*-1,1,Holidays[Date]))</f>
        <v/>
      </c>
      <c r="BL132" s="77" t="str">
        <f ca="1">IFERROR(IF(BM132="",WORKDAY.INTL(BG132,BJ132,1,Holidays[Date]),BM132),"")</f>
        <v/>
      </c>
      <c r="BM132" s="78"/>
      <c r="BN132" s="80"/>
      <c r="BO132" s="68"/>
      <c r="BP132" s="77" t="str">
        <f>IF(BU132="","",WORKDAY.INTL(BU132,BS132*-1,1,Holidays[Date]))</f>
        <v/>
      </c>
      <c r="BQ132" s="77" t="str">
        <f ca="1">IFERROR(IF(BR132="",WORKDAY.INTL(BL132,BO132,1,Holidays[Date]),BR132),"")</f>
        <v/>
      </c>
      <c r="BR132" s="78"/>
      <c r="BS132" s="80"/>
      <c r="BT132" s="68"/>
      <c r="BU132" s="77" t="str">
        <f>IF(BZ132="","",WORKDAY.INTL(BZ132,BX132*-1,1,Holidays[Date]))</f>
        <v/>
      </c>
      <c r="BV132" s="77" t="str">
        <f ca="1">IFERROR(IF(BW132="",WORKDAY.INTL(BQ132,BT132,1,Holidays[Date]),BW132),"")</f>
        <v/>
      </c>
      <c r="BW132" s="78"/>
      <c r="BX132" s="80"/>
      <c r="BY132" s="68"/>
      <c r="BZ132" s="81"/>
      <c r="CA132" s="77" t="str">
        <f ca="1">IFERROR(IF(CB132="",WORKDAY.INTL(BV132,BY132,1,Holidays[Date]),CB132),"")</f>
        <v/>
      </c>
      <c r="CB132" s="78"/>
    </row>
    <row r="133" spans="1:80" ht="19" customHeight="1" x14ac:dyDescent="0.35">
      <c r="A133" s="31"/>
      <c r="B133" s="82"/>
      <c r="C133" s="1"/>
      <c r="D133" s="8"/>
      <c r="E133" s="8"/>
      <c r="F133" s="8"/>
      <c r="G133" s="8"/>
      <c r="H133" s="8"/>
      <c r="I133" s="9"/>
      <c r="J133" s="8"/>
      <c r="K133" s="8"/>
      <c r="L133" s="8"/>
      <c r="M133" s="8"/>
      <c r="N133" s="8"/>
      <c r="O133" s="8"/>
      <c r="P133" s="8"/>
      <c r="Q133" s="2"/>
      <c r="R133" s="2"/>
      <c r="S133" s="88" t="str">
        <f>IF(tblProcRegister[[#This Row],[Award]]&lt;&gt;"",tblProcRegister[[#This Row],[Budget]]-tblProcRegister[[#This Row],[Award]],"")</f>
        <v/>
      </c>
      <c r="T133" s="68"/>
      <c r="U133" s="68"/>
      <c r="V133" s="68"/>
      <c r="W133" s="77" t="str">
        <f>IF(AB133="","",WORKDAY.INTL(AB133,Z133*-1,1,Holidays[Date]))</f>
        <v/>
      </c>
      <c r="X133" s="77" t="str">
        <f t="shared" ca="1" si="1"/>
        <v/>
      </c>
      <c r="Y133" s="78"/>
      <c r="Z133" s="79"/>
      <c r="AA133" s="68"/>
      <c r="AB133" s="77" t="str">
        <f>IF(AG133="","",WORKDAY.INTL(AG133,AE133*-1,1,Holidays[Date]))</f>
        <v/>
      </c>
      <c r="AC133" s="77" t="str">
        <f ca="1">IFERROR(IF(AD133="",WORKDAY.INTL(X133,AA133,1,Holidays[Date]),AD133),"")</f>
        <v/>
      </c>
      <c r="AD133" s="78"/>
      <c r="AE133" s="80"/>
      <c r="AF133" s="68"/>
      <c r="AG133" s="77" t="str">
        <f>IF(AL133="","",WORKDAY.INTL(AL133,AJ133*-1,1,Holidays[Date]))</f>
        <v/>
      </c>
      <c r="AH133" s="77" t="str">
        <f ca="1">IFERROR(IF(AI133="",WORKDAY.INTL(AC133,AF133,1,Holidays[Date]),AI133),"")</f>
        <v/>
      </c>
      <c r="AI133" s="78"/>
      <c r="AJ133" s="80"/>
      <c r="AK133" s="68"/>
      <c r="AL133" s="77" t="str">
        <f>IF(AQ133="","",WORKDAY.INTL(AQ133,AO133*-1,1,Holidays[Date]))</f>
        <v/>
      </c>
      <c r="AM133" s="77" t="str">
        <f ca="1">IFERROR(IF(AN133="",WORKDAY.INTL(AH133,AK133,1,Holidays[Date]),AN133),"")</f>
        <v/>
      </c>
      <c r="AN133" s="78"/>
      <c r="AO133" s="80"/>
      <c r="AP133" s="68"/>
      <c r="AQ133" s="77" t="str">
        <f>IF(AV133="","",WORKDAY.INTL(AV133,AT133*-1,1,Holidays[Date]))</f>
        <v/>
      </c>
      <c r="AR133" s="77" t="str">
        <f ca="1">IFERROR(IF(AS133="",WORKDAY.INTL(AM133,AP133,1,Holidays[Date]),AS133),"")</f>
        <v/>
      </c>
      <c r="AS133" s="78"/>
      <c r="AT133" s="80"/>
      <c r="AU133" s="68"/>
      <c r="AV133" s="77" t="str">
        <f>IF(BA133="","",WORKDAY.INTL(BA133,AY133*-1,1,Holidays[Date]))</f>
        <v/>
      </c>
      <c r="AW133" s="77" t="str">
        <f ca="1">IFERROR(IF(AX133="",WORKDAY.INTL(AR133,AU133,1,Holidays[Date]),AX133),"")</f>
        <v/>
      </c>
      <c r="AX133" s="78"/>
      <c r="AY133" s="80"/>
      <c r="AZ133" s="68"/>
      <c r="BA133" s="77" t="str">
        <f>IF(BF133="","",WORKDAY.INTL(BF133,BD133*-1,1,Holidays[Date]))</f>
        <v/>
      </c>
      <c r="BB133" s="77" t="str">
        <f ca="1">IFERROR(IF(BC133="",WORKDAY.INTL(AW133,AZ133,1,Holidays[Date]),BC133),"")</f>
        <v/>
      </c>
      <c r="BC133" s="78"/>
      <c r="BD133" s="80"/>
      <c r="BE133" s="68"/>
      <c r="BF133" s="77" t="str">
        <f>IF(BK133="","",WORKDAY.INTL(BK133,BI133*-1,1,Holidays[Date]))</f>
        <v/>
      </c>
      <c r="BG133" s="77" t="str">
        <f ca="1">IFERROR(IF(BH133="",WORKDAY.INTL(BB133,BE133,1,Holidays[Date]),BH133),"")</f>
        <v/>
      </c>
      <c r="BH133" s="78"/>
      <c r="BI133" s="80"/>
      <c r="BJ133" s="68"/>
      <c r="BK133" s="77" t="str">
        <f>IF(BP133="","",WORKDAY.INTL(BP133,BN133*-1,1,Holidays[Date]))</f>
        <v/>
      </c>
      <c r="BL133" s="77" t="str">
        <f ca="1">IFERROR(IF(BM133="",WORKDAY.INTL(BG133,BJ133,1,Holidays[Date]),BM133),"")</f>
        <v/>
      </c>
      <c r="BM133" s="78"/>
      <c r="BN133" s="80"/>
      <c r="BO133" s="68"/>
      <c r="BP133" s="77" t="str">
        <f>IF(BU133="","",WORKDAY.INTL(BU133,BS133*-1,1,Holidays[Date]))</f>
        <v/>
      </c>
      <c r="BQ133" s="77" t="str">
        <f ca="1">IFERROR(IF(BR133="",WORKDAY.INTL(BL133,BO133,1,Holidays[Date]),BR133),"")</f>
        <v/>
      </c>
      <c r="BR133" s="78"/>
      <c r="BS133" s="80"/>
      <c r="BT133" s="68"/>
      <c r="BU133" s="77" t="str">
        <f>IF(BZ133="","",WORKDAY.INTL(BZ133,BX133*-1,1,Holidays[Date]))</f>
        <v/>
      </c>
      <c r="BV133" s="77" t="str">
        <f ca="1">IFERROR(IF(BW133="",WORKDAY.INTL(BQ133,BT133,1,Holidays[Date]),BW133),"")</f>
        <v/>
      </c>
      <c r="BW133" s="78"/>
      <c r="BX133" s="80"/>
      <c r="BY133" s="68"/>
      <c r="BZ133" s="81"/>
      <c r="CA133" s="77" t="str">
        <f ca="1">IFERROR(IF(CB133="",WORKDAY.INTL(BV133,BY133,1,Holidays[Date]),CB133),"")</f>
        <v/>
      </c>
      <c r="CB133" s="78"/>
    </row>
    <row r="134" spans="1:80" ht="19" customHeight="1" x14ac:dyDescent="0.35">
      <c r="A134" s="31"/>
      <c r="B134" s="82"/>
      <c r="C134" s="1"/>
      <c r="D134" s="8"/>
      <c r="E134" s="8"/>
      <c r="F134" s="8"/>
      <c r="G134" s="8"/>
      <c r="H134" s="8"/>
      <c r="I134" s="9"/>
      <c r="J134" s="8"/>
      <c r="K134" s="8"/>
      <c r="L134" s="8"/>
      <c r="M134" s="8"/>
      <c r="N134" s="8"/>
      <c r="O134" s="8"/>
      <c r="P134" s="8"/>
      <c r="Q134" s="2"/>
      <c r="R134" s="2"/>
      <c r="S134" s="88" t="str">
        <f>IF(tblProcRegister[[#This Row],[Award]]&lt;&gt;"",tblProcRegister[[#This Row],[Budget]]-tblProcRegister[[#This Row],[Award]],"")</f>
        <v/>
      </c>
      <c r="T134" s="68"/>
      <c r="U134" s="68"/>
      <c r="V134" s="68"/>
      <c r="W134" s="77" t="str">
        <f>IF(AB134="","",WORKDAY.INTL(AB134,Z134*-1,1,Holidays[Date]))</f>
        <v/>
      </c>
      <c r="X134" s="77" t="str">
        <f t="shared" ca="1" si="1"/>
        <v/>
      </c>
      <c r="Y134" s="78"/>
      <c r="Z134" s="79"/>
      <c r="AA134" s="68"/>
      <c r="AB134" s="77" t="str">
        <f>IF(AG134="","",WORKDAY.INTL(AG134,AE134*-1,1,Holidays[Date]))</f>
        <v/>
      </c>
      <c r="AC134" s="77" t="str">
        <f ca="1">IFERROR(IF(AD134="",WORKDAY.INTL(X134,AA134,1,Holidays[Date]),AD134),"")</f>
        <v/>
      </c>
      <c r="AD134" s="78"/>
      <c r="AE134" s="80"/>
      <c r="AF134" s="68"/>
      <c r="AG134" s="77" t="str">
        <f>IF(AL134="","",WORKDAY.INTL(AL134,AJ134*-1,1,Holidays[Date]))</f>
        <v/>
      </c>
      <c r="AH134" s="77" t="str">
        <f ca="1">IFERROR(IF(AI134="",WORKDAY.INTL(AC134,AF134,1,Holidays[Date]),AI134),"")</f>
        <v/>
      </c>
      <c r="AI134" s="78"/>
      <c r="AJ134" s="80"/>
      <c r="AK134" s="68"/>
      <c r="AL134" s="77" t="str">
        <f>IF(AQ134="","",WORKDAY.INTL(AQ134,AO134*-1,1,Holidays[Date]))</f>
        <v/>
      </c>
      <c r="AM134" s="77" t="str">
        <f ca="1">IFERROR(IF(AN134="",WORKDAY.INTL(AH134,AK134,1,Holidays[Date]),AN134),"")</f>
        <v/>
      </c>
      <c r="AN134" s="78"/>
      <c r="AO134" s="80"/>
      <c r="AP134" s="68"/>
      <c r="AQ134" s="77" t="str">
        <f>IF(AV134="","",WORKDAY.INTL(AV134,AT134*-1,1,Holidays[Date]))</f>
        <v/>
      </c>
      <c r="AR134" s="77" t="str">
        <f ca="1">IFERROR(IF(AS134="",WORKDAY.INTL(AM134,AP134,1,Holidays[Date]),AS134),"")</f>
        <v/>
      </c>
      <c r="AS134" s="78"/>
      <c r="AT134" s="80"/>
      <c r="AU134" s="68"/>
      <c r="AV134" s="77" t="str">
        <f>IF(BA134="","",WORKDAY.INTL(BA134,AY134*-1,1,Holidays[Date]))</f>
        <v/>
      </c>
      <c r="AW134" s="77" t="str">
        <f ca="1">IFERROR(IF(AX134="",WORKDAY.INTL(AR134,AU134,1,Holidays[Date]),AX134),"")</f>
        <v/>
      </c>
      <c r="AX134" s="78"/>
      <c r="AY134" s="80"/>
      <c r="AZ134" s="68"/>
      <c r="BA134" s="77" t="str">
        <f>IF(BF134="","",WORKDAY.INTL(BF134,BD134*-1,1,Holidays[Date]))</f>
        <v/>
      </c>
      <c r="BB134" s="77" t="str">
        <f ca="1">IFERROR(IF(BC134="",WORKDAY.INTL(AW134,AZ134,1,Holidays[Date]),BC134),"")</f>
        <v/>
      </c>
      <c r="BC134" s="78"/>
      <c r="BD134" s="80"/>
      <c r="BE134" s="68"/>
      <c r="BF134" s="77" t="str">
        <f>IF(BK134="","",WORKDAY.INTL(BK134,BI134*-1,1,Holidays[Date]))</f>
        <v/>
      </c>
      <c r="BG134" s="77" t="str">
        <f ca="1">IFERROR(IF(BH134="",WORKDAY.INTL(BB134,BE134,1,Holidays[Date]),BH134),"")</f>
        <v/>
      </c>
      <c r="BH134" s="78"/>
      <c r="BI134" s="80"/>
      <c r="BJ134" s="68"/>
      <c r="BK134" s="77" t="str">
        <f>IF(BP134="","",WORKDAY.INTL(BP134,BN134*-1,1,Holidays[Date]))</f>
        <v/>
      </c>
      <c r="BL134" s="77" t="str">
        <f ca="1">IFERROR(IF(BM134="",WORKDAY.INTL(BG134,BJ134,1,Holidays[Date]),BM134),"")</f>
        <v/>
      </c>
      <c r="BM134" s="78"/>
      <c r="BN134" s="80"/>
      <c r="BO134" s="68"/>
      <c r="BP134" s="77" t="str">
        <f>IF(BU134="","",WORKDAY.INTL(BU134,BS134*-1,1,Holidays[Date]))</f>
        <v/>
      </c>
      <c r="BQ134" s="77" t="str">
        <f ca="1">IFERROR(IF(BR134="",WORKDAY.INTL(BL134,BO134,1,Holidays[Date]),BR134),"")</f>
        <v/>
      </c>
      <c r="BR134" s="78"/>
      <c r="BS134" s="80"/>
      <c r="BT134" s="68"/>
      <c r="BU134" s="77" t="str">
        <f>IF(BZ134="","",WORKDAY.INTL(BZ134,BX134*-1,1,Holidays[Date]))</f>
        <v/>
      </c>
      <c r="BV134" s="77" t="str">
        <f ca="1">IFERROR(IF(BW134="",WORKDAY.INTL(BQ134,BT134,1,Holidays[Date]),BW134),"")</f>
        <v/>
      </c>
      <c r="BW134" s="78"/>
      <c r="BX134" s="80"/>
      <c r="BY134" s="68"/>
      <c r="BZ134" s="81"/>
      <c r="CA134" s="77" t="str">
        <f ca="1">IFERROR(IF(CB134="",WORKDAY.INTL(BV134,BY134,1,Holidays[Date]),CB134),"")</f>
        <v/>
      </c>
      <c r="CB134" s="78"/>
    </row>
    <row r="135" spans="1:80" ht="19" customHeight="1" x14ac:dyDescent="0.35">
      <c r="A135" s="31"/>
      <c r="B135" s="82"/>
      <c r="C135" s="1"/>
      <c r="D135" s="8"/>
      <c r="E135" s="8"/>
      <c r="F135" s="8"/>
      <c r="G135" s="8"/>
      <c r="H135" s="8"/>
      <c r="I135" s="9"/>
      <c r="J135" s="8"/>
      <c r="K135" s="8"/>
      <c r="L135" s="8"/>
      <c r="M135" s="8"/>
      <c r="N135" s="8"/>
      <c r="O135" s="8"/>
      <c r="P135" s="8"/>
      <c r="Q135" s="2"/>
      <c r="R135" s="2"/>
      <c r="S135" s="88" t="str">
        <f>IF(tblProcRegister[[#This Row],[Award]]&lt;&gt;"",tblProcRegister[[#This Row],[Budget]]-tblProcRegister[[#This Row],[Award]],"")</f>
        <v/>
      </c>
      <c r="T135" s="68"/>
      <c r="U135" s="68"/>
      <c r="V135" s="68"/>
      <c r="W135" s="77" t="str">
        <f>IF(AB135="","",WORKDAY.INTL(AB135,Z135*-1,1,Holidays[Date]))</f>
        <v/>
      </c>
      <c r="X135" s="77" t="str">
        <f t="shared" ca="1" si="1"/>
        <v/>
      </c>
      <c r="Y135" s="78"/>
      <c r="Z135" s="79"/>
      <c r="AA135" s="68"/>
      <c r="AB135" s="77" t="str">
        <f>IF(AG135="","",WORKDAY.INTL(AG135,AE135*-1,1,Holidays[Date]))</f>
        <v/>
      </c>
      <c r="AC135" s="77" t="str">
        <f ca="1">IFERROR(IF(AD135="",WORKDAY.INTL(X135,AA135,1,Holidays[Date]),AD135),"")</f>
        <v/>
      </c>
      <c r="AD135" s="78"/>
      <c r="AE135" s="80"/>
      <c r="AF135" s="68"/>
      <c r="AG135" s="77" t="str">
        <f>IF(AL135="","",WORKDAY.INTL(AL135,AJ135*-1,1,Holidays[Date]))</f>
        <v/>
      </c>
      <c r="AH135" s="77" t="str">
        <f ca="1">IFERROR(IF(AI135="",WORKDAY.INTL(AC135,AF135,1,Holidays[Date]),AI135),"")</f>
        <v/>
      </c>
      <c r="AI135" s="78"/>
      <c r="AJ135" s="80"/>
      <c r="AK135" s="68"/>
      <c r="AL135" s="77" t="str">
        <f>IF(AQ135="","",WORKDAY.INTL(AQ135,AO135*-1,1,Holidays[Date]))</f>
        <v/>
      </c>
      <c r="AM135" s="77" t="str">
        <f ca="1">IFERROR(IF(AN135="",WORKDAY.INTL(AH135,AK135,1,Holidays[Date]),AN135),"")</f>
        <v/>
      </c>
      <c r="AN135" s="78"/>
      <c r="AO135" s="80"/>
      <c r="AP135" s="68"/>
      <c r="AQ135" s="77" t="str">
        <f>IF(AV135="","",WORKDAY.INTL(AV135,AT135*-1,1,Holidays[Date]))</f>
        <v/>
      </c>
      <c r="AR135" s="77" t="str">
        <f ca="1">IFERROR(IF(AS135="",WORKDAY.INTL(AM135,AP135,1,Holidays[Date]),AS135),"")</f>
        <v/>
      </c>
      <c r="AS135" s="78"/>
      <c r="AT135" s="80"/>
      <c r="AU135" s="68"/>
      <c r="AV135" s="77" t="str">
        <f>IF(BA135="","",WORKDAY.INTL(BA135,AY135*-1,1,Holidays[Date]))</f>
        <v/>
      </c>
      <c r="AW135" s="77" t="str">
        <f ca="1">IFERROR(IF(AX135="",WORKDAY.INTL(AR135,AU135,1,Holidays[Date]),AX135),"")</f>
        <v/>
      </c>
      <c r="AX135" s="78"/>
      <c r="AY135" s="80"/>
      <c r="AZ135" s="68"/>
      <c r="BA135" s="77" t="str">
        <f>IF(BF135="","",WORKDAY.INTL(BF135,BD135*-1,1,Holidays[Date]))</f>
        <v/>
      </c>
      <c r="BB135" s="77" t="str">
        <f ca="1">IFERROR(IF(BC135="",WORKDAY.INTL(AW135,AZ135,1,Holidays[Date]),BC135),"")</f>
        <v/>
      </c>
      <c r="BC135" s="78"/>
      <c r="BD135" s="80"/>
      <c r="BE135" s="68"/>
      <c r="BF135" s="77" t="str">
        <f>IF(BK135="","",WORKDAY.INTL(BK135,BI135*-1,1,Holidays[Date]))</f>
        <v/>
      </c>
      <c r="BG135" s="77" t="str">
        <f ca="1">IFERROR(IF(BH135="",WORKDAY.INTL(BB135,BE135,1,Holidays[Date]),BH135),"")</f>
        <v/>
      </c>
      <c r="BH135" s="78"/>
      <c r="BI135" s="80"/>
      <c r="BJ135" s="68"/>
      <c r="BK135" s="77" t="str">
        <f>IF(BP135="","",WORKDAY.INTL(BP135,BN135*-1,1,Holidays[Date]))</f>
        <v/>
      </c>
      <c r="BL135" s="77" t="str">
        <f ca="1">IFERROR(IF(BM135="",WORKDAY.INTL(BG135,BJ135,1,Holidays[Date]),BM135),"")</f>
        <v/>
      </c>
      <c r="BM135" s="78"/>
      <c r="BN135" s="80"/>
      <c r="BO135" s="68"/>
      <c r="BP135" s="77" t="str">
        <f>IF(BU135="","",WORKDAY.INTL(BU135,BS135*-1,1,Holidays[Date]))</f>
        <v/>
      </c>
      <c r="BQ135" s="77" t="str">
        <f ca="1">IFERROR(IF(BR135="",WORKDAY.INTL(BL135,BO135,1,Holidays[Date]),BR135),"")</f>
        <v/>
      </c>
      <c r="BR135" s="78"/>
      <c r="BS135" s="80"/>
      <c r="BT135" s="68"/>
      <c r="BU135" s="77" t="str">
        <f>IF(BZ135="","",WORKDAY.INTL(BZ135,BX135*-1,1,Holidays[Date]))</f>
        <v/>
      </c>
      <c r="BV135" s="77" t="str">
        <f ca="1">IFERROR(IF(BW135="",WORKDAY.INTL(BQ135,BT135,1,Holidays[Date]),BW135),"")</f>
        <v/>
      </c>
      <c r="BW135" s="78"/>
      <c r="BX135" s="80"/>
      <c r="BY135" s="68"/>
      <c r="BZ135" s="81"/>
      <c r="CA135" s="77" t="str">
        <f ca="1">IFERROR(IF(CB135="",WORKDAY.INTL(BV135,BY135,1,Holidays[Date]),CB135),"")</f>
        <v/>
      </c>
      <c r="CB135" s="78"/>
    </row>
    <row r="136" spans="1:80" ht="19" customHeight="1" x14ac:dyDescent="0.35">
      <c r="A136" s="31"/>
      <c r="B136" s="82"/>
      <c r="C136" s="1"/>
      <c r="D136" s="8"/>
      <c r="E136" s="8"/>
      <c r="F136" s="8"/>
      <c r="G136" s="8"/>
      <c r="H136" s="8"/>
      <c r="I136" s="9"/>
      <c r="J136" s="8"/>
      <c r="K136" s="8"/>
      <c r="L136" s="8"/>
      <c r="M136" s="8"/>
      <c r="N136" s="8"/>
      <c r="O136" s="8"/>
      <c r="P136" s="8"/>
      <c r="Q136" s="2"/>
      <c r="R136" s="2"/>
      <c r="S136" s="88" t="str">
        <f>IF(tblProcRegister[[#This Row],[Award]]&lt;&gt;"",tblProcRegister[[#This Row],[Budget]]-tblProcRegister[[#This Row],[Award]],"")</f>
        <v/>
      </c>
      <c r="T136" s="68"/>
      <c r="U136" s="68"/>
      <c r="V136" s="68"/>
      <c r="W136" s="77" t="str">
        <f>IF(AB136="","",WORKDAY.INTL(AB136,Z136*-1,1,Holidays[Date]))</f>
        <v/>
      </c>
      <c r="X136" s="77" t="str">
        <f t="shared" ca="1" si="1"/>
        <v/>
      </c>
      <c r="Y136" s="78"/>
      <c r="Z136" s="79"/>
      <c r="AA136" s="68"/>
      <c r="AB136" s="77" t="str">
        <f>IF(AG136="","",WORKDAY.INTL(AG136,AE136*-1,1,Holidays[Date]))</f>
        <v/>
      </c>
      <c r="AC136" s="77" t="str">
        <f ca="1">IFERROR(IF(AD136="",WORKDAY.INTL(X136,AA136,1,Holidays[Date]),AD136),"")</f>
        <v/>
      </c>
      <c r="AD136" s="78"/>
      <c r="AE136" s="80"/>
      <c r="AF136" s="68"/>
      <c r="AG136" s="77" t="str">
        <f>IF(AL136="","",WORKDAY.INTL(AL136,AJ136*-1,1,Holidays[Date]))</f>
        <v/>
      </c>
      <c r="AH136" s="77" t="str">
        <f ca="1">IFERROR(IF(AI136="",WORKDAY.INTL(AC136,AF136,1,Holidays[Date]),AI136),"")</f>
        <v/>
      </c>
      <c r="AI136" s="78"/>
      <c r="AJ136" s="80"/>
      <c r="AK136" s="68"/>
      <c r="AL136" s="77" t="str">
        <f>IF(AQ136="","",WORKDAY.INTL(AQ136,AO136*-1,1,Holidays[Date]))</f>
        <v/>
      </c>
      <c r="AM136" s="77" t="str">
        <f ca="1">IFERROR(IF(AN136="",WORKDAY.INTL(AH136,AK136,1,Holidays[Date]),AN136),"")</f>
        <v/>
      </c>
      <c r="AN136" s="78"/>
      <c r="AO136" s="80"/>
      <c r="AP136" s="68"/>
      <c r="AQ136" s="77" t="str">
        <f>IF(AV136="","",WORKDAY.INTL(AV136,AT136*-1,1,Holidays[Date]))</f>
        <v/>
      </c>
      <c r="AR136" s="77" t="str">
        <f ca="1">IFERROR(IF(AS136="",WORKDAY.INTL(AM136,AP136,1,Holidays[Date]),AS136),"")</f>
        <v/>
      </c>
      <c r="AS136" s="78"/>
      <c r="AT136" s="80"/>
      <c r="AU136" s="68"/>
      <c r="AV136" s="77" t="str">
        <f>IF(BA136="","",WORKDAY.INTL(BA136,AY136*-1,1,Holidays[Date]))</f>
        <v/>
      </c>
      <c r="AW136" s="77" t="str">
        <f ca="1">IFERROR(IF(AX136="",WORKDAY.INTL(AR136,AU136,1,Holidays[Date]),AX136),"")</f>
        <v/>
      </c>
      <c r="AX136" s="78"/>
      <c r="AY136" s="80"/>
      <c r="AZ136" s="68"/>
      <c r="BA136" s="77" t="str">
        <f>IF(BF136="","",WORKDAY.INTL(BF136,BD136*-1,1,Holidays[Date]))</f>
        <v/>
      </c>
      <c r="BB136" s="77" t="str">
        <f ca="1">IFERROR(IF(BC136="",WORKDAY.INTL(AW136,AZ136,1,Holidays[Date]),BC136),"")</f>
        <v/>
      </c>
      <c r="BC136" s="78"/>
      <c r="BD136" s="80"/>
      <c r="BE136" s="68"/>
      <c r="BF136" s="77" t="str">
        <f>IF(BK136="","",WORKDAY.INTL(BK136,BI136*-1,1,Holidays[Date]))</f>
        <v/>
      </c>
      <c r="BG136" s="77" t="str">
        <f ca="1">IFERROR(IF(BH136="",WORKDAY.INTL(BB136,BE136,1,Holidays[Date]),BH136),"")</f>
        <v/>
      </c>
      <c r="BH136" s="78"/>
      <c r="BI136" s="80"/>
      <c r="BJ136" s="68"/>
      <c r="BK136" s="77" t="str">
        <f>IF(BP136="","",WORKDAY.INTL(BP136,BN136*-1,1,Holidays[Date]))</f>
        <v/>
      </c>
      <c r="BL136" s="77" t="str">
        <f ca="1">IFERROR(IF(BM136="",WORKDAY.INTL(BG136,BJ136,1,Holidays[Date]),BM136),"")</f>
        <v/>
      </c>
      <c r="BM136" s="78"/>
      <c r="BN136" s="80"/>
      <c r="BO136" s="68"/>
      <c r="BP136" s="77" t="str">
        <f>IF(BU136="","",WORKDAY.INTL(BU136,BS136*-1,1,Holidays[Date]))</f>
        <v/>
      </c>
      <c r="BQ136" s="77" t="str">
        <f ca="1">IFERROR(IF(BR136="",WORKDAY.INTL(BL136,BO136,1,Holidays[Date]),BR136),"")</f>
        <v/>
      </c>
      <c r="BR136" s="78"/>
      <c r="BS136" s="80"/>
      <c r="BT136" s="68"/>
      <c r="BU136" s="77" t="str">
        <f>IF(BZ136="","",WORKDAY.INTL(BZ136,BX136*-1,1,Holidays[Date]))</f>
        <v/>
      </c>
      <c r="BV136" s="77" t="str">
        <f ca="1">IFERROR(IF(BW136="",WORKDAY.INTL(BQ136,BT136,1,Holidays[Date]),BW136),"")</f>
        <v/>
      </c>
      <c r="BW136" s="78"/>
      <c r="BX136" s="80"/>
      <c r="BY136" s="68"/>
      <c r="BZ136" s="81"/>
      <c r="CA136" s="77" t="str">
        <f ca="1">IFERROR(IF(CB136="",WORKDAY.INTL(BV136,BY136,1,Holidays[Date]),CB136),"")</f>
        <v/>
      </c>
      <c r="CB136" s="78"/>
    </row>
    <row r="137" spans="1:80" ht="19" customHeight="1" x14ac:dyDescent="0.35">
      <c r="A137" s="31"/>
      <c r="B137" s="82"/>
      <c r="C137" s="1"/>
      <c r="D137" s="8"/>
      <c r="E137" s="8"/>
      <c r="F137" s="8"/>
      <c r="G137" s="8"/>
      <c r="H137" s="8"/>
      <c r="I137" s="9"/>
      <c r="J137" s="8"/>
      <c r="K137" s="8"/>
      <c r="L137" s="8"/>
      <c r="M137" s="8"/>
      <c r="N137" s="8"/>
      <c r="O137" s="8"/>
      <c r="P137" s="8"/>
      <c r="Q137" s="2"/>
      <c r="R137" s="2"/>
      <c r="S137" s="88" t="str">
        <f>IF(tblProcRegister[[#This Row],[Award]]&lt;&gt;"",tblProcRegister[[#This Row],[Budget]]-tblProcRegister[[#This Row],[Award]],"")</f>
        <v/>
      </c>
      <c r="T137" s="68"/>
      <c r="U137" s="68"/>
      <c r="V137" s="68"/>
      <c r="W137" s="77" t="str">
        <f>IF(AB137="","",WORKDAY.INTL(AB137,Z137*-1,1,Holidays[Date]))</f>
        <v/>
      </c>
      <c r="X137" s="77" t="str">
        <f t="shared" ca="1" si="1"/>
        <v/>
      </c>
      <c r="Y137" s="78"/>
      <c r="Z137" s="79"/>
      <c r="AA137" s="68"/>
      <c r="AB137" s="77" t="str">
        <f>IF(AG137="","",WORKDAY.INTL(AG137,AE137*-1,1,Holidays[Date]))</f>
        <v/>
      </c>
      <c r="AC137" s="77" t="str">
        <f ca="1">IFERROR(IF(AD137="",WORKDAY.INTL(X137,AA137,1,Holidays[Date]),AD137),"")</f>
        <v/>
      </c>
      <c r="AD137" s="78"/>
      <c r="AE137" s="80"/>
      <c r="AF137" s="68"/>
      <c r="AG137" s="77" t="str">
        <f>IF(AL137="","",WORKDAY.INTL(AL137,AJ137*-1,1,Holidays[Date]))</f>
        <v/>
      </c>
      <c r="AH137" s="77" t="str">
        <f ca="1">IFERROR(IF(AI137="",WORKDAY.INTL(AC137,AF137,1,Holidays[Date]),AI137),"")</f>
        <v/>
      </c>
      <c r="AI137" s="78"/>
      <c r="AJ137" s="80"/>
      <c r="AK137" s="68"/>
      <c r="AL137" s="77" t="str">
        <f>IF(AQ137="","",WORKDAY.INTL(AQ137,AO137*-1,1,Holidays[Date]))</f>
        <v/>
      </c>
      <c r="AM137" s="77" t="str">
        <f ca="1">IFERROR(IF(AN137="",WORKDAY.INTL(AH137,AK137,1,Holidays[Date]),AN137),"")</f>
        <v/>
      </c>
      <c r="AN137" s="78"/>
      <c r="AO137" s="80"/>
      <c r="AP137" s="68"/>
      <c r="AQ137" s="77" t="str">
        <f>IF(AV137="","",WORKDAY.INTL(AV137,AT137*-1,1,Holidays[Date]))</f>
        <v/>
      </c>
      <c r="AR137" s="77" t="str">
        <f ca="1">IFERROR(IF(AS137="",WORKDAY.INTL(AM137,AP137,1,Holidays[Date]),AS137),"")</f>
        <v/>
      </c>
      <c r="AS137" s="78"/>
      <c r="AT137" s="80"/>
      <c r="AU137" s="68"/>
      <c r="AV137" s="77" t="str">
        <f>IF(BA137="","",WORKDAY.INTL(BA137,AY137*-1,1,Holidays[Date]))</f>
        <v/>
      </c>
      <c r="AW137" s="77" t="str">
        <f ca="1">IFERROR(IF(AX137="",WORKDAY.INTL(AR137,AU137,1,Holidays[Date]),AX137),"")</f>
        <v/>
      </c>
      <c r="AX137" s="78"/>
      <c r="AY137" s="80"/>
      <c r="AZ137" s="68"/>
      <c r="BA137" s="77" t="str">
        <f>IF(BF137="","",WORKDAY.INTL(BF137,BD137*-1,1,Holidays[Date]))</f>
        <v/>
      </c>
      <c r="BB137" s="77" t="str">
        <f ca="1">IFERROR(IF(BC137="",WORKDAY.INTL(AW137,AZ137,1,Holidays[Date]),BC137),"")</f>
        <v/>
      </c>
      <c r="BC137" s="78"/>
      <c r="BD137" s="80"/>
      <c r="BE137" s="68"/>
      <c r="BF137" s="77" t="str">
        <f>IF(BK137="","",WORKDAY.INTL(BK137,BI137*-1,1,Holidays[Date]))</f>
        <v/>
      </c>
      <c r="BG137" s="77" t="str">
        <f ca="1">IFERROR(IF(BH137="",WORKDAY.INTL(BB137,BE137,1,Holidays[Date]),BH137),"")</f>
        <v/>
      </c>
      <c r="BH137" s="78"/>
      <c r="BI137" s="80"/>
      <c r="BJ137" s="68"/>
      <c r="BK137" s="77" t="str">
        <f>IF(BP137="","",WORKDAY.INTL(BP137,BN137*-1,1,Holidays[Date]))</f>
        <v/>
      </c>
      <c r="BL137" s="77" t="str">
        <f ca="1">IFERROR(IF(BM137="",WORKDAY.INTL(BG137,BJ137,1,Holidays[Date]),BM137),"")</f>
        <v/>
      </c>
      <c r="BM137" s="78"/>
      <c r="BN137" s="80"/>
      <c r="BO137" s="68"/>
      <c r="BP137" s="77" t="str">
        <f>IF(BU137="","",WORKDAY.INTL(BU137,BS137*-1,1,Holidays[Date]))</f>
        <v/>
      </c>
      <c r="BQ137" s="77" t="str">
        <f ca="1">IFERROR(IF(BR137="",WORKDAY.INTL(BL137,BO137,1,Holidays[Date]),BR137),"")</f>
        <v/>
      </c>
      <c r="BR137" s="78"/>
      <c r="BS137" s="80"/>
      <c r="BT137" s="68"/>
      <c r="BU137" s="77" t="str">
        <f>IF(BZ137="","",WORKDAY.INTL(BZ137,BX137*-1,1,Holidays[Date]))</f>
        <v/>
      </c>
      <c r="BV137" s="77" t="str">
        <f ca="1">IFERROR(IF(BW137="",WORKDAY.INTL(BQ137,BT137,1,Holidays[Date]),BW137),"")</f>
        <v/>
      </c>
      <c r="BW137" s="78"/>
      <c r="BX137" s="80"/>
      <c r="BY137" s="68"/>
      <c r="BZ137" s="81"/>
      <c r="CA137" s="77" t="str">
        <f ca="1">IFERROR(IF(CB137="",WORKDAY.INTL(BV137,BY137,1,Holidays[Date]),CB137),"")</f>
        <v/>
      </c>
      <c r="CB137" s="78"/>
    </row>
    <row r="138" spans="1:80" ht="19" customHeight="1" x14ac:dyDescent="0.35">
      <c r="A138" s="31"/>
      <c r="B138" s="82"/>
      <c r="C138" s="1"/>
      <c r="D138" s="8"/>
      <c r="E138" s="8"/>
      <c r="F138" s="8"/>
      <c r="G138" s="8"/>
      <c r="H138" s="8"/>
      <c r="I138" s="9"/>
      <c r="J138" s="8"/>
      <c r="K138" s="8"/>
      <c r="L138" s="8"/>
      <c r="M138" s="8"/>
      <c r="N138" s="8"/>
      <c r="O138" s="8"/>
      <c r="P138" s="8"/>
      <c r="Q138" s="2"/>
      <c r="R138" s="2"/>
      <c r="S138" s="88" t="str">
        <f>IF(tblProcRegister[[#This Row],[Award]]&lt;&gt;"",tblProcRegister[[#This Row],[Budget]]-tblProcRegister[[#This Row],[Award]],"")</f>
        <v/>
      </c>
      <c r="T138" s="68"/>
      <c r="U138" s="68"/>
      <c r="V138" s="68"/>
      <c r="W138" s="77" t="str">
        <f>IF(AB138="","",WORKDAY.INTL(AB138,Z138*-1,1,Holidays[Date]))</f>
        <v/>
      </c>
      <c r="X138" s="77" t="str">
        <f t="shared" ca="1" si="1"/>
        <v/>
      </c>
      <c r="Y138" s="78"/>
      <c r="Z138" s="79"/>
      <c r="AA138" s="68"/>
      <c r="AB138" s="77" t="str">
        <f>IF(AG138="","",WORKDAY.INTL(AG138,AE138*-1,1,Holidays[Date]))</f>
        <v/>
      </c>
      <c r="AC138" s="77" t="str">
        <f ca="1">IFERROR(IF(AD138="",WORKDAY.INTL(X138,AA138,1,Holidays[Date]),AD138),"")</f>
        <v/>
      </c>
      <c r="AD138" s="78"/>
      <c r="AE138" s="80"/>
      <c r="AF138" s="68"/>
      <c r="AG138" s="77" t="str">
        <f>IF(AL138="","",WORKDAY.INTL(AL138,AJ138*-1,1,Holidays[Date]))</f>
        <v/>
      </c>
      <c r="AH138" s="77" t="str">
        <f ca="1">IFERROR(IF(AI138="",WORKDAY.INTL(AC138,AF138,1,Holidays[Date]),AI138),"")</f>
        <v/>
      </c>
      <c r="AI138" s="78"/>
      <c r="AJ138" s="80"/>
      <c r="AK138" s="68"/>
      <c r="AL138" s="77" t="str">
        <f>IF(AQ138="","",WORKDAY.INTL(AQ138,AO138*-1,1,Holidays[Date]))</f>
        <v/>
      </c>
      <c r="AM138" s="77" t="str">
        <f ca="1">IFERROR(IF(AN138="",WORKDAY.INTL(AH138,AK138,1,Holidays[Date]),AN138),"")</f>
        <v/>
      </c>
      <c r="AN138" s="78"/>
      <c r="AO138" s="80"/>
      <c r="AP138" s="68"/>
      <c r="AQ138" s="77" t="str">
        <f>IF(AV138="","",WORKDAY.INTL(AV138,AT138*-1,1,Holidays[Date]))</f>
        <v/>
      </c>
      <c r="AR138" s="77" t="str">
        <f ca="1">IFERROR(IF(AS138="",WORKDAY.INTL(AM138,AP138,1,Holidays[Date]),AS138),"")</f>
        <v/>
      </c>
      <c r="AS138" s="78"/>
      <c r="AT138" s="80"/>
      <c r="AU138" s="68"/>
      <c r="AV138" s="77" t="str">
        <f>IF(BA138="","",WORKDAY.INTL(BA138,AY138*-1,1,Holidays[Date]))</f>
        <v/>
      </c>
      <c r="AW138" s="77" t="str">
        <f ca="1">IFERROR(IF(AX138="",WORKDAY.INTL(AR138,AU138,1,Holidays[Date]),AX138),"")</f>
        <v/>
      </c>
      <c r="AX138" s="78"/>
      <c r="AY138" s="80"/>
      <c r="AZ138" s="68"/>
      <c r="BA138" s="77" t="str">
        <f>IF(BF138="","",WORKDAY.INTL(BF138,BD138*-1,1,Holidays[Date]))</f>
        <v/>
      </c>
      <c r="BB138" s="77" t="str">
        <f ca="1">IFERROR(IF(BC138="",WORKDAY.INTL(AW138,AZ138,1,Holidays[Date]),BC138),"")</f>
        <v/>
      </c>
      <c r="BC138" s="78"/>
      <c r="BD138" s="80"/>
      <c r="BE138" s="68"/>
      <c r="BF138" s="77" t="str">
        <f>IF(BK138="","",WORKDAY.INTL(BK138,BI138*-1,1,Holidays[Date]))</f>
        <v/>
      </c>
      <c r="BG138" s="77" t="str">
        <f ca="1">IFERROR(IF(BH138="",WORKDAY.INTL(BB138,BE138,1,Holidays[Date]),BH138),"")</f>
        <v/>
      </c>
      <c r="BH138" s="78"/>
      <c r="BI138" s="80"/>
      <c r="BJ138" s="68"/>
      <c r="BK138" s="77" t="str">
        <f>IF(BP138="","",WORKDAY.INTL(BP138,BN138*-1,1,Holidays[Date]))</f>
        <v/>
      </c>
      <c r="BL138" s="77" t="str">
        <f ca="1">IFERROR(IF(BM138="",WORKDAY.INTL(BG138,BJ138,1,Holidays[Date]),BM138),"")</f>
        <v/>
      </c>
      <c r="BM138" s="78"/>
      <c r="BN138" s="80"/>
      <c r="BO138" s="68"/>
      <c r="BP138" s="77" t="str">
        <f>IF(BU138="","",WORKDAY.INTL(BU138,BS138*-1,1,Holidays[Date]))</f>
        <v/>
      </c>
      <c r="BQ138" s="77" t="str">
        <f ca="1">IFERROR(IF(BR138="",WORKDAY.INTL(BL138,BO138,1,Holidays[Date]),BR138),"")</f>
        <v/>
      </c>
      <c r="BR138" s="78"/>
      <c r="BS138" s="80"/>
      <c r="BT138" s="68"/>
      <c r="BU138" s="77" t="str">
        <f>IF(BZ138="","",WORKDAY.INTL(BZ138,BX138*-1,1,Holidays[Date]))</f>
        <v/>
      </c>
      <c r="BV138" s="77" t="str">
        <f ca="1">IFERROR(IF(BW138="",WORKDAY.INTL(BQ138,BT138,1,Holidays[Date]),BW138),"")</f>
        <v/>
      </c>
      <c r="BW138" s="78"/>
      <c r="BX138" s="80"/>
      <c r="BY138" s="68"/>
      <c r="BZ138" s="81"/>
      <c r="CA138" s="77" t="str">
        <f ca="1">IFERROR(IF(CB138="",WORKDAY.INTL(BV138,BY138,1,Holidays[Date]),CB138),"")</f>
        <v/>
      </c>
      <c r="CB138" s="78"/>
    </row>
    <row r="139" spans="1:80" ht="19" customHeight="1" x14ac:dyDescent="0.35">
      <c r="A139" s="31"/>
      <c r="B139" s="82"/>
      <c r="C139" s="1"/>
      <c r="D139" s="8"/>
      <c r="E139" s="8"/>
      <c r="F139" s="8"/>
      <c r="G139" s="8"/>
      <c r="H139" s="8"/>
      <c r="I139" s="9"/>
      <c r="J139" s="8"/>
      <c r="K139" s="8"/>
      <c r="L139" s="8"/>
      <c r="M139" s="8"/>
      <c r="N139" s="8"/>
      <c r="O139" s="8"/>
      <c r="P139" s="8"/>
      <c r="Q139" s="2"/>
      <c r="R139" s="2"/>
      <c r="S139" s="88" t="str">
        <f>IF(tblProcRegister[[#This Row],[Award]]&lt;&gt;"",tblProcRegister[[#This Row],[Budget]]-tblProcRegister[[#This Row],[Award]],"")</f>
        <v/>
      </c>
      <c r="T139" s="68"/>
      <c r="U139" s="68"/>
      <c r="V139" s="68"/>
      <c r="W139" s="77" t="str">
        <f>IF(AB139="","",WORKDAY.INTL(AB139,Z139*-1,1,Holidays[Date]))</f>
        <v/>
      </c>
      <c r="X139" s="77" t="str">
        <f t="shared" ca="1" si="1"/>
        <v/>
      </c>
      <c r="Y139" s="78"/>
      <c r="Z139" s="79"/>
      <c r="AA139" s="68"/>
      <c r="AB139" s="77" t="str">
        <f>IF(AG139="","",WORKDAY.INTL(AG139,AE139*-1,1,Holidays[Date]))</f>
        <v/>
      </c>
      <c r="AC139" s="77" t="str">
        <f ca="1">IFERROR(IF(AD139="",WORKDAY.INTL(X139,AA139,1,Holidays[Date]),AD139),"")</f>
        <v/>
      </c>
      <c r="AD139" s="78"/>
      <c r="AE139" s="80"/>
      <c r="AF139" s="68"/>
      <c r="AG139" s="77" t="str">
        <f>IF(AL139="","",WORKDAY.INTL(AL139,AJ139*-1,1,Holidays[Date]))</f>
        <v/>
      </c>
      <c r="AH139" s="77" t="str">
        <f ca="1">IFERROR(IF(AI139="",WORKDAY.INTL(AC139,AF139,1,Holidays[Date]),AI139),"")</f>
        <v/>
      </c>
      <c r="AI139" s="78"/>
      <c r="AJ139" s="80"/>
      <c r="AK139" s="68"/>
      <c r="AL139" s="77" t="str">
        <f>IF(AQ139="","",WORKDAY.INTL(AQ139,AO139*-1,1,Holidays[Date]))</f>
        <v/>
      </c>
      <c r="AM139" s="77" t="str">
        <f ca="1">IFERROR(IF(AN139="",WORKDAY.INTL(AH139,AK139,1,Holidays[Date]),AN139),"")</f>
        <v/>
      </c>
      <c r="AN139" s="78"/>
      <c r="AO139" s="80"/>
      <c r="AP139" s="68"/>
      <c r="AQ139" s="77" t="str">
        <f>IF(AV139="","",WORKDAY.INTL(AV139,AT139*-1,1,Holidays[Date]))</f>
        <v/>
      </c>
      <c r="AR139" s="77" t="str">
        <f ca="1">IFERROR(IF(AS139="",WORKDAY.INTL(AM139,AP139,1,Holidays[Date]),AS139),"")</f>
        <v/>
      </c>
      <c r="AS139" s="78"/>
      <c r="AT139" s="80"/>
      <c r="AU139" s="68"/>
      <c r="AV139" s="77" t="str">
        <f>IF(BA139="","",WORKDAY.INTL(BA139,AY139*-1,1,Holidays[Date]))</f>
        <v/>
      </c>
      <c r="AW139" s="77" t="str">
        <f ca="1">IFERROR(IF(AX139="",WORKDAY.INTL(AR139,AU139,1,Holidays[Date]),AX139),"")</f>
        <v/>
      </c>
      <c r="AX139" s="78"/>
      <c r="AY139" s="80"/>
      <c r="AZ139" s="68"/>
      <c r="BA139" s="77" t="str">
        <f>IF(BF139="","",WORKDAY.INTL(BF139,BD139*-1,1,Holidays[Date]))</f>
        <v/>
      </c>
      <c r="BB139" s="77" t="str">
        <f ca="1">IFERROR(IF(BC139="",WORKDAY.INTL(AW139,AZ139,1,Holidays[Date]),BC139),"")</f>
        <v/>
      </c>
      <c r="BC139" s="78"/>
      <c r="BD139" s="80"/>
      <c r="BE139" s="68"/>
      <c r="BF139" s="77" t="str">
        <f>IF(BK139="","",WORKDAY.INTL(BK139,BI139*-1,1,Holidays[Date]))</f>
        <v/>
      </c>
      <c r="BG139" s="77" t="str">
        <f ca="1">IFERROR(IF(BH139="",WORKDAY.INTL(BB139,BE139,1,Holidays[Date]),BH139),"")</f>
        <v/>
      </c>
      <c r="BH139" s="78"/>
      <c r="BI139" s="80"/>
      <c r="BJ139" s="68"/>
      <c r="BK139" s="77" t="str">
        <f>IF(BP139="","",WORKDAY.INTL(BP139,BN139*-1,1,Holidays[Date]))</f>
        <v/>
      </c>
      <c r="BL139" s="77" t="str">
        <f ca="1">IFERROR(IF(BM139="",WORKDAY.INTL(BG139,BJ139,1,Holidays[Date]),BM139),"")</f>
        <v/>
      </c>
      <c r="BM139" s="78"/>
      <c r="BN139" s="80"/>
      <c r="BO139" s="68"/>
      <c r="BP139" s="77" t="str">
        <f>IF(BU139="","",WORKDAY.INTL(BU139,BS139*-1,1,Holidays[Date]))</f>
        <v/>
      </c>
      <c r="BQ139" s="77" t="str">
        <f ca="1">IFERROR(IF(BR139="",WORKDAY.INTL(BL139,BO139,1,Holidays[Date]),BR139),"")</f>
        <v/>
      </c>
      <c r="BR139" s="78"/>
      <c r="BS139" s="80"/>
      <c r="BT139" s="68"/>
      <c r="BU139" s="77" t="str">
        <f>IF(BZ139="","",WORKDAY.INTL(BZ139,BX139*-1,1,Holidays[Date]))</f>
        <v/>
      </c>
      <c r="BV139" s="77" t="str">
        <f ca="1">IFERROR(IF(BW139="",WORKDAY.INTL(BQ139,BT139,1,Holidays[Date]),BW139),"")</f>
        <v/>
      </c>
      <c r="BW139" s="78"/>
      <c r="BX139" s="80"/>
      <c r="BY139" s="68"/>
      <c r="BZ139" s="81"/>
      <c r="CA139" s="77" t="str">
        <f ca="1">IFERROR(IF(CB139="",WORKDAY.INTL(BV139,BY139,1,Holidays[Date]),CB139),"")</f>
        <v/>
      </c>
      <c r="CB139" s="78"/>
    </row>
    <row r="140" spans="1:80" ht="19" customHeight="1" x14ac:dyDescent="0.35">
      <c r="A140" s="31"/>
      <c r="B140" s="82"/>
      <c r="C140" s="1"/>
      <c r="D140" s="8"/>
      <c r="E140" s="8"/>
      <c r="F140" s="8"/>
      <c r="G140" s="8"/>
      <c r="H140" s="8"/>
      <c r="I140" s="9"/>
      <c r="J140" s="8"/>
      <c r="K140" s="8"/>
      <c r="L140" s="8"/>
      <c r="M140" s="8"/>
      <c r="N140" s="8"/>
      <c r="O140" s="8"/>
      <c r="P140" s="8"/>
      <c r="Q140" s="2"/>
      <c r="R140" s="2"/>
      <c r="S140" s="88" t="str">
        <f>IF(tblProcRegister[[#This Row],[Award]]&lt;&gt;"",tblProcRegister[[#This Row],[Budget]]-tblProcRegister[[#This Row],[Award]],"")</f>
        <v/>
      </c>
      <c r="T140" s="68"/>
      <c r="U140" s="68"/>
      <c r="V140" s="68"/>
      <c r="W140" s="77" t="str">
        <f>IF(AB140="","",WORKDAY.INTL(AB140,Z140*-1,1,Holidays[Date]))</f>
        <v/>
      </c>
      <c r="X140" s="77" t="str">
        <f t="shared" ref="X140:X203" ca="1" si="2">IF(Y140="",IF(W140&gt;$C$8,W140,$C$8),Y140)</f>
        <v/>
      </c>
      <c r="Y140" s="78"/>
      <c r="Z140" s="79"/>
      <c r="AA140" s="68"/>
      <c r="AB140" s="77" t="str">
        <f>IF(AG140="","",WORKDAY.INTL(AG140,AE140*-1,1,Holidays[Date]))</f>
        <v/>
      </c>
      <c r="AC140" s="77" t="str">
        <f ca="1">IFERROR(IF(AD140="",WORKDAY.INTL(X140,AA140,1,Holidays[Date]),AD140),"")</f>
        <v/>
      </c>
      <c r="AD140" s="78"/>
      <c r="AE140" s="80"/>
      <c r="AF140" s="68"/>
      <c r="AG140" s="77" t="str">
        <f>IF(AL140="","",WORKDAY.INTL(AL140,AJ140*-1,1,Holidays[Date]))</f>
        <v/>
      </c>
      <c r="AH140" s="77" t="str">
        <f ca="1">IFERROR(IF(AI140="",WORKDAY.INTL(AC140,AF140,1,Holidays[Date]),AI140),"")</f>
        <v/>
      </c>
      <c r="AI140" s="78"/>
      <c r="AJ140" s="80"/>
      <c r="AK140" s="68"/>
      <c r="AL140" s="77" t="str">
        <f>IF(AQ140="","",WORKDAY.INTL(AQ140,AO140*-1,1,Holidays[Date]))</f>
        <v/>
      </c>
      <c r="AM140" s="77" t="str">
        <f ca="1">IFERROR(IF(AN140="",WORKDAY.INTL(AH140,AK140,1,Holidays[Date]),AN140),"")</f>
        <v/>
      </c>
      <c r="AN140" s="78"/>
      <c r="AO140" s="80"/>
      <c r="AP140" s="68"/>
      <c r="AQ140" s="77" t="str">
        <f>IF(AV140="","",WORKDAY.INTL(AV140,AT140*-1,1,Holidays[Date]))</f>
        <v/>
      </c>
      <c r="AR140" s="77" t="str">
        <f ca="1">IFERROR(IF(AS140="",WORKDAY.INTL(AM140,AP140,1,Holidays[Date]),AS140),"")</f>
        <v/>
      </c>
      <c r="AS140" s="78"/>
      <c r="AT140" s="80"/>
      <c r="AU140" s="68"/>
      <c r="AV140" s="77" t="str">
        <f>IF(BA140="","",WORKDAY.INTL(BA140,AY140*-1,1,Holidays[Date]))</f>
        <v/>
      </c>
      <c r="AW140" s="77" t="str">
        <f ca="1">IFERROR(IF(AX140="",WORKDAY.INTL(AR140,AU140,1,Holidays[Date]),AX140),"")</f>
        <v/>
      </c>
      <c r="AX140" s="78"/>
      <c r="AY140" s="80"/>
      <c r="AZ140" s="68"/>
      <c r="BA140" s="77" t="str">
        <f>IF(BF140="","",WORKDAY.INTL(BF140,BD140*-1,1,Holidays[Date]))</f>
        <v/>
      </c>
      <c r="BB140" s="77" t="str">
        <f ca="1">IFERROR(IF(BC140="",WORKDAY.INTL(AW140,AZ140,1,Holidays[Date]),BC140),"")</f>
        <v/>
      </c>
      <c r="BC140" s="78"/>
      <c r="BD140" s="80"/>
      <c r="BE140" s="68"/>
      <c r="BF140" s="77" t="str">
        <f>IF(BK140="","",WORKDAY.INTL(BK140,BI140*-1,1,Holidays[Date]))</f>
        <v/>
      </c>
      <c r="BG140" s="77" t="str">
        <f ca="1">IFERROR(IF(BH140="",WORKDAY.INTL(BB140,BE140,1,Holidays[Date]),BH140),"")</f>
        <v/>
      </c>
      <c r="BH140" s="78"/>
      <c r="BI140" s="80"/>
      <c r="BJ140" s="68"/>
      <c r="BK140" s="77" t="str">
        <f>IF(BP140="","",WORKDAY.INTL(BP140,BN140*-1,1,Holidays[Date]))</f>
        <v/>
      </c>
      <c r="BL140" s="77" t="str">
        <f ca="1">IFERROR(IF(BM140="",WORKDAY.INTL(BG140,BJ140,1,Holidays[Date]),BM140),"")</f>
        <v/>
      </c>
      <c r="BM140" s="78"/>
      <c r="BN140" s="80"/>
      <c r="BO140" s="68"/>
      <c r="BP140" s="77" t="str">
        <f>IF(BU140="","",WORKDAY.INTL(BU140,BS140*-1,1,Holidays[Date]))</f>
        <v/>
      </c>
      <c r="BQ140" s="77" t="str">
        <f ca="1">IFERROR(IF(BR140="",WORKDAY.INTL(BL140,BO140,1,Holidays[Date]),BR140),"")</f>
        <v/>
      </c>
      <c r="BR140" s="78"/>
      <c r="BS140" s="80"/>
      <c r="BT140" s="68"/>
      <c r="BU140" s="77" t="str">
        <f>IF(BZ140="","",WORKDAY.INTL(BZ140,BX140*-1,1,Holidays[Date]))</f>
        <v/>
      </c>
      <c r="BV140" s="77" t="str">
        <f ca="1">IFERROR(IF(BW140="",WORKDAY.INTL(BQ140,BT140,1,Holidays[Date]),BW140),"")</f>
        <v/>
      </c>
      <c r="BW140" s="78"/>
      <c r="BX140" s="80"/>
      <c r="BY140" s="68"/>
      <c r="BZ140" s="81"/>
      <c r="CA140" s="77" t="str">
        <f ca="1">IFERROR(IF(CB140="",WORKDAY.INTL(BV140,BY140,1,Holidays[Date]),CB140),"")</f>
        <v/>
      </c>
      <c r="CB140" s="78"/>
    </row>
    <row r="141" spans="1:80" ht="19" customHeight="1" x14ac:dyDescent="0.35">
      <c r="A141" s="31"/>
      <c r="B141" s="82"/>
      <c r="C141" s="1"/>
      <c r="D141" s="8"/>
      <c r="E141" s="8"/>
      <c r="F141" s="8"/>
      <c r="G141" s="8"/>
      <c r="H141" s="8"/>
      <c r="I141" s="9"/>
      <c r="J141" s="8"/>
      <c r="K141" s="8"/>
      <c r="L141" s="8"/>
      <c r="M141" s="8"/>
      <c r="N141" s="8"/>
      <c r="O141" s="8"/>
      <c r="P141" s="8"/>
      <c r="Q141" s="2"/>
      <c r="R141" s="2"/>
      <c r="S141" s="88" t="str">
        <f>IF(tblProcRegister[[#This Row],[Award]]&lt;&gt;"",tblProcRegister[[#This Row],[Budget]]-tblProcRegister[[#This Row],[Award]],"")</f>
        <v/>
      </c>
      <c r="T141" s="68"/>
      <c r="U141" s="68"/>
      <c r="V141" s="68"/>
      <c r="W141" s="77" t="str">
        <f>IF(AB141="","",WORKDAY.INTL(AB141,Z141*-1,1,Holidays[Date]))</f>
        <v/>
      </c>
      <c r="X141" s="77" t="str">
        <f t="shared" ca="1" si="2"/>
        <v/>
      </c>
      <c r="Y141" s="78"/>
      <c r="Z141" s="79"/>
      <c r="AA141" s="68"/>
      <c r="AB141" s="77" t="str">
        <f>IF(AG141="","",WORKDAY.INTL(AG141,AE141*-1,1,Holidays[Date]))</f>
        <v/>
      </c>
      <c r="AC141" s="77" t="str">
        <f ca="1">IFERROR(IF(AD141="",WORKDAY.INTL(X141,AA141,1,Holidays[Date]),AD141),"")</f>
        <v/>
      </c>
      <c r="AD141" s="78"/>
      <c r="AE141" s="80"/>
      <c r="AF141" s="68"/>
      <c r="AG141" s="77" t="str">
        <f>IF(AL141="","",WORKDAY.INTL(AL141,AJ141*-1,1,Holidays[Date]))</f>
        <v/>
      </c>
      <c r="AH141" s="77" t="str">
        <f ca="1">IFERROR(IF(AI141="",WORKDAY.INTL(AC141,AF141,1,Holidays[Date]),AI141),"")</f>
        <v/>
      </c>
      <c r="AI141" s="78"/>
      <c r="AJ141" s="80"/>
      <c r="AK141" s="68"/>
      <c r="AL141" s="77" t="str">
        <f>IF(AQ141="","",WORKDAY.INTL(AQ141,AO141*-1,1,Holidays[Date]))</f>
        <v/>
      </c>
      <c r="AM141" s="77" t="str">
        <f ca="1">IFERROR(IF(AN141="",WORKDAY.INTL(AH141,AK141,1,Holidays[Date]),AN141),"")</f>
        <v/>
      </c>
      <c r="AN141" s="78"/>
      <c r="AO141" s="80"/>
      <c r="AP141" s="68"/>
      <c r="AQ141" s="77" t="str">
        <f>IF(AV141="","",WORKDAY.INTL(AV141,AT141*-1,1,Holidays[Date]))</f>
        <v/>
      </c>
      <c r="AR141" s="77" t="str">
        <f ca="1">IFERROR(IF(AS141="",WORKDAY.INTL(AM141,AP141,1,Holidays[Date]),AS141),"")</f>
        <v/>
      </c>
      <c r="AS141" s="78"/>
      <c r="AT141" s="80"/>
      <c r="AU141" s="68"/>
      <c r="AV141" s="77" t="str">
        <f>IF(BA141="","",WORKDAY.INTL(BA141,AY141*-1,1,Holidays[Date]))</f>
        <v/>
      </c>
      <c r="AW141" s="77" t="str">
        <f ca="1">IFERROR(IF(AX141="",WORKDAY.INTL(AR141,AU141,1,Holidays[Date]),AX141),"")</f>
        <v/>
      </c>
      <c r="AX141" s="78"/>
      <c r="AY141" s="80"/>
      <c r="AZ141" s="68"/>
      <c r="BA141" s="77" t="str">
        <f>IF(BF141="","",WORKDAY.INTL(BF141,BD141*-1,1,Holidays[Date]))</f>
        <v/>
      </c>
      <c r="BB141" s="77" t="str">
        <f ca="1">IFERROR(IF(BC141="",WORKDAY.INTL(AW141,AZ141,1,Holidays[Date]),BC141),"")</f>
        <v/>
      </c>
      <c r="BC141" s="78"/>
      <c r="BD141" s="80"/>
      <c r="BE141" s="68"/>
      <c r="BF141" s="77" t="str">
        <f>IF(BK141="","",WORKDAY.INTL(BK141,BI141*-1,1,Holidays[Date]))</f>
        <v/>
      </c>
      <c r="BG141" s="77" t="str">
        <f ca="1">IFERROR(IF(BH141="",WORKDAY.INTL(BB141,BE141,1,Holidays[Date]),BH141),"")</f>
        <v/>
      </c>
      <c r="BH141" s="78"/>
      <c r="BI141" s="80"/>
      <c r="BJ141" s="68"/>
      <c r="BK141" s="77" t="str">
        <f>IF(BP141="","",WORKDAY.INTL(BP141,BN141*-1,1,Holidays[Date]))</f>
        <v/>
      </c>
      <c r="BL141" s="77" t="str">
        <f ca="1">IFERROR(IF(BM141="",WORKDAY.INTL(BG141,BJ141,1,Holidays[Date]),BM141),"")</f>
        <v/>
      </c>
      <c r="BM141" s="78"/>
      <c r="BN141" s="80"/>
      <c r="BO141" s="68"/>
      <c r="BP141" s="77" t="str">
        <f>IF(BU141="","",WORKDAY.INTL(BU141,BS141*-1,1,Holidays[Date]))</f>
        <v/>
      </c>
      <c r="BQ141" s="77" t="str">
        <f ca="1">IFERROR(IF(BR141="",WORKDAY.INTL(BL141,BO141,1,Holidays[Date]),BR141),"")</f>
        <v/>
      </c>
      <c r="BR141" s="78"/>
      <c r="BS141" s="80"/>
      <c r="BT141" s="68"/>
      <c r="BU141" s="77" t="str">
        <f>IF(BZ141="","",WORKDAY.INTL(BZ141,BX141*-1,1,Holidays[Date]))</f>
        <v/>
      </c>
      <c r="BV141" s="77" t="str">
        <f ca="1">IFERROR(IF(BW141="",WORKDAY.INTL(BQ141,BT141,1,Holidays[Date]),BW141),"")</f>
        <v/>
      </c>
      <c r="BW141" s="78"/>
      <c r="BX141" s="80"/>
      <c r="BY141" s="68"/>
      <c r="BZ141" s="81"/>
      <c r="CA141" s="77" t="str">
        <f ca="1">IFERROR(IF(CB141="",WORKDAY.INTL(BV141,BY141,1,Holidays[Date]),CB141),"")</f>
        <v/>
      </c>
      <c r="CB141" s="78"/>
    </row>
    <row r="142" spans="1:80" ht="19" customHeight="1" x14ac:dyDescent="0.35">
      <c r="A142" s="31"/>
      <c r="B142" s="82"/>
      <c r="C142" s="1"/>
      <c r="D142" s="8"/>
      <c r="E142" s="8"/>
      <c r="F142" s="8"/>
      <c r="G142" s="8"/>
      <c r="H142" s="8"/>
      <c r="I142" s="9"/>
      <c r="J142" s="8"/>
      <c r="K142" s="8"/>
      <c r="L142" s="8"/>
      <c r="M142" s="8"/>
      <c r="N142" s="8"/>
      <c r="O142" s="8"/>
      <c r="P142" s="8"/>
      <c r="Q142" s="2"/>
      <c r="R142" s="2"/>
      <c r="S142" s="88" t="str">
        <f>IF(tblProcRegister[[#This Row],[Award]]&lt;&gt;"",tblProcRegister[[#This Row],[Budget]]-tblProcRegister[[#This Row],[Award]],"")</f>
        <v/>
      </c>
      <c r="T142" s="68"/>
      <c r="U142" s="68"/>
      <c r="V142" s="68"/>
      <c r="W142" s="77" t="str">
        <f>IF(AB142="","",WORKDAY.INTL(AB142,Z142*-1,1,Holidays[Date]))</f>
        <v/>
      </c>
      <c r="X142" s="77" t="str">
        <f t="shared" ca="1" si="2"/>
        <v/>
      </c>
      <c r="Y142" s="78"/>
      <c r="Z142" s="79"/>
      <c r="AA142" s="68"/>
      <c r="AB142" s="77" t="str">
        <f>IF(AG142="","",WORKDAY.INTL(AG142,AE142*-1,1,Holidays[Date]))</f>
        <v/>
      </c>
      <c r="AC142" s="77" t="str">
        <f ca="1">IFERROR(IF(AD142="",WORKDAY.INTL(X142,AA142,1,Holidays[Date]),AD142),"")</f>
        <v/>
      </c>
      <c r="AD142" s="78"/>
      <c r="AE142" s="80"/>
      <c r="AF142" s="68"/>
      <c r="AG142" s="77" t="str">
        <f>IF(AL142="","",WORKDAY.INTL(AL142,AJ142*-1,1,Holidays[Date]))</f>
        <v/>
      </c>
      <c r="AH142" s="77" t="str">
        <f ca="1">IFERROR(IF(AI142="",WORKDAY.INTL(AC142,AF142,1,Holidays[Date]),AI142),"")</f>
        <v/>
      </c>
      <c r="AI142" s="78"/>
      <c r="AJ142" s="80"/>
      <c r="AK142" s="68"/>
      <c r="AL142" s="77" t="str">
        <f>IF(AQ142="","",WORKDAY.INTL(AQ142,AO142*-1,1,Holidays[Date]))</f>
        <v/>
      </c>
      <c r="AM142" s="77" t="str">
        <f ca="1">IFERROR(IF(AN142="",WORKDAY.INTL(AH142,AK142,1,Holidays[Date]),AN142),"")</f>
        <v/>
      </c>
      <c r="AN142" s="78"/>
      <c r="AO142" s="80"/>
      <c r="AP142" s="68"/>
      <c r="AQ142" s="77" t="str">
        <f>IF(AV142="","",WORKDAY.INTL(AV142,AT142*-1,1,Holidays[Date]))</f>
        <v/>
      </c>
      <c r="AR142" s="77" t="str">
        <f ca="1">IFERROR(IF(AS142="",WORKDAY.INTL(AM142,AP142,1,Holidays[Date]),AS142),"")</f>
        <v/>
      </c>
      <c r="AS142" s="78"/>
      <c r="AT142" s="80"/>
      <c r="AU142" s="68"/>
      <c r="AV142" s="77" t="str">
        <f>IF(BA142="","",WORKDAY.INTL(BA142,AY142*-1,1,Holidays[Date]))</f>
        <v/>
      </c>
      <c r="AW142" s="77" t="str">
        <f ca="1">IFERROR(IF(AX142="",WORKDAY.INTL(AR142,AU142,1,Holidays[Date]),AX142),"")</f>
        <v/>
      </c>
      <c r="AX142" s="78"/>
      <c r="AY142" s="80"/>
      <c r="AZ142" s="68"/>
      <c r="BA142" s="77" t="str">
        <f>IF(BF142="","",WORKDAY.INTL(BF142,BD142*-1,1,Holidays[Date]))</f>
        <v/>
      </c>
      <c r="BB142" s="77" t="str">
        <f ca="1">IFERROR(IF(BC142="",WORKDAY.INTL(AW142,AZ142,1,Holidays[Date]),BC142),"")</f>
        <v/>
      </c>
      <c r="BC142" s="78"/>
      <c r="BD142" s="80"/>
      <c r="BE142" s="68"/>
      <c r="BF142" s="77" t="str">
        <f>IF(BK142="","",WORKDAY.INTL(BK142,BI142*-1,1,Holidays[Date]))</f>
        <v/>
      </c>
      <c r="BG142" s="77" t="str">
        <f ca="1">IFERROR(IF(BH142="",WORKDAY.INTL(BB142,BE142,1,Holidays[Date]),BH142),"")</f>
        <v/>
      </c>
      <c r="BH142" s="78"/>
      <c r="BI142" s="80"/>
      <c r="BJ142" s="68"/>
      <c r="BK142" s="77" t="str">
        <f>IF(BP142="","",WORKDAY.INTL(BP142,BN142*-1,1,Holidays[Date]))</f>
        <v/>
      </c>
      <c r="BL142" s="77" t="str">
        <f ca="1">IFERROR(IF(BM142="",WORKDAY.INTL(BG142,BJ142,1,Holidays[Date]),BM142),"")</f>
        <v/>
      </c>
      <c r="BM142" s="78"/>
      <c r="BN142" s="80"/>
      <c r="BO142" s="68"/>
      <c r="BP142" s="77" t="str">
        <f>IF(BU142="","",WORKDAY.INTL(BU142,BS142*-1,1,Holidays[Date]))</f>
        <v/>
      </c>
      <c r="BQ142" s="77" t="str">
        <f ca="1">IFERROR(IF(BR142="",WORKDAY.INTL(BL142,BO142,1,Holidays[Date]),BR142),"")</f>
        <v/>
      </c>
      <c r="BR142" s="78"/>
      <c r="BS142" s="80"/>
      <c r="BT142" s="68"/>
      <c r="BU142" s="77" t="str">
        <f>IF(BZ142="","",WORKDAY.INTL(BZ142,BX142*-1,1,Holidays[Date]))</f>
        <v/>
      </c>
      <c r="BV142" s="77" t="str">
        <f ca="1">IFERROR(IF(BW142="",WORKDAY.INTL(BQ142,BT142,1,Holidays[Date]),BW142),"")</f>
        <v/>
      </c>
      <c r="BW142" s="78"/>
      <c r="BX142" s="80"/>
      <c r="BY142" s="68"/>
      <c r="BZ142" s="81"/>
      <c r="CA142" s="77" t="str">
        <f ca="1">IFERROR(IF(CB142="",WORKDAY.INTL(BV142,BY142,1,Holidays[Date]),CB142),"")</f>
        <v/>
      </c>
      <c r="CB142" s="78"/>
    </row>
    <row r="143" spans="1:80" ht="19" customHeight="1" x14ac:dyDescent="0.35">
      <c r="A143" s="31"/>
      <c r="B143" s="82"/>
      <c r="C143" s="1"/>
      <c r="D143" s="8"/>
      <c r="E143" s="8"/>
      <c r="F143" s="8"/>
      <c r="G143" s="8"/>
      <c r="H143" s="8"/>
      <c r="I143" s="9"/>
      <c r="J143" s="8"/>
      <c r="K143" s="8"/>
      <c r="L143" s="8"/>
      <c r="M143" s="8"/>
      <c r="N143" s="8"/>
      <c r="O143" s="8"/>
      <c r="P143" s="8"/>
      <c r="Q143" s="2"/>
      <c r="R143" s="2"/>
      <c r="S143" s="88" t="str">
        <f>IF(tblProcRegister[[#This Row],[Award]]&lt;&gt;"",tblProcRegister[[#This Row],[Budget]]-tblProcRegister[[#This Row],[Award]],"")</f>
        <v/>
      </c>
      <c r="T143" s="68"/>
      <c r="U143" s="68"/>
      <c r="V143" s="68"/>
      <c r="W143" s="77" t="str">
        <f>IF(AB143="","",WORKDAY.INTL(AB143,Z143*-1,1,Holidays[Date]))</f>
        <v/>
      </c>
      <c r="X143" s="77" t="str">
        <f t="shared" ca="1" si="2"/>
        <v/>
      </c>
      <c r="Y143" s="78"/>
      <c r="Z143" s="79"/>
      <c r="AA143" s="68"/>
      <c r="AB143" s="77" t="str">
        <f>IF(AG143="","",WORKDAY.INTL(AG143,AE143*-1,1,Holidays[Date]))</f>
        <v/>
      </c>
      <c r="AC143" s="77" t="str">
        <f ca="1">IFERROR(IF(AD143="",WORKDAY.INTL(X143,AA143,1,Holidays[Date]),AD143),"")</f>
        <v/>
      </c>
      <c r="AD143" s="78"/>
      <c r="AE143" s="80"/>
      <c r="AF143" s="68"/>
      <c r="AG143" s="77" t="str">
        <f>IF(AL143="","",WORKDAY.INTL(AL143,AJ143*-1,1,Holidays[Date]))</f>
        <v/>
      </c>
      <c r="AH143" s="77" t="str">
        <f ca="1">IFERROR(IF(AI143="",WORKDAY.INTL(AC143,AF143,1,Holidays[Date]),AI143),"")</f>
        <v/>
      </c>
      <c r="AI143" s="78"/>
      <c r="AJ143" s="80"/>
      <c r="AK143" s="68"/>
      <c r="AL143" s="77" t="str">
        <f>IF(AQ143="","",WORKDAY.INTL(AQ143,AO143*-1,1,Holidays[Date]))</f>
        <v/>
      </c>
      <c r="AM143" s="77" t="str">
        <f ca="1">IFERROR(IF(AN143="",WORKDAY.INTL(AH143,AK143,1,Holidays[Date]),AN143),"")</f>
        <v/>
      </c>
      <c r="AN143" s="78"/>
      <c r="AO143" s="80"/>
      <c r="AP143" s="68"/>
      <c r="AQ143" s="77" t="str">
        <f>IF(AV143="","",WORKDAY.INTL(AV143,AT143*-1,1,Holidays[Date]))</f>
        <v/>
      </c>
      <c r="AR143" s="77" t="str">
        <f ca="1">IFERROR(IF(AS143="",WORKDAY.INTL(AM143,AP143,1,Holidays[Date]),AS143),"")</f>
        <v/>
      </c>
      <c r="AS143" s="78"/>
      <c r="AT143" s="80"/>
      <c r="AU143" s="68"/>
      <c r="AV143" s="77" t="str">
        <f>IF(BA143="","",WORKDAY.INTL(BA143,AY143*-1,1,Holidays[Date]))</f>
        <v/>
      </c>
      <c r="AW143" s="77" t="str">
        <f ca="1">IFERROR(IF(AX143="",WORKDAY.INTL(AR143,AU143,1,Holidays[Date]),AX143),"")</f>
        <v/>
      </c>
      <c r="AX143" s="78"/>
      <c r="AY143" s="80"/>
      <c r="AZ143" s="68"/>
      <c r="BA143" s="77" t="str">
        <f>IF(BF143="","",WORKDAY.INTL(BF143,BD143*-1,1,Holidays[Date]))</f>
        <v/>
      </c>
      <c r="BB143" s="77" t="str">
        <f ca="1">IFERROR(IF(BC143="",WORKDAY.INTL(AW143,AZ143,1,Holidays[Date]),BC143),"")</f>
        <v/>
      </c>
      <c r="BC143" s="78"/>
      <c r="BD143" s="80"/>
      <c r="BE143" s="68"/>
      <c r="BF143" s="77" t="str">
        <f>IF(BK143="","",WORKDAY.INTL(BK143,BI143*-1,1,Holidays[Date]))</f>
        <v/>
      </c>
      <c r="BG143" s="77" t="str">
        <f ca="1">IFERROR(IF(BH143="",WORKDAY.INTL(BB143,BE143,1,Holidays[Date]),BH143),"")</f>
        <v/>
      </c>
      <c r="BH143" s="78"/>
      <c r="BI143" s="80"/>
      <c r="BJ143" s="68"/>
      <c r="BK143" s="77" t="str">
        <f>IF(BP143="","",WORKDAY.INTL(BP143,BN143*-1,1,Holidays[Date]))</f>
        <v/>
      </c>
      <c r="BL143" s="77" t="str">
        <f ca="1">IFERROR(IF(BM143="",WORKDAY.INTL(BG143,BJ143,1,Holidays[Date]),BM143),"")</f>
        <v/>
      </c>
      <c r="BM143" s="78"/>
      <c r="BN143" s="80"/>
      <c r="BO143" s="68"/>
      <c r="BP143" s="77" t="str">
        <f>IF(BU143="","",WORKDAY.INTL(BU143,BS143*-1,1,Holidays[Date]))</f>
        <v/>
      </c>
      <c r="BQ143" s="77" t="str">
        <f ca="1">IFERROR(IF(BR143="",WORKDAY.INTL(BL143,BO143,1,Holidays[Date]),BR143),"")</f>
        <v/>
      </c>
      <c r="BR143" s="78"/>
      <c r="BS143" s="80"/>
      <c r="BT143" s="68"/>
      <c r="BU143" s="77" t="str">
        <f>IF(BZ143="","",WORKDAY.INTL(BZ143,BX143*-1,1,Holidays[Date]))</f>
        <v/>
      </c>
      <c r="BV143" s="77" t="str">
        <f ca="1">IFERROR(IF(BW143="",WORKDAY.INTL(BQ143,BT143,1,Holidays[Date]),BW143),"")</f>
        <v/>
      </c>
      <c r="BW143" s="78"/>
      <c r="BX143" s="80"/>
      <c r="BY143" s="68"/>
      <c r="BZ143" s="81"/>
      <c r="CA143" s="77" t="str">
        <f ca="1">IFERROR(IF(CB143="",WORKDAY.INTL(BV143,BY143,1,Holidays[Date]),CB143),"")</f>
        <v/>
      </c>
      <c r="CB143" s="78"/>
    </row>
    <row r="144" spans="1:80" ht="19" customHeight="1" x14ac:dyDescent="0.35">
      <c r="A144" s="31"/>
      <c r="B144" s="82"/>
      <c r="C144" s="1"/>
      <c r="D144" s="8"/>
      <c r="E144" s="8"/>
      <c r="F144" s="8"/>
      <c r="G144" s="8"/>
      <c r="H144" s="8"/>
      <c r="I144" s="9"/>
      <c r="J144" s="8"/>
      <c r="K144" s="8"/>
      <c r="L144" s="8"/>
      <c r="M144" s="8"/>
      <c r="N144" s="8"/>
      <c r="O144" s="8"/>
      <c r="P144" s="8"/>
      <c r="Q144" s="2"/>
      <c r="R144" s="2"/>
      <c r="S144" s="88" t="str">
        <f>IF(tblProcRegister[[#This Row],[Award]]&lt;&gt;"",tblProcRegister[[#This Row],[Budget]]-tblProcRegister[[#This Row],[Award]],"")</f>
        <v/>
      </c>
      <c r="T144" s="68"/>
      <c r="U144" s="68"/>
      <c r="V144" s="68"/>
      <c r="W144" s="77" t="str">
        <f>IF(AB144="","",WORKDAY.INTL(AB144,Z144*-1,1,Holidays[Date]))</f>
        <v/>
      </c>
      <c r="X144" s="77" t="str">
        <f t="shared" ca="1" si="2"/>
        <v/>
      </c>
      <c r="Y144" s="78"/>
      <c r="Z144" s="79"/>
      <c r="AA144" s="68"/>
      <c r="AB144" s="77" t="str">
        <f>IF(AG144="","",WORKDAY.INTL(AG144,AE144*-1,1,Holidays[Date]))</f>
        <v/>
      </c>
      <c r="AC144" s="77" t="str">
        <f ca="1">IFERROR(IF(AD144="",WORKDAY.INTL(X144,AA144,1,Holidays[Date]),AD144),"")</f>
        <v/>
      </c>
      <c r="AD144" s="78"/>
      <c r="AE144" s="80"/>
      <c r="AF144" s="68"/>
      <c r="AG144" s="77" t="str">
        <f>IF(AL144="","",WORKDAY.INTL(AL144,AJ144*-1,1,Holidays[Date]))</f>
        <v/>
      </c>
      <c r="AH144" s="77" t="str">
        <f ca="1">IFERROR(IF(AI144="",WORKDAY.INTL(AC144,AF144,1,Holidays[Date]),AI144),"")</f>
        <v/>
      </c>
      <c r="AI144" s="78"/>
      <c r="AJ144" s="80"/>
      <c r="AK144" s="68"/>
      <c r="AL144" s="77" t="str">
        <f>IF(AQ144="","",WORKDAY.INTL(AQ144,AO144*-1,1,Holidays[Date]))</f>
        <v/>
      </c>
      <c r="AM144" s="77" t="str">
        <f ca="1">IFERROR(IF(AN144="",WORKDAY.INTL(AH144,AK144,1,Holidays[Date]),AN144),"")</f>
        <v/>
      </c>
      <c r="AN144" s="78"/>
      <c r="AO144" s="80"/>
      <c r="AP144" s="68"/>
      <c r="AQ144" s="77" t="str">
        <f>IF(AV144="","",WORKDAY.INTL(AV144,AT144*-1,1,Holidays[Date]))</f>
        <v/>
      </c>
      <c r="AR144" s="77" t="str">
        <f ca="1">IFERROR(IF(AS144="",WORKDAY.INTL(AM144,AP144,1,Holidays[Date]),AS144),"")</f>
        <v/>
      </c>
      <c r="AS144" s="78"/>
      <c r="AT144" s="80"/>
      <c r="AU144" s="68"/>
      <c r="AV144" s="77" t="str">
        <f>IF(BA144="","",WORKDAY.INTL(BA144,AY144*-1,1,Holidays[Date]))</f>
        <v/>
      </c>
      <c r="AW144" s="77" t="str">
        <f ca="1">IFERROR(IF(AX144="",WORKDAY.INTL(AR144,AU144,1,Holidays[Date]),AX144),"")</f>
        <v/>
      </c>
      <c r="AX144" s="78"/>
      <c r="AY144" s="80"/>
      <c r="AZ144" s="68"/>
      <c r="BA144" s="77" t="str">
        <f>IF(BF144="","",WORKDAY.INTL(BF144,BD144*-1,1,Holidays[Date]))</f>
        <v/>
      </c>
      <c r="BB144" s="77" t="str">
        <f ca="1">IFERROR(IF(BC144="",WORKDAY.INTL(AW144,AZ144,1,Holidays[Date]),BC144),"")</f>
        <v/>
      </c>
      <c r="BC144" s="78"/>
      <c r="BD144" s="80"/>
      <c r="BE144" s="68"/>
      <c r="BF144" s="77" t="str">
        <f>IF(BK144="","",WORKDAY.INTL(BK144,BI144*-1,1,Holidays[Date]))</f>
        <v/>
      </c>
      <c r="BG144" s="77" t="str">
        <f ca="1">IFERROR(IF(BH144="",WORKDAY.INTL(BB144,BE144,1,Holidays[Date]),BH144),"")</f>
        <v/>
      </c>
      <c r="BH144" s="78"/>
      <c r="BI144" s="80"/>
      <c r="BJ144" s="68"/>
      <c r="BK144" s="77" t="str">
        <f>IF(BP144="","",WORKDAY.INTL(BP144,BN144*-1,1,Holidays[Date]))</f>
        <v/>
      </c>
      <c r="BL144" s="77" t="str">
        <f ca="1">IFERROR(IF(BM144="",WORKDAY.INTL(BG144,BJ144,1,Holidays[Date]),BM144),"")</f>
        <v/>
      </c>
      <c r="BM144" s="78"/>
      <c r="BN144" s="80"/>
      <c r="BO144" s="68"/>
      <c r="BP144" s="77" t="str">
        <f>IF(BU144="","",WORKDAY.INTL(BU144,BS144*-1,1,Holidays[Date]))</f>
        <v/>
      </c>
      <c r="BQ144" s="77" t="str">
        <f ca="1">IFERROR(IF(BR144="",WORKDAY.INTL(BL144,BO144,1,Holidays[Date]),BR144),"")</f>
        <v/>
      </c>
      <c r="BR144" s="78"/>
      <c r="BS144" s="80"/>
      <c r="BT144" s="68"/>
      <c r="BU144" s="77" t="str">
        <f>IF(BZ144="","",WORKDAY.INTL(BZ144,BX144*-1,1,Holidays[Date]))</f>
        <v/>
      </c>
      <c r="BV144" s="77" t="str">
        <f ca="1">IFERROR(IF(BW144="",WORKDAY.INTL(BQ144,BT144,1,Holidays[Date]),BW144),"")</f>
        <v/>
      </c>
      <c r="BW144" s="78"/>
      <c r="BX144" s="80"/>
      <c r="BY144" s="68"/>
      <c r="BZ144" s="81"/>
      <c r="CA144" s="77" t="str">
        <f ca="1">IFERROR(IF(CB144="",WORKDAY.INTL(BV144,BY144,1,Holidays[Date]),CB144),"")</f>
        <v/>
      </c>
      <c r="CB144" s="78"/>
    </row>
    <row r="145" spans="1:80" ht="19" customHeight="1" x14ac:dyDescent="0.35">
      <c r="A145" s="31"/>
      <c r="B145" s="82"/>
      <c r="C145" s="1"/>
      <c r="D145" s="8"/>
      <c r="E145" s="8"/>
      <c r="F145" s="8"/>
      <c r="G145" s="8"/>
      <c r="H145" s="8"/>
      <c r="I145" s="9"/>
      <c r="J145" s="8"/>
      <c r="K145" s="8"/>
      <c r="L145" s="8"/>
      <c r="M145" s="8"/>
      <c r="N145" s="8"/>
      <c r="O145" s="8"/>
      <c r="P145" s="8"/>
      <c r="Q145" s="2"/>
      <c r="R145" s="2"/>
      <c r="S145" s="88" t="str">
        <f>IF(tblProcRegister[[#This Row],[Award]]&lt;&gt;"",tblProcRegister[[#This Row],[Budget]]-tblProcRegister[[#This Row],[Award]],"")</f>
        <v/>
      </c>
      <c r="T145" s="68"/>
      <c r="U145" s="68"/>
      <c r="V145" s="68"/>
      <c r="W145" s="77" t="str">
        <f>IF(AB145="","",WORKDAY.INTL(AB145,Z145*-1,1,Holidays[Date]))</f>
        <v/>
      </c>
      <c r="X145" s="77" t="str">
        <f t="shared" ca="1" si="2"/>
        <v/>
      </c>
      <c r="Y145" s="78"/>
      <c r="Z145" s="79"/>
      <c r="AA145" s="68"/>
      <c r="AB145" s="77" t="str">
        <f>IF(AG145="","",WORKDAY.INTL(AG145,AE145*-1,1,Holidays[Date]))</f>
        <v/>
      </c>
      <c r="AC145" s="77" t="str">
        <f ca="1">IFERROR(IF(AD145="",WORKDAY.INTL(X145,AA145,1,Holidays[Date]),AD145),"")</f>
        <v/>
      </c>
      <c r="AD145" s="78"/>
      <c r="AE145" s="80"/>
      <c r="AF145" s="68"/>
      <c r="AG145" s="77" t="str">
        <f>IF(AL145="","",WORKDAY.INTL(AL145,AJ145*-1,1,Holidays[Date]))</f>
        <v/>
      </c>
      <c r="AH145" s="77" t="str">
        <f ca="1">IFERROR(IF(AI145="",WORKDAY.INTL(AC145,AF145,1,Holidays[Date]),AI145),"")</f>
        <v/>
      </c>
      <c r="AI145" s="78"/>
      <c r="AJ145" s="80"/>
      <c r="AK145" s="68"/>
      <c r="AL145" s="77" t="str">
        <f>IF(AQ145="","",WORKDAY.INTL(AQ145,AO145*-1,1,Holidays[Date]))</f>
        <v/>
      </c>
      <c r="AM145" s="77" t="str">
        <f ca="1">IFERROR(IF(AN145="",WORKDAY.INTL(AH145,AK145,1,Holidays[Date]),AN145),"")</f>
        <v/>
      </c>
      <c r="AN145" s="78"/>
      <c r="AO145" s="80"/>
      <c r="AP145" s="68"/>
      <c r="AQ145" s="77" t="str">
        <f>IF(AV145="","",WORKDAY.INTL(AV145,AT145*-1,1,Holidays[Date]))</f>
        <v/>
      </c>
      <c r="AR145" s="77" t="str">
        <f ca="1">IFERROR(IF(AS145="",WORKDAY.INTL(AM145,AP145,1,Holidays[Date]),AS145),"")</f>
        <v/>
      </c>
      <c r="AS145" s="78"/>
      <c r="AT145" s="80"/>
      <c r="AU145" s="68"/>
      <c r="AV145" s="77" t="str">
        <f>IF(BA145="","",WORKDAY.INTL(BA145,AY145*-1,1,Holidays[Date]))</f>
        <v/>
      </c>
      <c r="AW145" s="77" t="str">
        <f ca="1">IFERROR(IF(AX145="",WORKDAY.INTL(AR145,AU145,1,Holidays[Date]),AX145),"")</f>
        <v/>
      </c>
      <c r="AX145" s="78"/>
      <c r="AY145" s="80"/>
      <c r="AZ145" s="68"/>
      <c r="BA145" s="77" t="str">
        <f>IF(BF145="","",WORKDAY.INTL(BF145,BD145*-1,1,Holidays[Date]))</f>
        <v/>
      </c>
      <c r="BB145" s="77" t="str">
        <f ca="1">IFERROR(IF(BC145="",WORKDAY.INTL(AW145,AZ145,1,Holidays[Date]),BC145),"")</f>
        <v/>
      </c>
      <c r="BC145" s="78"/>
      <c r="BD145" s="80"/>
      <c r="BE145" s="68"/>
      <c r="BF145" s="77" t="str">
        <f>IF(BK145="","",WORKDAY.INTL(BK145,BI145*-1,1,Holidays[Date]))</f>
        <v/>
      </c>
      <c r="BG145" s="77" t="str">
        <f ca="1">IFERROR(IF(BH145="",WORKDAY.INTL(BB145,BE145,1,Holidays[Date]),BH145),"")</f>
        <v/>
      </c>
      <c r="BH145" s="78"/>
      <c r="BI145" s="80"/>
      <c r="BJ145" s="68"/>
      <c r="BK145" s="77" t="str">
        <f>IF(BP145="","",WORKDAY.INTL(BP145,BN145*-1,1,Holidays[Date]))</f>
        <v/>
      </c>
      <c r="BL145" s="77" t="str">
        <f ca="1">IFERROR(IF(BM145="",WORKDAY.INTL(BG145,BJ145,1,Holidays[Date]),BM145),"")</f>
        <v/>
      </c>
      <c r="BM145" s="78"/>
      <c r="BN145" s="80"/>
      <c r="BO145" s="68"/>
      <c r="BP145" s="77" t="str">
        <f>IF(BU145="","",WORKDAY.INTL(BU145,BS145*-1,1,Holidays[Date]))</f>
        <v/>
      </c>
      <c r="BQ145" s="77" t="str">
        <f ca="1">IFERROR(IF(BR145="",WORKDAY.INTL(BL145,BO145,1,Holidays[Date]),BR145),"")</f>
        <v/>
      </c>
      <c r="BR145" s="78"/>
      <c r="BS145" s="80"/>
      <c r="BT145" s="68"/>
      <c r="BU145" s="77" t="str">
        <f>IF(BZ145="","",WORKDAY.INTL(BZ145,BX145*-1,1,Holidays[Date]))</f>
        <v/>
      </c>
      <c r="BV145" s="77" t="str">
        <f ca="1">IFERROR(IF(BW145="",WORKDAY.INTL(BQ145,BT145,1,Holidays[Date]),BW145),"")</f>
        <v/>
      </c>
      <c r="BW145" s="78"/>
      <c r="BX145" s="80"/>
      <c r="BY145" s="68"/>
      <c r="BZ145" s="81"/>
      <c r="CA145" s="77" t="str">
        <f ca="1">IFERROR(IF(CB145="",WORKDAY.INTL(BV145,BY145,1,Holidays[Date]),CB145),"")</f>
        <v/>
      </c>
      <c r="CB145" s="78"/>
    </row>
    <row r="146" spans="1:80" ht="19" customHeight="1" x14ac:dyDescent="0.35">
      <c r="A146" s="31"/>
      <c r="B146" s="82"/>
      <c r="C146" s="1"/>
      <c r="D146" s="8"/>
      <c r="E146" s="8"/>
      <c r="F146" s="8"/>
      <c r="G146" s="8"/>
      <c r="H146" s="8"/>
      <c r="I146" s="9"/>
      <c r="J146" s="8"/>
      <c r="K146" s="8"/>
      <c r="L146" s="8"/>
      <c r="M146" s="8"/>
      <c r="N146" s="8"/>
      <c r="O146" s="8"/>
      <c r="P146" s="8"/>
      <c r="Q146" s="2"/>
      <c r="R146" s="2"/>
      <c r="S146" s="88" t="str">
        <f>IF(tblProcRegister[[#This Row],[Award]]&lt;&gt;"",tblProcRegister[[#This Row],[Budget]]-tblProcRegister[[#This Row],[Award]],"")</f>
        <v/>
      </c>
      <c r="T146" s="68"/>
      <c r="U146" s="68"/>
      <c r="V146" s="68"/>
      <c r="W146" s="77" t="str">
        <f>IF(AB146="","",WORKDAY.INTL(AB146,Z146*-1,1,Holidays[Date]))</f>
        <v/>
      </c>
      <c r="X146" s="77" t="str">
        <f t="shared" ca="1" si="2"/>
        <v/>
      </c>
      <c r="Y146" s="78"/>
      <c r="Z146" s="79"/>
      <c r="AA146" s="68"/>
      <c r="AB146" s="77" t="str">
        <f>IF(AG146="","",WORKDAY.INTL(AG146,AE146*-1,1,Holidays[Date]))</f>
        <v/>
      </c>
      <c r="AC146" s="77" t="str">
        <f ca="1">IFERROR(IF(AD146="",WORKDAY.INTL(X146,AA146,1,Holidays[Date]),AD146),"")</f>
        <v/>
      </c>
      <c r="AD146" s="78"/>
      <c r="AE146" s="80"/>
      <c r="AF146" s="68"/>
      <c r="AG146" s="77" t="str">
        <f>IF(AL146="","",WORKDAY.INTL(AL146,AJ146*-1,1,Holidays[Date]))</f>
        <v/>
      </c>
      <c r="AH146" s="77" t="str">
        <f ca="1">IFERROR(IF(AI146="",WORKDAY.INTL(AC146,AF146,1,Holidays[Date]),AI146),"")</f>
        <v/>
      </c>
      <c r="AI146" s="78"/>
      <c r="AJ146" s="80"/>
      <c r="AK146" s="68"/>
      <c r="AL146" s="77" t="str">
        <f>IF(AQ146="","",WORKDAY.INTL(AQ146,AO146*-1,1,Holidays[Date]))</f>
        <v/>
      </c>
      <c r="AM146" s="77" t="str">
        <f ca="1">IFERROR(IF(AN146="",WORKDAY.INTL(AH146,AK146,1,Holidays[Date]),AN146),"")</f>
        <v/>
      </c>
      <c r="AN146" s="78"/>
      <c r="AO146" s="80"/>
      <c r="AP146" s="68"/>
      <c r="AQ146" s="77" t="str">
        <f>IF(AV146="","",WORKDAY.INTL(AV146,AT146*-1,1,Holidays[Date]))</f>
        <v/>
      </c>
      <c r="AR146" s="77" t="str">
        <f ca="1">IFERROR(IF(AS146="",WORKDAY.INTL(AM146,AP146,1,Holidays[Date]),AS146),"")</f>
        <v/>
      </c>
      <c r="AS146" s="78"/>
      <c r="AT146" s="80"/>
      <c r="AU146" s="68"/>
      <c r="AV146" s="77" t="str">
        <f>IF(BA146="","",WORKDAY.INTL(BA146,AY146*-1,1,Holidays[Date]))</f>
        <v/>
      </c>
      <c r="AW146" s="77" t="str">
        <f ca="1">IFERROR(IF(AX146="",WORKDAY.INTL(AR146,AU146,1,Holidays[Date]),AX146),"")</f>
        <v/>
      </c>
      <c r="AX146" s="78"/>
      <c r="AY146" s="80"/>
      <c r="AZ146" s="68"/>
      <c r="BA146" s="77" t="str">
        <f>IF(BF146="","",WORKDAY.INTL(BF146,BD146*-1,1,Holidays[Date]))</f>
        <v/>
      </c>
      <c r="BB146" s="77" t="str">
        <f ca="1">IFERROR(IF(BC146="",WORKDAY.INTL(AW146,AZ146,1,Holidays[Date]),BC146),"")</f>
        <v/>
      </c>
      <c r="BC146" s="78"/>
      <c r="BD146" s="80"/>
      <c r="BE146" s="68"/>
      <c r="BF146" s="77" t="str">
        <f>IF(BK146="","",WORKDAY.INTL(BK146,BI146*-1,1,Holidays[Date]))</f>
        <v/>
      </c>
      <c r="BG146" s="77" t="str">
        <f ca="1">IFERROR(IF(BH146="",WORKDAY.INTL(BB146,BE146,1,Holidays[Date]),BH146),"")</f>
        <v/>
      </c>
      <c r="BH146" s="78"/>
      <c r="BI146" s="80"/>
      <c r="BJ146" s="68"/>
      <c r="BK146" s="77" t="str">
        <f>IF(BP146="","",WORKDAY.INTL(BP146,BN146*-1,1,Holidays[Date]))</f>
        <v/>
      </c>
      <c r="BL146" s="77" t="str">
        <f ca="1">IFERROR(IF(BM146="",WORKDAY.INTL(BG146,BJ146,1,Holidays[Date]),BM146),"")</f>
        <v/>
      </c>
      <c r="BM146" s="78"/>
      <c r="BN146" s="80"/>
      <c r="BO146" s="68"/>
      <c r="BP146" s="77" t="str">
        <f>IF(BU146="","",WORKDAY.INTL(BU146,BS146*-1,1,Holidays[Date]))</f>
        <v/>
      </c>
      <c r="BQ146" s="77" t="str">
        <f ca="1">IFERROR(IF(BR146="",WORKDAY.INTL(BL146,BO146,1,Holidays[Date]),BR146),"")</f>
        <v/>
      </c>
      <c r="BR146" s="78"/>
      <c r="BS146" s="80"/>
      <c r="BT146" s="68"/>
      <c r="BU146" s="77" t="str">
        <f>IF(BZ146="","",WORKDAY.INTL(BZ146,BX146*-1,1,Holidays[Date]))</f>
        <v/>
      </c>
      <c r="BV146" s="77" t="str">
        <f ca="1">IFERROR(IF(BW146="",WORKDAY.INTL(BQ146,BT146,1,Holidays[Date]),BW146),"")</f>
        <v/>
      </c>
      <c r="BW146" s="78"/>
      <c r="BX146" s="80"/>
      <c r="BY146" s="68"/>
      <c r="BZ146" s="81"/>
      <c r="CA146" s="77" t="str">
        <f ca="1">IFERROR(IF(CB146="",WORKDAY.INTL(BV146,BY146,1,Holidays[Date]),CB146),"")</f>
        <v/>
      </c>
      <c r="CB146" s="78"/>
    </row>
    <row r="147" spans="1:80" ht="19" customHeight="1" x14ac:dyDescent="0.35">
      <c r="A147" s="31"/>
      <c r="B147" s="82"/>
      <c r="C147" s="1"/>
      <c r="D147" s="8"/>
      <c r="E147" s="8"/>
      <c r="F147" s="8"/>
      <c r="G147" s="8"/>
      <c r="H147" s="8"/>
      <c r="I147" s="9"/>
      <c r="J147" s="8"/>
      <c r="K147" s="8"/>
      <c r="L147" s="8"/>
      <c r="M147" s="8"/>
      <c r="N147" s="8"/>
      <c r="O147" s="8"/>
      <c r="P147" s="8"/>
      <c r="Q147" s="2"/>
      <c r="R147" s="2"/>
      <c r="S147" s="88" t="str">
        <f>IF(tblProcRegister[[#This Row],[Award]]&lt;&gt;"",tblProcRegister[[#This Row],[Budget]]-tblProcRegister[[#This Row],[Award]],"")</f>
        <v/>
      </c>
      <c r="T147" s="68"/>
      <c r="U147" s="68"/>
      <c r="V147" s="68"/>
      <c r="W147" s="77" t="str">
        <f>IF(AB147="","",WORKDAY.INTL(AB147,Z147*-1,1,Holidays[Date]))</f>
        <v/>
      </c>
      <c r="X147" s="77" t="str">
        <f t="shared" ca="1" si="2"/>
        <v/>
      </c>
      <c r="Y147" s="78"/>
      <c r="Z147" s="79"/>
      <c r="AA147" s="68"/>
      <c r="AB147" s="77" t="str">
        <f>IF(AG147="","",WORKDAY.INTL(AG147,AE147*-1,1,Holidays[Date]))</f>
        <v/>
      </c>
      <c r="AC147" s="77" t="str">
        <f ca="1">IFERROR(IF(AD147="",WORKDAY.INTL(X147,AA147,1,Holidays[Date]),AD147),"")</f>
        <v/>
      </c>
      <c r="AD147" s="78"/>
      <c r="AE147" s="80"/>
      <c r="AF147" s="68"/>
      <c r="AG147" s="77" t="str">
        <f>IF(AL147="","",WORKDAY.INTL(AL147,AJ147*-1,1,Holidays[Date]))</f>
        <v/>
      </c>
      <c r="AH147" s="77" t="str">
        <f ca="1">IFERROR(IF(AI147="",WORKDAY.INTL(AC147,AF147,1,Holidays[Date]),AI147),"")</f>
        <v/>
      </c>
      <c r="AI147" s="78"/>
      <c r="AJ147" s="80"/>
      <c r="AK147" s="68"/>
      <c r="AL147" s="77" t="str">
        <f>IF(AQ147="","",WORKDAY.INTL(AQ147,AO147*-1,1,Holidays[Date]))</f>
        <v/>
      </c>
      <c r="AM147" s="77" t="str">
        <f ca="1">IFERROR(IF(AN147="",WORKDAY.INTL(AH147,AK147,1,Holidays[Date]),AN147),"")</f>
        <v/>
      </c>
      <c r="AN147" s="78"/>
      <c r="AO147" s="80"/>
      <c r="AP147" s="68"/>
      <c r="AQ147" s="77" t="str">
        <f>IF(AV147="","",WORKDAY.INTL(AV147,AT147*-1,1,Holidays[Date]))</f>
        <v/>
      </c>
      <c r="AR147" s="77" t="str">
        <f ca="1">IFERROR(IF(AS147="",WORKDAY.INTL(AM147,AP147,1,Holidays[Date]),AS147),"")</f>
        <v/>
      </c>
      <c r="AS147" s="78"/>
      <c r="AT147" s="80"/>
      <c r="AU147" s="68"/>
      <c r="AV147" s="77" t="str">
        <f>IF(BA147="","",WORKDAY.INTL(BA147,AY147*-1,1,Holidays[Date]))</f>
        <v/>
      </c>
      <c r="AW147" s="77" t="str">
        <f ca="1">IFERROR(IF(AX147="",WORKDAY.INTL(AR147,AU147,1,Holidays[Date]),AX147),"")</f>
        <v/>
      </c>
      <c r="AX147" s="78"/>
      <c r="AY147" s="80"/>
      <c r="AZ147" s="68"/>
      <c r="BA147" s="77" t="str">
        <f>IF(BF147="","",WORKDAY.INTL(BF147,BD147*-1,1,Holidays[Date]))</f>
        <v/>
      </c>
      <c r="BB147" s="77" t="str">
        <f ca="1">IFERROR(IF(BC147="",WORKDAY.INTL(AW147,AZ147,1,Holidays[Date]),BC147),"")</f>
        <v/>
      </c>
      <c r="BC147" s="78"/>
      <c r="BD147" s="80"/>
      <c r="BE147" s="68"/>
      <c r="BF147" s="77" t="str">
        <f>IF(BK147="","",WORKDAY.INTL(BK147,BI147*-1,1,Holidays[Date]))</f>
        <v/>
      </c>
      <c r="BG147" s="77" t="str">
        <f ca="1">IFERROR(IF(BH147="",WORKDAY.INTL(BB147,BE147,1,Holidays[Date]),BH147),"")</f>
        <v/>
      </c>
      <c r="BH147" s="78"/>
      <c r="BI147" s="80"/>
      <c r="BJ147" s="68"/>
      <c r="BK147" s="77" t="str">
        <f>IF(BP147="","",WORKDAY.INTL(BP147,BN147*-1,1,Holidays[Date]))</f>
        <v/>
      </c>
      <c r="BL147" s="77" t="str">
        <f ca="1">IFERROR(IF(BM147="",WORKDAY.INTL(BG147,BJ147,1,Holidays[Date]),BM147),"")</f>
        <v/>
      </c>
      <c r="BM147" s="78"/>
      <c r="BN147" s="80"/>
      <c r="BO147" s="68"/>
      <c r="BP147" s="77" t="str">
        <f>IF(BU147="","",WORKDAY.INTL(BU147,BS147*-1,1,Holidays[Date]))</f>
        <v/>
      </c>
      <c r="BQ147" s="77" t="str">
        <f ca="1">IFERROR(IF(BR147="",WORKDAY.INTL(BL147,BO147,1,Holidays[Date]),BR147),"")</f>
        <v/>
      </c>
      <c r="BR147" s="78"/>
      <c r="BS147" s="80"/>
      <c r="BT147" s="68"/>
      <c r="BU147" s="77" t="str">
        <f>IF(BZ147="","",WORKDAY.INTL(BZ147,BX147*-1,1,Holidays[Date]))</f>
        <v/>
      </c>
      <c r="BV147" s="77" t="str">
        <f ca="1">IFERROR(IF(BW147="",WORKDAY.INTL(BQ147,BT147,1,Holidays[Date]),BW147),"")</f>
        <v/>
      </c>
      <c r="BW147" s="78"/>
      <c r="BX147" s="80"/>
      <c r="BY147" s="68"/>
      <c r="BZ147" s="81"/>
      <c r="CA147" s="77" t="str">
        <f ca="1">IFERROR(IF(CB147="",WORKDAY.INTL(BV147,BY147,1,Holidays[Date]),CB147),"")</f>
        <v/>
      </c>
      <c r="CB147" s="78"/>
    </row>
    <row r="148" spans="1:80" ht="19" customHeight="1" x14ac:dyDescent="0.35">
      <c r="A148" s="31"/>
      <c r="B148" s="82"/>
      <c r="C148" s="1"/>
      <c r="D148" s="8"/>
      <c r="E148" s="8"/>
      <c r="F148" s="8"/>
      <c r="G148" s="8"/>
      <c r="H148" s="8"/>
      <c r="I148" s="9"/>
      <c r="J148" s="8"/>
      <c r="K148" s="8"/>
      <c r="L148" s="8"/>
      <c r="M148" s="8"/>
      <c r="N148" s="8"/>
      <c r="O148" s="8"/>
      <c r="P148" s="8"/>
      <c r="Q148" s="2"/>
      <c r="R148" s="2"/>
      <c r="S148" s="88" t="str">
        <f>IF(tblProcRegister[[#This Row],[Award]]&lt;&gt;"",tblProcRegister[[#This Row],[Budget]]-tblProcRegister[[#This Row],[Award]],"")</f>
        <v/>
      </c>
      <c r="T148" s="68"/>
      <c r="U148" s="68"/>
      <c r="V148" s="68"/>
      <c r="W148" s="77" t="str">
        <f>IF(AB148="","",WORKDAY.INTL(AB148,Z148*-1,1,Holidays[Date]))</f>
        <v/>
      </c>
      <c r="X148" s="77" t="str">
        <f t="shared" ca="1" si="2"/>
        <v/>
      </c>
      <c r="Y148" s="78"/>
      <c r="Z148" s="79"/>
      <c r="AA148" s="68"/>
      <c r="AB148" s="77" t="str">
        <f>IF(AG148="","",WORKDAY.INTL(AG148,AE148*-1,1,Holidays[Date]))</f>
        <v/>
      </c>
      <c r="AC148" s="77" t="str">
        <f ca="1">IFERROR(IF(AD148="",WORKDAY.INTL(X148,AA148,1,Holidays[Date]),AD148),"")</f>
        <v/>
      </c>
      <c r="AD148" s="78"/>
      <c r="AE148" s="80"/>
      <c r="AF148" s="68"/>
      <c r="AG148" s="77" t="str">
        <f>IF(AL148="","",WORKDAY.INTL(AL148,AJ148*-1,1,Holidays[Date]))</f>
        <v/>
      </c>
      <c r="AH148" s="77" t="str">
        <f ca="1">IFERROR(IF(AI148="",WORKDAY.INTL(AC148,AF148,1,Holidays[Date]),AI148),"")</f>
        <v/>
      </c>
      <c r="AI148" s="78"/>
      <c r="AJ148" s="80"/>
      <c r="AK148" s="68"/>
      <c r="AL148" s="77" t="str">
        <f>IF(AQ148="","",WORKDAY.INTL(AQ148,AO148*-1,1,Holidays[Date]))</f>
        <v/>
      </c>
      <c r="AM148" s="77" t="str">
        <f ca="1">IFERROR(IF(AN148="",WORKDAY.INTL(AH148,AK148,1,Holidays[Date]),AN148),"")</f>
        <v/>
      </c>
      <c r="AN148" s="78"/>
      <c r="AO148" s="80"/>
      <c r="AP148" s="68"/>
      <c r="AQ148" s="77" t="str">
        <f>IF(AV148="","",WORKDAY.INTL(AV148,AT148*-1,1,Holidays[Date]))</f>
        <v/>
      </c>
      <c r="AR148" s="77" t="str">
        <f ca="1">IFERROR(IF(AS148="",WORKDAY.INTL(AM148,AP148,1,Holidays[Date]),AS148),"")</f>
        <v/>
      </c>
      <c r="AS148" s="78"/>
      <c r="AT148" s="80"/>
      <c r="AU148" s="68"/>
      <c r="AV148" s="77" t="str">
        <f>IF(BA148="","",WORKDAY.INTL(BA148,AY148*-1,1,Holidays[Date]))</f>
        <v/>
      </c>
      <c r="AW148" s="77" t="str">
        <f ca="1">IFERROR(IF(AX148="",WORKDAY.INTL(AR148,AU148,1,Holidays[Date]),AX148),"")</f>
        <v/>
      </c>
      <c r="AX148" s="78"/>
      <c r="AY148" s="80"/>
      <c r="AZ148" s="68"/>
      <c r="BA148" s="77" t="str">
        <f>IF(BF148="","",WORKDAY.INTL(BF148,BD148*-1,1,Holidays[Date]))</f>
        <v/>
      </c>
      <c r="BB148" s="77" t="str">
        <f ca="1">IFERROR(IF(BC148="",WORKDAY.INTL(AW148,AZ148,1,Holidays[Date]),BC148),"")</f>
        <v/>
      </c>
      <c r="BC148" s="78"/>
      <c r="BD148" s="80"/>
      <c r="BE148" s="68"/>
      <c r="BF148" s="77" t="str">
        <f>IF(BK148="","",WORKDAY.INTL(BK148,BI148*-1,1,Holidays[Date]))</f>
        <v/>
      </c>
      <c r="BG148" s="77" t="str">
        <f ca="1">IFERROR(IF(BH148="",WORKDAY.INTL(BB148,BE148,1,Holidays[Date]),BH148),"")</f>
        <v/>
      </c>
      <c r="BH148" s="78"/>
      <c r="BI148" s="80"/>
      <c r="BJ148" s="68"/>
      <c r="BK148" s="77" t="str">
        <f>IF(BP148="","",WORKDAY.INTL(BP148,BN148*-1,1,Holidays[Date]))</f>
        <v/>
      </c>
      <c r="BL148" s="77" t="str">
        <f ca="1">IFERROR(IF(BM148="",WORKDAY.INTL(BG148,BJ148,1,Holidays[Date]),BM148),"")</f>
        <v/>
      </c>
      <c r="BM148" s="78"/>
      <c r="BN148" s="80"/>
      <c r="BO148" s="68"/>
      <c r="BP148" s="77" t="str">
        <f>IF(BU148="","",WORKDAY.INTL(BU148,BS148*-1,1,Holidays[Date]))</f>
        <v/>
      </c>
      <c r="BQ148" s="77" t="str">
        <f ca="1">IFERROR(IF(BR148="",WORKDAY.INTL(BL148,BO148,1,Holidays[Date]),BR148),"")</f>
        <v/>
      </c>
      <c r="BR148" s="78"/>
      <c r="BS148" s="80"/>
      <c r="BT148" s="68"/>
      <c r="BU148" s="77" t="str">
        <f>IF(BZ148="","",WORKDAY.INTL(BZ148,BX148*-1,1,Holidays[Date]))</f>
        <v/>
      </c>
      <c r="BV148" s="77" t="str">
        <f ca="1">IFERROR(IF(BW148="",WORKDAY.INTL(BQ148,BT148,1,Holidays[Date]),BW148),"")</f>
        <v/>
      </c>
      <c r="BW148" s="78"/>
      <c r="BX148" s="80"/>
      <c r="BY148" s="68"/>
      <c r="BZ148" s="81"/>
      <c r="CA148" s="77" t="str">
        <f ca="1">IFERROR(IF(CB148="",WORKDAY.INTL(BV148,BY148,1,Holidays[Date]),CB148),"")</f>
        <v/>
      </c>
      <c r="CB148" s="78"/>
    </row>
    <row r="149" spans="1:80" ht="19" customHeight="1" x14ac:dyDescent="0.35">
      <c r="A149" s="31"/>
      <c r="B149" s="82"/>
      <c r="C149" s="1"/>
      <c r="D149" s="8"/>
      <c r="E149" s="8"/>
      <c r="F149" s="8"/>
      <c r="G149" s="8"/>
      <c r="H149" s="8"/>
      <c r="I149" s="9"/>
      <c r="J149" s="8"/>
      <c r="K149" s="8"/>
      <c r="L149" s="8"/>
      <c r="M149" s="8"/>
      <c r="N149" s="8"/>
      <c r="O149" s="8"/>
      <c r="P149" s="8"/>
      <c r="Q149" s="2"/>
      <c r="R149" s="2"/>
      <c r="S149" s="88" t="str">
        <f>IF(tblProcRegister[[#This Row],[Award]]&lt;&gt;"",tblProcRegister[[#This Row],[Budget]]-tblProcRegister[[#This Row],[Award]],"")</f>
        <v/>
      </c>
      <c r="T149" s="68"/>
      <c r="U149" s="68"/>
      <c r="V149" s="68"/>
      <c r="W149" s="77" t="str">
        <f>IF(AB149="","",WORKDAY.INTL(AB149,Z149*-1,1,Holidays[Date]))</f>
        <v/>
      </c>
      <c r="X149" s="77" t="str">
        <f t="shared" ca="1" si="2"/>
        <v/>
      </c>
      <c r="Y149" s="78"/>
      <c r="Z149" s="79"/>
      <c r="AA149" s="68"/>
      <c r="AB149" s="77" t="str">
        <f>IF(AG149="","",WORKDAY.INTL(AG149,AE149*-1,1,Holidays[Date]))</f>
        <v/>
      </c>
      <c r="AC149" s="77" t="str">
        <f ca="1">IFERROR(IF(AD149="",WORKDAY.INTL(X149,AA149,1,Holidays[Date]),AD149),"")</f>
        <v/>
      </c>
      <c r="AD149" s="78"/>
      <c r="AE149" s="80"/>
      <c r="AF149" s="68"/>
      <c r="AG149" s="77" t="str">
        <f>IF(AL149="","",WORKDAY.INTL(AL149,AJ149*-1,1,Holidays[Date]))</f>
        <v/>
      </c>
      <c r="AH149" s="77" t="str">
        <f ca="1">IFERROR(IF(AI149="",WORKDAY.INTL(AC149,AF149,1,Holidays[Date]),AI149),"")</f>
        <v/>
      </c>
      <c r="AI149" s="78"/>
      <c r="AJ149" s="80"/>
      <c r="AK149" s="68"/>
      <c r="AL149" s="77" t="str">
        <f>IF(AQ149="","",WORKDAY.INTL(AQ149,AO149*-1,1,Holidays[Date]))</f>
        <v/>
      </c>
      <c r="AM149" s="77" t="str">
        <f ca="1">IFERROR(IF(AN149="",WORKDAY.INTL(AH149,AK149,1,Holidays[Date]),AN149),"")</f>
        <v/>
      </c>
      <c r="AN149" s="78"/>
      <c r="AO149" s="80"/>
      <c r="AP149" s="68"/>
      <c r="AQ149" s="77" t="str">
        <f>IF(AV149="","",WORKDAY.INTL(AV149,AT149*-1,1,Holidays[Date]))</f>
        <v/>
      </c>
      <c r="AR149" s="77" t="str">
        <f ca="1">IFERROR(IF(AS149="",WORKDAY.INTL(AM149,AP149,1,Holidays[Date]),AS149),"")</f>
        <v/>
      </c>
      <c r="AS149" s="78"/>
      <c r="AT149" s="80"/>
      <c r="AU149" s="68"/>
      <c r="AV149" s="77" t="str">
        <f>IF(BA149="","",WORKDAY.INTL(BA149,AY149*-1,1,Holidays[Date]))</f>
        <v/>
      </c>
      <c r="AW149" s="77" t="str">
        <f ca="1">IFERROR(IF(AX149="",WORKDAY.INTL(AR149,AU149,1,Holidays[Date]),AX149),"")</f>
        <v/>
      </c>
      <c r="AX149" s="78"/>
      <c r="AY149" s="80"/>
      <c r="AZ149" s="68"/>
      <c r="BA149" s="77" t="str">
        <f>IF(BF149="","",WORKDAY.INTL(BF149,BD149*-1,1,Holidays[Date]))</f>
        <v/>
      </c>
      <c r="BB149" s="77" t="str">
        <f ca="1">IFERROR(IF(BC149="",WORKDAY.INTL(AW149,AZ149,1,Holidays[Date]),BC149),"")</f>
        <v/>
      </c>
      <c r="BC149" s="78"/>
      <c r="BD149" s="80"/>
      <c r="BE149" s="68"/>
      <c r="BF149" s="77" t="str">
        <f>IF(BK149="","",WORKDAY.INTL(BK149,BI149*-1,1,Holidays[Date]))</f>
        <v/>
      </c>
      <c r="BG149" s="77" t="str">
        <f ca="1">IFERROR(IF(BH149="",WORKDAY.INTL(BB149,BE149,1,Holidays[Date]),BH149),"")</f>
        <v/>
      </c>
      <c r="BH149" s="78"/>
      <c r="BI149" s="80"/>
      <c r="BJ149" s="68"/>
      <c r="BK149" s="77" t="str">
        <f>IF(BP149="","",WORKDAY.INTL(BP149,BN149*-1,1,Holidays[Date]))</f>
        <v/>
      </c>
      <c r="BL149" s="77" t="str">
        <f ca="1">IFERROR(IF(BM149="",WORKDAY.INTL(BG149,BJ149,1,Holidays[Date]),BM149),"")</f>
        <v/>
      </c>
      <c r="BM149" s="78"/>
      <c r="BN149" s="80"/>
      <c r="BO149" s="68"/>
      <c r="BP149" s="77" t="str">
        <f>IF(BU149="","",WORKDAY.INTL(BU149,BS149*-1,1,Holidays[Date]))</f>
        <v/>
      </c>
      <c r="BQ149" s="77" t="str">
        <f ca="1">IFERROR(IF(BR149="",WORKDAY.INTL(BL149,BO149,1,Holidays[Date]),BR149),"")</f>
        <v/>
      </c>
      <c r="BR149" s="78"/>
      <c r="BS149" s="80"/>
      <c r="BT149" s="68"/>
      <c r="BU149" s="77" t="str">
        <f>IF(BZ149="","",WORKDAY.INTL(BZ149,BX149*-1,1,Holidays[Date]))</f>
        <v/>
      </c>
      <c r="BV149" s="77" t="str">
        <f ca="1">IFERROR(IF(BW149="",WORKDAY.INTL(BQ149,BT149,1,Holidays[Date]),BW149),"")</f>
        <v/>
      </c>
      <c r="BW149" s="78"/>
      <c r="BX149" s="80"/>
      <c r="BY149" s="68"/>
      <c r="BZ149" s="81"/>
      <c r="CA149" s="77" t="str">
        <f ca="1">IFERROR(IF(CB149="",WORKDAY.INTL(BV149,BY149,1,Holidays[Date]),CB149),"")</f>
        <v/>
      </c>
      <c r="CB149" s="78"/>
    </row>
    <row r="150" spans="1:80" ht="19" customHeight="1" x14ac:dyDescent="0.35">
      <c r="A150" s="31"/>
      <c r="B150" s="82"/>
      <c r="C150" s="1"/>
      <c r="D150" s="8"/>
      <c r="E150" s="8"/>
      <c r="F150" s="8"/>
      <c r="G150" s="8"/>
      <c r="H150" s="8"/>
      <c r="I150" s="9"/>
      <c r="J150" s="8"/>
      <c r="K150" s="8"/>
      <c r="L150" s="8"/>
      <c r="M150" s="8"/>
      <c r="N150" s="8"/>
      <c r="O150" s="8"/>
      <c r="P150" s="8"/>
      <c r="Q150" s="2"/>
      <c r="R150" s="2"/>
      <c r="S150" s="88" t="str">
        <f>IF(tblProcRegister[[#This Row],[Award]]&lt;&gt;"",tblProcRegister[[#This Row],[Budget]]-tblProcRegister[[#This Row],[Award]],"")</f>
        <v/>
      </c>
      <c r="T150" s="68"/>
      <c r="U150" s="68"/>
      <c r="V150" s="68"/>
      <c r="W150" s="77" t="str">
        <f>IF(AB150="","",WORKDAY.INTL(AB150,Z150*-1,1,Holidays[Date]))</f>
        <v/>
      </c>
      <c r="X150" s="77" t="str">
        <f t="shared" ca="1" si="2"/>
        <v/>
      </c>
      <c r="Y150" s="78"/>
      <c r="Z150" s="79"/>
      <c r="AA150" s="68"/>
      <c r="AB150" s="77" t="str">
        <f>IF(AG150="","",WORKDAY.INTL(AG150,AE150*-1,1,Holidays[Date]))</f>
        <v/>
      </c>
      <c r="AC150" s="77" t="str">
        <f ca="1">IFERROR(IF(AD150="",WORKDAY.INTL(X150,AA150,1,Holidays[Date]),AD150),"")</f>
        <v/>
      </c>
      <c r="AD150" s="78"/>
      <c r="AE150" s="80"/>
      <c r="AF150" s="68"/>
      <c r="AG150" s="77" t="str">
        <f>IF(AL150="","",WORKDAY.INTL(AL150,AJ150*-1,1,Holidays[Date]))</f>
        <v/>
      </c>
      <c r="AH150" s="77" t="str">
        <f ca="1">IFERROR(IF(AI150="",WORKDAY.INTL(AC150,AF150,1,Holidays[Date]),AI150),"")</f>
        <v/>
      </c>
      <c r="AI150" s="78"/>
      <c r="AJ150" s="80"/>
      <c r="AK150" s="68"/>
      <c r="AL150" s="77" t="str">
        <f>IF(AQ150="","",WORKDAY.INTL(AQ150,AO150*-1,1,Holidays[Date]))</f>
        <v/>
      </c>
      <c r="AM150" s="77" t="str">
        <f ca="1">IFERROR(IF(AN150="",WORKDAY.INTL(AH150,AK150,1,Holidays[Date]),AN150),"")</f>
        <v/>
      </c>
      <c r="AN150" s="78"/>
      <c r="AO150" s="80"/>
      <c r="AP150" s="68"/>
      <c r="AQ150" s="77" t="str">
        <f>IF(AV150="","",WORKDAY.INTL(AV150,AT150*-1,1,Holidays[Date]))</f>
        <v/>
      </c>
      <c r="AR150" s="77" t="str">
        <f ca="1">IFERROR(IF(AS150="",WORKDAY.INTL(AM150,AP150,1,Holidays[Date]),AS150),"")</f>
        <v/>
      </c>
      <c r="AS150" s="78"/>
      <c r="AT150" s="80"/>
      <c r="AU150" s="68"/>
      <c r="AV150" s="77" t="str">
        <f>IF(BA150="","",WORKDAY.INTL(BA150,AY150*-1,1,Holidays[Date]))</f>
        <v/>
      </c>
      <c r="AW150" s="77" t="str">
        <f ca="1">IFERROR(IF(AX150="",WORKDAY.INTL(AR150,AU150,1,Holidays[Date]),AX150),"")</f>
        <v/>
      </c>
      <c r="AX150" s="78"/>
      <c r="AY150" s="80"/>
      <c r="AZ150" s="68"/>
      <c r="BA150" s="77" t="str">
        <f>IF(BF150="","",WORKDAY.INTL(BF150,BD150*-1,1,Holidays[Date]))</f>
        <v/>
      </c>
      <c r="BB150" s="77" t="str">
        <f ca="1">IFERROR(IF(BC150="",WORKDAY.INTL(AW150,AZ150,1,Holidays[Date]),BC150),"")</f>
        <v/>
      </c>
      <c r="BC150" s="78"/>
      <c r="BD150" s="80"/>
      <c r="BE150" s="68"/>
      <c r="BF150" s="77" t="str">
        <f>IF(BK150="","",WORKDAY.INTL(BK150,BI150*-1,1,Holidays[Date]))</f>
        <v/>
      </c>
      <c r="BG150" s="77" t="str">
        <f ca="1">IFERROR(IF(BH150="",WORKDAY.INTL(BB150,BE150,1,Holidays[Date]),BH150),"")</f>
        <v/>
      </c>
      <c r="BH150" s="78"/>
      <c r="BI150" s="80"/>
      <c r="BJ150" s="68"/>
      <c r="BK150" s="77" t="str">
        <f>IF(BP150="","",WORKDAY.INTL(BP150,BN150*-1,1,Holidays[Date]))</f>
        <v/>
      </c>
      <c r="BL150" s="77" t="str">
        <f ca="1">IFERROR(IF(BM150="",WORKDAY.INTL(BG150,BJ150,1,Holidays[Date]),BM150),"")</f>
        <v/>
      </c>
      <c r="BM150" s="78"/>
      <c r="BN150" s="80"/>
      <c r="BO150" s="68"/>
      <c r="BP150" s="77" t="str">
        <f>IF(BU150="","",WORKDAY.INTL(BU150,BS150*-1,1,Holidays[Date]))</f>
        <v/>
      </c>
      <c r="BQ150" s="77" t="str">
        <f ca="1">IFERROR(IF(BR150="",WORKDAY.INTL(BL150,BO150,1,Holidays[Date]),BR150),"")</f>
        <v/>
      </c>
      <c r="BR150" s="78"/>
      <c r="BS150" s="80"/>
      <c r="BT150" s="68"/>
      <c r="BU150" s="77" t="str">
        <f>IF(BZ150="","",WORKDAY.INTL(BZ150,BX150*-1,1,Holidays[Date]))</f>
        <v/>
      </c>
      <c r="BV150" s="77" t="str">
        <f ca="1">IFERROR(IF(BW150="",WORKDAY.INTL(BQ150,BT150,1,Holidays[Date]),BW150),"")</f>
        <v/>
      </c>
      <c r="BW150" s="78"/>
      <c r="BX150" s="80"/>
      <c r="BY150" s="68"/>
      <c r="BZ150" s="81"/>
      <c r="CA150" s="77" t="str">
        <f ca="1">IFERROR(IF(CB150="",WORKDAY.INTL(BV150,BY150,1,Holidays[Date]),CB150),"")</f>
        <v/>
      </c>
      <c r="CB150" s="78"/>
    </row>
    <row r="151" spans="1:80" ht="19" customHeight="1" x14ac:dyDescent="0.35">
      <c r="A151" s="31"/>
      <c r="B151" s="82"/>
      <c r="C151" s="1"/>
      <c r="D151" s="8"/>
      <c r="E151" s="8"/>
      <c r="F151" s="8"/>
      <c r="G151" s="8"/>
      <c r="H151" s="8"/>
      <c r="I151" s="9"/>
      <c r="J151" s="8"/>
      <c r="K151" s="8"/>
      <c r="L151" s="8"/>
      <c r="M151" s="8"/>
      <c r="N151" s="8"/>
      <c r="O151" s="8"/>
      <c r="P151" s="8"/>
      <c r="Q151" s="2"/>
      <c r="R151" s="2"/>
      <c r="S151" s="88" t="str">
        <f>IF(tblProcRegister[[#This Row],[Award]]&lt;&gt;"",tblProcRegister[[#This Row],[Budget]]-tblProcRegister[[#This Row],[Award]],"")</f>
        <v/>
      </c>
      <c r="T151" s="68"/>
      <c r="U151" s="68"/>
      <c r="V151" s="68"/>
      <c r="W151" s="77" t="str">
        <f>IF(AB151="","",WORKDAY.INTL(AB151,Z151*-1,1,Holidays[Date]))</f>
        <v/>
      </c>
      <c r="X151" s="77" t="str">
        <f t="shared" ca="1" si="2"/>
        <v/>
      </c>
      <c r="Y151" s="78"/>
      <c r="Z151" s="79"/>
      <c r="AA151" s="68"/>
      <c r="AB151" s="77" t="str">
        <f>IF(AG151="","",WORKDAY.INTL(AG151,AE151*-1,1,Holidays[Date]))</f>
        <v/>
      </c>
      <c r="AC151" s="77" t="str">
        <f ca="1">IFERROR(IF(AD151="",WORKDAY.INTL(X151,AA151,1,Holidays[Date]),AD151),"")</f>
        <v/>
      </c>
      <c r="AD151" s="78"/>
      <c r="AE151" s="80"/>
      <c r="AF151" s="68"/>
      <c r="AG151" s="77" t="str">
        <f>IF(AL151="","",WORKDAY.INTL(AL151,AJ151*-1,1,Holidays[Date]))</f>
        <v/>
      </c>
      <c r="AH151" s="77" t="str">
        <f ca="1">IFERROR(IF(AI151="",WORKDAY.INTL(AC151,AF151,1,Holidays[Date]),AI151),"")</f>
        <v/>
      </c>
      <c r="AI151" s="78"/>
      <c r="AJ151" s="80"/>
      <c r="AK151" s="68"/>
      <c r="AL151" s="77" t="str">
        <f>IF(AQ151="","",WORKDAY.INTL(AQ151,AO151*-1,1,Holidays[Date]))</f>
        <v/>
      </c>
      <c r="AM151" s="77" t="str">
        <f ca="1">IFERROR(IF(AN151="",WORKDAY.INTL(AH151,AK151,1,Holidays[Date]),AN151),"")</f>
        <v/>
      </c>
      <c r="AN151" s="78"/>
      <c r="AO151" s="80"/>
      <c r="AP151" s="68"/>
      <c r="AQ151" s="77" t="str">
        <f>IF(AV151="","",WORKDAY.INTL(AV151,AT151*-1,1,Holidays[Date]))</f>
        <v/>
      </c>
      <c r="AR151" s="77" t="str">
        <f ca="1">IFERROR(IF(AS151="",WORKDAY.INTL(AM151,AP151,1,Holidays[Date]),AS151),"")</f>
        <v/>
      </c>
      <c r="AS151" s="78"/>
      <c r="AT151" s="80"/>
      <c r="AU151" s="68"/>
      <c r="AV151" s="77" t="str">
        <f>IF(BA151="","",WORKDAY.INTL(BA151,AY151*-1,1,Holidays[Date]))</f>
        <v/>
      </c>
      <c r="AW151" s="77" t="str">
        <f ca="1">IFERROR(IF(AX151="",WORKDAY.INTL(AR151,AU151,1,Holidays[Date]),AX151),"")</f>
        <v/>
      </c>
      <c r="AX151" s="78"/>
      <c r="AY151" s="80"/>
      <c r="AZ151" s="68"/>
      <c r="BA151" s="77" t="str">
        <f>IF(BF151="","",WORKDAY.INTL(BF151,BD151*-1,1,Holidays[Date]))</f>
        <v/>
      </c>
      <c r="BB151" s="77" t="str">
        <f ca="1">IFERROR(IF(BC151="",WORKDAY.INTL(AW151,AZ151,1,Holidays[Date]),BC151),"")</f>
        <v/>
      </c>
      <c r="BC151" s="78"/>
      <c r="BD151" s="80"/>
      <c r="BE151" s="68"/>
      <c r="BF151" s="77" t="str">
        <f>IF(BK151="","",WORKDAY.INTL(BK151,BI151*-1,1,Holidays[Date]))</f>
        <v/>
      </c>
      <c r="BG151" s="77" t="str">
        <f ca="1">IFERROR(IF(BH151="",WORKDAY.INTL(BB151,BE151,1,Holidays[Date]),BH151),"")</f>
        <v/>
      </c>
      <c r="BH151" s="78"/>
      <c r="BI151" s="80"/>
      <c r="BJ151" s="68"/>
      <c r="BK151" s="77" t="str">
        <f>IF(BP151="","",WORKDAY.INTL(BP151,BN151*-1,1,Holidays[Date]))</f>
        <v/>
      </c>
      <c r="BL151" s="77" t="str">
        <f ca="1">IFERROR(IF(BM151="",WORKDAY.INTL(BG151,BJ151,1,Holidays[Date]),BM151),"")</f>
        <v/>
      </c>
      <c r="BM151" s="78"/>
      <c r="BN151" s="80"/>
      <c r="BO151" s="68"/>
      <c r="BP151" s="77" t="str">
        <f>IF(BU151="","",WORKDAY.INTL(BU151,BS151*-1,1,Holidays[Date]))</f>
        <v/>
      </c>
      <c r="BQ151" s="77" t="str">
        <f ca="1">IFERROR(IF(BR151="",WORKDAY.INTL(BL151,BO151,1,Holidays[Date]),BR151),"")</f>
        <v/>
      </c>
      <c r="BR151" s="78"/>
      <c r="BS151" s="80"/>
      <c r="BT151" s="68"/>
      <c r="BU151" s="77" t="str">
        <f>IF(BZ151="","",WORKDAY.INTL(BZ151,BX151*-1,1,Holidays[Date]))</f>
        <v/>
      </c>
      <c r="BV151" s="77" t="str">
        <f ca="1">IFERROR(IF(BW151="",WORKDAY.INTL(BQ151,BT151,1,Holidays[Date]),BW151),"")</f>
        <v/>
      </c>
      <c r="BW151" s="78"/>
      <c r="BX151" s="80"/>
      <c r="BY151" s="68"/>
      <c r="BZ151" s="81"/>
      <c r="CA151" s="77" t="str">
        <f ca="1">IFERROR(IF(CB151="",WORKDAY.INTL(BV151,BY151,1,Holidays[Date]),CB151),"")</f>
        <v/>
      </c>
      <c r="CB151" s="78"/>
    </row>
    <row r="152" spans="1:80" ht="19" customHeight="1" x14ac:dyDescent="0.35">
      <c r="A152" s="31"/>
      <c r="B152" s="82"/>
      <c r="C152" s="1"/>
      <c r="D152" s="8"/>
      <c r="E152" s="8"/>
      <c r="F152" s="8"/>
      <c r="G152" s="8"/>
      <c r="H152" s="8"/>
      <c r="I152" s="9"/>
      <c r="J152" s="8"/>
      <c r="K152" s="8"/>
      <c r="L152" s="8"/>
      <c r="M152" s="8"/>
      <c r="N152" s="8"/>
      <c r="O152" s="8"/>
      <c r="P152" s="8"/>
      <c r="Q152" s="2"/>
      <c r="R152" s="2"/>
      <c r="S152" s="88" t="str">
        <f>IF(tblProcRegister[[#This Row],[Award]]&lt;&gt;"",tblProcRegister[[#This Row],[Budget]]-tblProcRegister[[#This Row],[Award]],"")</f>
        <v/>
      </c>
      <c r="T152" s="68"/>
      <c r="U152" s="68"/>
      <c r="V152" s="68"/>
      <c r="W152" s="77" t="str">
        <f>IF(AB152="","",WORKDAY.INTL(AB152,Z152*-1,1,Holidays[Date]))</f>
        <v/>
      </c>
      <c r="X152" s="77" t="str">
        <f t="shared" ca="1" si="2"/>
        <v/>
      </c>
      <c r="Y152" s="78"/>
      <c r="Z152" s="79"/>
      <c r="AA152" s="68"/>
      <c r="AB152" s="77" t="str">
        <f>IF(AG152="","",WORKDAY.INTL(AG152,AE152*-1,1,Holidays[Date]))</f>
        <v/>
      </c>
      <c r="AC152" s="77" t="str">
        <f ca="1">IFERROR(IF(AD152="",WORKDAY.INTL(X152,AA152,1,Holidays[Date]),AD152),"")</f>
        <v/>
      </c>
      <c r="AD152" s="78"/>
      <c r="AE152" s="80"/>
      <c r="AF152" s="68"/>
      <c r="AG152" s="77" t="str">
        <f>IF(AL152="","",WORKDAY.INTL(AL152,AJ152*-1,1,Holidays[Date]))</f>
        <v/>
      </c>
      <c r="AH152" s="77" t="str">
        <f ca="1">IFERROR(IF(AI152="",WORKDAY.INTL(AC152,AF152,1,Holidays[Date]),AI152),"")</f>
        <v/>
      </c>
      <c r="AI152" s="78"/>
      <c r="AJ152" s="80"/>
      <c r="AK152" s="68"/>
      <c r="AL152" s="77" t="str">
        <f>IF(AQ152="","",WORKDAY.INTL(AQ152,AO152*-1,1,Holidays[Date]))</f>
        <v/>
      </c>
      <c r="AM152" s="77" t="str">
        <f ca="1">IFERROR(IF(AN152="",WORKDAY.INTL(AH152,AK152,1,Holidays[Date]),AN152),"")</f>
        <v/>
      </c>
      <c r="AN152" s="78"/>
      <c r="AO152" s="80"/>
      <c r="AP152" s="68"/>
      <c r="AQ152" s="77" t="str">
        <f>IF(AV152="","",WORKDAY.INTL(AV152,AT152*-1,1,Holidays[Date]))</f>
        <v/>
      </c>
      <c r="AR152" s="77" t="str">
        <f ca="1">IFERROR(IF(AS152="",WORKDAY.INTL(AM152,AP152,1,Holidays[Date]),AS152),"")</f>
        <v/>
      </c>
      <c r="AS152" s="78"/>
      <c r="AT152" s="80"/>
      <c r="AU152" s="68"/>
      <c r="AV152" s="77" t="str">
        <f>IF(BA152="","",WORKDAY.INTL(BA152,AY152*-1,1,Holidays[Date]))</f>
        <v/>
      </c>
      <c r="AW152" s="77" t="str">
        <f ca="1">IFERROR(IF(AX152="",WORKDAY.INTL(AR152,AU152,1,Holidays[Date]),AX152),"")</f>
        <v/>
      </c>
      <c r="AX152" s="78"/>
      <c r="AY152" s="80"/>
      <c r="AZ152" s="68"/>
      <c r="BA152" s="77" t="str">
        <f>IF(BF152="","",WORKDAY.INTL(BF152,BD152*-1,1,Holidays[Date]))</f>
        <v/>
      </c>
      <c r="BB152" s="77" t="str">
        <f ca="1">IFERROR(IF(BC152="",WORKDAY.INTL(AW152,AZ152,1,Holidays[Date]),BC152),"")</f>
        <v/>
      </c>
      <c r="BC152" s="78"/>
      <c r="BD152" s="80"/>
      <c r="BE152" s="68"/>
      <c r="BF152" s="77" t="str">
        <f>IF(BK152="","",WORKDAY.INTL(BK152,BI152*-1,1,Holidays[Date]))</f>
        <v/>
      </c>
      <c r="BG152" s="77" t="str">
        <f ca="1">IFERROR(IF(BH152="",WORKDAY.INTL(BB152,BE152,1,Holidays[Date]),BH152),"")</f>
        <v/>
      </c>
      <c r="BH152" s="78"/>
      <c r="BI152" s="80"/>
      <c r="BJ152" s="68"/>
      <c r="BK152" s="77" t="str">
        <f>IF(BP152="","",WORKDAY.INTL(BP152,BN152*-1,1,Holidays[Date]))</f>
        <v/>
      </c>
      <c r="BL152" s="77" t="str">
        <f ca="1">IFERROR(IF(BM152="",WORKDAY.INTL(BG152,BJ152,1,Holidays[Date]),BM152),"")</f>
        <v/>
      </c>
      <c r="BM152" s="78"/>
      <c r="BN152" s="80"/>
      <c r="BO152" s="68"/>
      <c r="BP152" s="77" t="str">
        <f>IF(BU152="","",WORKDAY.INTL(BU152,BS152*-1,1,Holidays[Date]))</f>
        <v/>
      </c>
      <c r="BQ152" s="77" t="str">
        <f ca="1">IFERROR(IF(BR152="",WORKDAY.INTL(BL152,BO152,1,Holidays[Date]),BR152),"")</f>
        <v/>
      </c>
      <c r="BR152" s="78"/>
      <c r="BS152" s="80"/>
      <c r="BT152" s="68"/>
      <c r="BU152" s="77" t="str">
        <f>IF(BZ152="","",WORKDAY.INTL(BZ152,BX152*-1,1,Holidays[Date]))</f>
        <v/>
      </c>
      <c r="BV152" s="77" t="str">
        <f ca="1">IFERROR(IF(BW152="",WORKDAY.INTL(BQ152,BT152,1,Holidays[Date]),BW152),"")</f>
        <v/>
      </c>
      <c r="BW152" s="78"/>
      <c r="BX152" s="80"/>
      <c r="BY152" s="68"/>
      <c r="BZ152" s="81"/>
      <c r="CA152" s="77" t="str">
        <f ca="1">IFERROR(IF(CB152="",WORKDAY.INTL(BV152,BY152,1,Holidays[Date]),CB152),"")</f>
        <v/>
      </c>
      <c r="CB152" s="78"/>
    </row>
    <row r="153" spans="1:80" ht="19" customHeight="1" x14ac:dyDescent="0.35">
      <c r="A153" s="31"/>
      <c r="B153" s="82"/>
      <c r="C153" s="1"/>
      <c r="D153" s="8"/>
      <c r="E153" s="8"/>
      <c r="F153" s="8"/>
      <c r="G153" s="8"/>
      <c r="H153" s="8"/>
      <c r="I153" s="9"/>
      <c r="J153" s="8"/>
      <c r="K153" s="8"/>
      <c r="L153" s="8"/>
      <c r="M153" s="8"/>
      <c r="N153" s="8"/>
      <c r="O153" s="8"/>
      <c r="P153" s="8"/>
      <c r="Q153" s="2"/>
      <c r="R153" s="2"/>
      <c r="S153" s="88" t="str">
        <f>IF(tblProcRegister[[#This Row],[Award]]&lt;&gt;"",tblProcRegister[[#This Row],[Budget]]-tblProcRegister[[#This Row],[Award]],"")</f>
        <v/>
      </c>
      <c r="T153" s="68"/>
      <c r="U153" s="68"/>
      <c r="V153" s="68"/>
      <c r="W153" s="77" t="str">
        <f>IF(AB153="","",WORKDAY.INTL(AB153,Z153*-1,1,Holidays[Date]))</f>
        <v/>
      </c>
      <c r="X153" s="77" t="str">
        <f t="shared" ca="1" si="2"/>
        <v/>
      </c>
      <c r="Y153" s="78"/>
      <c r="Z153" s="79"/>
      <c r="AA153" s="68"/>
      <c r="AB153" s="77" t="str">
        <f>IF(AG153="","",WORKDAY.INTL(AG153,AE153*-1,1,Holidays[Date]))</f>
        <v/>
      </c>
      <c r="AC153" s="77" t="str">
        <f ca="1">IFERROR(IF(AD153="",WORKDAY.INTL(X153,AA153,1,Holidays[Date]),AD153),"")</f>
        <v/>
      </c>
      <c r="AD153" s="78"/>
      <c r="AE153" s="80"/>
      <c r="AF153" s="68"/>
      <c r="AG153" s="77" t="str">
        <f>IF(AL153="","",WORKDAY.INTL(AL153,AJ153*-1,1,Holidays[Date]))</f>
        <v/>
      </c>
      <c r="AH153" s="77" t="str">
        <f ca="1">IFERROR(IF(AI153="",WORKDAY.INTL(AC153,AF153,1,Holidays[Date]),AI153),"")</f>
        <v/>
      </c>
      <c r="AI153" s="78"/>
      <c r="AJ153" s="80"/>
      <c r="AK153" s="68"/>
      <c r="AL153" s="77" t="str">
        <f>IF(AQ153="","",WORKDAY.INTL(AQ153,AO153*-1,1,Holidays[Date]))</f>
        <v/>
      </c>
      <c r="AM153" s="77" t="str">
        <f ca="1">IFERROR(IF(AN153="",WORKDAY.INTL(AH153,AK153,1,Holidays[Date]),AN153),"")</f>
        <v/>
      </c>
      <c r="AN153" s="78"/>
      <c r="AO153" s="80"/>
      <c r="AP153" s="68"/>
      <c r="AQ153" s="77" t="str">
        <f>IF(AV153="","",WORKDAY.INTL(AV153,AT153*-1,1,Holidays[Date]))</f>
        <v/>
      </c>
      <c r="AR153" s="77" t="str">
        <f ca="1">IFERROR(IF(AS153="",WORKDAY.INTL(AM153,AP153,1,Holidays[Date]),AS153),"")</f>
        <v/>
      </c>
      <c r="AS153" s="78"/>
      <c r="AT153" s="80"/>
      <c r="AU153" s="68"/>
      <c r="AV153" s="77" t="str">
        <f>IF(BA153="","",WORKDAY.INTL(BA153,AY153*-1,1,Holidays[Date]))</f>
        <v/>
      </c>
      <c r="AW153" s="77" t="str">
        <f ca="1">IFERROR(IF(AX153="",WORKDAY.INTL(AR153,AU153,1,Holidays[Date]),AX153),"")</f>
        <v/>
      </c>
      <c r="AX153" s="78"/>
      <c r="AY153" s="80"/>
      <c r="AZ153" s="68"/>
      <c r="BA153" s="77" t="str">
        <f>IF(BF153="","",WORKDAY.INTL(BF153,BD153*-1,1,Holidays[Date]))</f>
        <v/>
      </c>
      <c r="BB153" s="77" t="str">
        <f ca="1">IFERROR(IF(BC153="",WORKDAY.INTL(AW153,AZ153,1,Holidays[Date]),BC153),"")</f>
        <v/>
      </c>
      <c r="BC153" s="78"/>
      <c r="BD153" s="80"/>
      <c r="BE153" s="68"/>
      <c r="BF153" s="77" t="str">
        <f>IF(BK153="","",WORKDAY.INTL(BK153,BI153*-1,1,Holidays[Date]))</f>
        <v/>
      </c>
      <c r="BG153" s="77" t="str">
        <f ca="1">IFERROR(IF(BH153="",WORKDAY.INTL(BB153,BE153,1,Holidays[Date]),BH153),"")</f>
        <v/>
      </c>
      <c r="BH153" s="78"/>
      <c r="BI153" s="80"/>
      <c r="BJ153" s="68"/>
      <c r="BK153" s="77" t="str">
        <f>IF(BP153="","",WORKDAY.INTL(BP153,BN153*-1,1,Holidays[Date]))</f>
        <v/>
      </c>
      <c r="BL153" s="77" t="str">
        <f ca="1">IFERROR(IF(BM153="",WORKDAY.INTL(BG153,BJ153,1,Holidays[Date]),BM153),"")</f>
        <v/>
      </c>
      <c r="BM153" s="78"/>
      <c r="BN153" s="80"/>
      <c r="BO153" s="68"/>
      <c r="BP153" s="77" t="str">
        <f>IF(BU153="","",WORKDAY.INTL(BU153,BS153*-1,1,Holidays[Date]))</f>
        <v/>
      </c>
      <c r="BQ153" s="77" t="str">
        <f ca="1">IFERROR(IF(BR153="",WORKDAY.INTL(BL153,BO153,1,Holidays[Date]),BR153),"")</f>
        <v/>
      </c>
      <c r="BR153" s="78"/>
      <c r="BS153" s="80"/>
      <c r="BT153" s="68"/>
      <c r="BU153" s="77" t="str">
        <f>IF(BZ153="","",WORKDAY.INTL(BZ153,BX153*-1,1,Holidays[Date]))</f>
        <v/>
      </c>
      <c r="BV153" s="77" t="str">
        <f ca="1">IFERROR(IF(BW153="",WORKDAY.INTL(BQ153,BT153,1,Holidays[Date]),BW153),"")</f>
        <v/>
      </c>
      <c r="BW153" s="78"/>
      <c r="BX153" s="80"/>
      <c r="BY153" s="68"/>
      <c r="BZ153" s="81"/>
      <c r="CA153" s="77" t="str">
        <f ca="1">IFERROR(IF(CB153="",WORKDAY.INTL(BV153,BY153,1,Holidays[Date]),CB153),"")</f>
        <v/>
      </c>
      <c r="CB153" s="78"/>
    </row>
    <row r="154" spans="1:80" ht="19" customHeight="1" x14ac:dyDescent="0.35">
      <c r="A154" s="31"/>
      <c r="B154" s="82"/>
      <c r="C154" s="1"/>
      <c r="D154" s="8"/>
      <c r="E154" s="8"/>
      <c r="F154" s="8"/>
      <c r="G154" s="8"/>
      <c r="H154" s="8"/>
      <c r="I154" s="9"/>
      <c r="J154" s="8"/>
      <c r="K154" s="8"/>
      <c r="L154" s="8"/>
      <c r="M154" s="8"/>
      <c r="N154" s="8"/>
      <c r="O154" s="8"/>
      <c r="P154" s="8"/>
      <c r="Q154" s="2"/>
      <c r="R154" s="2"/>
      <c r="S154" s="88" t="str">
        <f>IF(tblProcRegister[[#This Row],[Award]]&lt;&gt;"",tblProcRegister[[#This Row],[Budget]]-tblProcRegister[[#This Row],[Award]],"")</f>
        <v/>
      </c>
      <c r="T154" s="68"/>
      <c r="U154" s="68"/>
      <c r="V154" s="68"/>
      <c r="W154" s="77" t="str">
        <f>IF(AB154="","",WORKDAY.INTL(AB154,Z154*-1,1,Holidays[Date]))</f>
        <v/>
      </c>
      <c r="X154" s="77" t="str">
        <f t="shared" ca="1" si="2"/>
        <v/>
      </c>
      <c r="Y154" s="78"/>
      <c r="Z154" s="79"/>
      <c r="AA154" s="68"/>
      <c r="AB154" s="77" t="str">
        <f>IF(AG154="","",WORKDAY.INTL(AG154,AE154*-1,1,Holidays[Date]))</f>
        <v/>
      </c>
      <c r="AC154" s="77" t="str">
        <f ca="1">IFERROR(IF(AD154="",WORKDAY.INTL(X154,AA154,1,Holidays[Date]),AD154),"")</f>
        <v/>
      </c>
      <c r="AD154" s="78"/>
      <c r="AE154" s="80"/>
      <c r="AF154" s="68"/>
      <c r="AG154" s="77" t="str">
        <f>IF(AL154="","",WORKDAY.INTL(AL154,AJ154*-1,1,Holidays[Date]))</f>
        <v/>
      </c>
      <c r="AH154" s="77" t="str">
        <f ca="1">IFERROR(IF(AI154="",WORKDAY.INTL(AC154,AF154,1,Holidays[Date]),AI154),"")</f>
        <v/>
      </c>
      <c r="AI154" s="78"/>
      <c r="AJ154" s="80"/>
      <c r="AK154" s="68"/>
      <c r="AL154" s="77" t="str">
        <f>IF(AQ154="","",WORKDAY.INTL(AQ154,AO154*-1,1,Holidays[Date]))</f>
        <v/>
      </c>
      <c r="AM154" s="77" t="str">
        <f ca="1">IFERROR(IF(AN154="",WORKDAY.INTL(AH154,AK154,1,Holidays[Date]),AN154),"")</f>
        <v/>
      </c>
      <c r="AN154" s="78"/>
      <c r="AO154" s="80"/>
      <c r="AP154" s="68"/>
      <c r="AQ154" s="77" t="str">
        <f>IF(AV154="","",WORKDAY.INTL(AV154,AT154*-1,1,Holidays[Date]))</f>
        <v/>
      </c>
      <c r="AR154" s="77" t="str">
        <f ca="1">IFERROR(IF(AS154="",WORKDAY.INTL(AM154,AP154,1,Holidays[Date]),AS154),"")</f>
        <v/>
      </c>
      <c r="AS154" s="78"/>
      <c r="AT154" s="80"/>
      <c r="AU154" s="68"/>
      <c r="AV154" s="77" t="str">
        <f>IF(BA154="","",WORKDAY.INTL(BA154,AY154*-1,1,Holidays[Date]))</f>
        <v/>
      </c>
      <c r="AW154" s="77" t="str">
        <f ca="1">IFERROR(IF(AX154="",WORKDAY.INTL(AR154,AU154,1,Holidays[Date]),AX154),"")</f>
        <v/>
      </c>
      <c r="AX154" s="78"/>
      <c r="AY154" s="80"/>
      <c r="AZ154" s="68"/>
      <c r="BA154" s="77" t="str">
        <f>IF(BF154="","",WORKDAY.INTL(BF154,BD154*-1,1,Holidays[Date]))</f>
        <v/>
      </c>
      <c r="BB154" s="77" t="str">
        <f ca="1">IFERROR(IF(BC154="",WORKDAY.INTL(AW154,AZ154,1,Holidays[Date]),BC154),"")</f>
        <v/>
      </c>
      <c r="BC154" s="78"/>
      <c r="BD154" s="80"/>
      <c r="BE154" s="68"/>
      <c r="BF154" s="77" t="str">
        <f>IF(BK154="","",WORKDAY.INTL(BK154,BI154*-1,1,Holidays[Date]))</f>
        <v/>
      </c>
      <c r="BG154" s="77" t="str">
        <f ca="1">IFERROR(IF(BH154="",WORKDAY.INTL(BB154,BE154,1,Holidays[Date]),BH154),"")</f>
        <v/>
      </c>
      <c r="BH154" s="78"/>
      <c r="BI154" s="80"/>
      <c r="BJ154" s="68"/>
      <c r="BK154" s="77" t="str">
        <f>IF(BP154="","",WORKDAY.INTL(BP154,BN154*-1,1,Holidays[Date]))</f>
        <v/>
      </c>
      <c r="BL154" s="77" t="str">
        <f ca="1">IFERROR(IF(BM154="",WORKDAY.INTL(BG154,BJ154,1,Holidays[Date]),BM154),"")</f>
        <v/>
      </c>
      <c r="BM154" s="78"/>
      <c r="BN154" s="80"/>
      <c r="BO154" s="68"/>
      <c r="BP154" s="77" t="str">
        <f>IF(BU154="","",WORKDAY.INTL(BU154,BS154*-1,1,Holidays[Date]))</f>
        <v/>
      </c>
      <c r="BQ154" s="77" t="str">
        <f ca="1">IFERROR(IF(BR154="",WORKDAY.INTL(BL154,BO154,1,Holidays[Date]),BR154),"")</f>
        <v/>
      </c>
      <c r="BR154" s="78"/>
      <c r="BS154" s="80"/>
      <c r="BT154" s="68"/>
      <c r="BU154" s="77" t="str">
        <f>IF(BZ154="","",WORKDAY.INTL(BZ154,BX154*-1,1,Holidays[Date]))</f>
        <v/>
      </c>
      <c r="BV154" s="77" t="str">
        <f ca="1">IFERROR(IF(BW154="",WORKDAY.INTL(BQ154,BT154,1,Holidays[Date]),BW154),"")</f>
        <v/>
      </c>
      <c r="BW154" s="78"/>
      <c r="BX154" s="80"/>
      <c r="BY154" s="68"/>
      <c r="BZ154" s="81"/>
      <c r="CA154" s="77" t="str">
        <f ca="1">IFERROR(IF(CB154="",WORKDAY.INTL(BV154,BY154,1,Holidays[Date]),CB154),"")</f>
        <v/>
      </c>
      <c r="CB154" s="78"/>
    </row>
    <row r="155" spans="1:80" ht="19" customHeight="1" x14ac:dyDescent="0.35">
      <c r="A155" s="31"/>
      <c r="B155" s="82"/>
      <c r="C155" s="1"/>
      <c r="D155" s="8"/>
      <c r="E155" s="8"/>
      <c r="F155" s="8"/>
      <c r="G155" s="8"/>
      <c r="H155" s="8"/>
      <c r="I155" s="9"/>
      <c r="J155" s="8"/>
      <c r="K155" s="8"/>
      <c r="L155" s="8"/>
      <c r="M155" s="8"/>
      <c r="N155" s="8"/>
      <c r="O155" s="8"/>
      <c r="P155" s="8"/>
      <c r="Q155" s="2"/>
      <c r="R155" s="2"/>
      <c r="S155" s="88" t="str">
        <f>IF(tblProcRegister[[#This Row],[Award]]&lt;&gt;"",tblProcRegister[[#This Row],[Budget]]-tblProcRegister[[#This Row],[Award]],"")</f>
        <v/>
      </c>
      <c r="T155" s="68"/>
      <c r="U155" s="68"/>
      <c r="V155" s="68"/>
      <c r="W155" s="77" t="str">
        <f>IF(AB155="","",WORKDAY.INTL(AB155,Z155*-1,1,Holidays[Date]))</f>
        <v/>
      </c>
      <c r="X155" s="77" t="str">
        <f t="shared" ca="1" si="2"/>
        <v/>
      </c>
      <c r="Y155" s="78"/>
      <c r="Z155" s="79"/>
      <c r="AA155" s="68"/>
      <c r="AB155" s="77" t="str">
        <f>IF(AG155="","",WORKDAY.INTL(AG155,AE155*-1,1,Holidays[Date]))</f>
        <v/>
      </c>
      <c r="AC155" s="77" t="str">
        <f ca="1">IFERROR(IF(AD155="",WORKDAY.INTL(X155,AA155,1,Holidays[Date]),AD155),"")</f>
        <v/>
      </c>
      <c r="AD155" s="78"/>
      <c r="AE155" s="80"/>
      <c r="AF155" s="68"/>
      <c r="AG155" s="77" t="str">
        <f>IF(AL155="","",WORKDAY.INTL(AL155,AJ155*-1,1,Holidays[Date]))</f>
        <v/>
      </c>
      <c r="AH155" s="77" t="str">
        <f ca="1">IFERROR(IF(AI155="",WORKDAY.INTL(AC155,AF155,1,Holidays[Date]),AI155),"")</f>
        <v/>
      </c>
      <c r="AI155" s="78"/>
      <c r="AJ155" s="80"/>
      <c r="AK155" s="68"/>
      <c r="AL155" s="77" t="str">
        <f>IF(AQ155="","",WORKDAY.INTL(AQ155,AO155*-1,1,Holidays[Date]))</f>
        <v/>
      </c>
      <c r="AM155" s="77" t="str">
        <f ca="1">IFERROR(IF(AN155="",WORKDAY.INTL(AH155,AK155,1,Holidays[Date]),AN155),"")</f>
        <v/>
      </c>
      <c r="AN155" s="78"/>
      <c r="AO155" s="80"/>
      <c r="AP155" s="68"/>
      <c r="AQ155" s="77" t="str">
        <f>IF(AV155="","",WORKDAY.INTL(AV155,AT155*-1,1,Holidays[Date]))</f>
        <v/>
      </c>
      <c r="AR155" s="77" t="str">
        <f ca="1">IFERROR(IF(AS155="",WORKDAY.INTL(AM155,AP155,1,Holidays[Date]),AS155),"")</f>
        <v/>
      </c>
      <c r="AS155" s="78"/>
      <c r="AT155" s="80"/>
      <c r="AU155" s="68"/>
      <c r="AV155" s="77" t="str">
        <f>IF(BA155="","",WORKDAY.INTL(BA155,AY155*-1,1,Holidays[Date]))</f>
        <v/>
      </c>
      <c r="AW155" s="77" t="str">
        <f ca="1">IFERROR(IF(AX155="",WORKDAY.INTL(AR155,AU155,1,Holidays[Date]),AX155),"")</f>
        <v/>
      </c>
      <c r="AX155" s="78"/>
      <c r="AY155" s="80"/>
      <c r="AZ155" s="68"/>
      <c r="BA155" s="77" t="str">
        <f>IF(BF155="","",WORKDAY.INTL(BF155,BD155*-1,1,Holidays[Date]))</f>
        <v/>
      </c>
      <c r="BB155" s="77" t="str">
        <f ca="1">IFERROR(IF(BC155="",WORKDAY.INTL(AW155,AZ155,1,Holidays[Date]),BC155),"")</f>
        <v/>
      </c>
      <c r="BC155" s="78"/>
      <c r="BD155" s="80"/>
      <c r="BE155" s="68"/>
      <c r="BF155" s="77" t="str">
        <f>IF(BK155="","",WORKDAY.INTL(BK155,BI155*-1,1,Holidays[Date]))</f>
        <v/>
      </c>
      <c r="BG155" s="77" t="str">
        <f ca="1">IFERROR(IF(BH155="",WORKDAY.INTL(BB155,BE155,1,Holidays[Date]),BH155),"")</f>
        <v/>
      </c>
      <c r="BH155" s="78"/>
      <c r="BI155" s="80"/>
      <c r="BJ155" s="68"/>
      <c r="BK155" s="77" t="str">
        <f>IF(BP155="","",WORKDAY.INTL(BP155,BN155*-1,1,Holidays[Date]))</f>
        <v/>
      </c>
      <c r="BL155" s="77" t="str">
        <f ca="1">IFERROR(IF(BM155="",WORKDAY.INTL(BG155,BJ155,1,Holidays[Date]),BM155),"")</f>
        <v/>
      </c>
      <c r="BM155" s="78"/>
      <c r="BN155" s="80"/>
      <c r="BO155" s="68"/>
      <c r="BP155" s="77" t="str">
        <f>IF(BU155="","",WORKDAY.INTL(BU155,BS155*-1,1,Holidays[Date]))</f>
        <v/>
      </c>
      <c r="BQ155" s="77" t="str">
        <f ca="1">IFERROR(IF(BR155="",WORKDAY.INTL(BL155,BO155,1,Holidays[Date]),BR155),"")</f>
        <v/>
      </c>
      <c r="BR155" s="78"/>
      <c r="BS155" s="80"/>
      <c r="BT155" s="68"/>
      <c r="BU155" s="77" t="str">
        <f>IF(BZ155="","",WORKDAY.INTL(BZ155,BX155*-1,1,Holidays[Date]))</f>
        <v/>
      </c>
      <c r="BV155" s="77" t="str">
        <f ca="1">IFERROR(IF(BW155="",WORKDAY.INTL(BQ155,BT155,1,Holidays[Date]),BW155),"")</f>
        <v/>
      </c>
      <c r="BW155" s="78"/>
      <c r="BX155" s="80"/>
      <c r="BY155" s="68"/>
      <c r="BZ155" s="81"/>
      <c r="CA155" s="77" t="str">
        <f ca="1">IFERROR(IF(CB155="",WORKDAY.INTL(BV155,BY155,1,Holidays[Date]),CB155),"")</f>
        <v/>
      </c>
      <c r="CB155" s="78"/>
    </row>
    <row r="156" spans="1:80" ht="19" customHeight="1" x14ac:dyDescent="0.35">
      <c r="A156" s="31"/>
      <c r="B156" s="82"/>
      <c r="C156" s="1"/>
      <c r="D156" s="8"/>
      <c r="E156" s="8"/>
      <c r="F156" s="8"/>
      <c r="G156" s="8"/>
      <c r="H156" s="8"/>
      <c r="I156" s="9"/>
      <c r="J156" s="8"/>
      <c r="K156" s="8"/>
      <c r="L156" s="8"/>
      <c r="M156" s="8"/>
      <c r="N156" s="8"/>
      <c r="O156" s="8"/>
      <c r="P156" s="8"/>
      <c r="Q156" s="2"/>
      <c r="R156" s="2"/>
      <c r="S156" s="88" t="str">
        <f>IF(tblProcRegister[[#This Row],[Award]]&lt;&gt;"",tblProcRegister[[#This Row],[Budget]]-tblProcRegister[[#This Row],[Award]],"")</f>
        <v/>
      </c>
      <c r="T156" s="68"/>
      <c r="U156" s="68"/>
      <c r="V156" s="68"/>
      <c r="W156" s="77" t="str">
        <f>IF(AB156="","",WORKDAY.INTL(AB156,Z156*-1,1,Holidays[Date]))</f>
        <v/>
      </c>
      <c r="X156" s="77" t="str">
        <f t="shared" ca="1" si="2"/>
        <v/>
      </c>
      <c r="Y156" s="78"/>
      <c r="Z156" s="79"/>
      <c r="AA156" s="68"/>
      <c r="AB156" s="77" t="str">
        <f>IF(AG156="","",WORKDAY.INTL(AG156,AE156*-1,1,Holidays[Date]))</f>
        <v/>
      </c>
      <c r="AC156" s="77" t="str">
        <f ca="1">IFERROR(IF(AD156="",WORKDAY.INTL(X156,AA156,1,Holidays[Date]),AD156),"")</f>
        <v/>
      </c>
      <c r="AD156" s="78"/>
      <c r="AE156" s="80"/>
      <c r="AF156" s="68"/>
      <c r="AG156" s="77" t="str">
        <f>IF(AL156="","",WORKDAY.INTL(AL156,AJ156*-1,1,Holidays[Date]))</f>
        <v/>
      </c>
      <c r="AH156" s="77" t="str">
        <f ca="1">IFERROR(IF(AI156="",WORKDAY.INTL(AC156,AF156,1,Holidays[Date]),AI156),"")</f>
        <v/>
      </c>
      <c r="AI156" s="78"/>
      <c r="AJ156" s="80"/>
      <c r="AK156" s="68"/>
      <c r="AL156" s="77" t="str">
        <f>IF(AQ156="","",WORKDAY.INTL(AQ156,AO156*-1,1,Holidays[Date]))</f>
        <v/>
      </c>
      <c r="AM156" s="77" t="str">
        <f ca="1">IFERROR(IF(AN156="",WORKDAY.INTL(AH156,AK156,1,Holidays[Date]),AN156),"")</f>
        <v/>
      </c>
      <c r="AN156" s="78"/>
      <c r="AO156" s="80"/>
      <c r="AP156" s="68"/>
      <c r="AQ156" s="77" t="str">
        <f>IF(AV156="","",WORKDAY.INTL(AV156,AT156*-1,1,Holidays[Date]))</f>
        <v/>
      </c>
      <c r="AR156" s="77" t="str">
        <f ca="1">IFERROR(IF(AS156="",WORKDAY.INTL(AM156,AP156,1,Holidays[Date]),AS156),"")</f>
        <v/>
      </c>
      <c r="AS156" s="78"/>
      <c r="AT156" s="80"/>
      <c r="AU156" s="68"/>
      <c r="AV156" s="77" t="str">
        <f>IF(BA156="","",WORKDAY.INTL(BA156,AY156*-1,1,Holidays[Date]))</f>
        <v/>
      </c>
      <c r="AW156" s="77" t="str">
        <f ca="1">IFERROR(IF(AX156="",WORKDAY.INTL(AR156,AU156,1,Holidays[Date]),AX156),"")</f>
        <v/>
      </c>
      <c r="AX156" s="78"/>
      <c r="AY156" s="80"/>
      <c r="AZ156" s="68"/>
      <c r="BA156" s="77" t="str">
        <f>IF(BF156="","",WORKDAY.INTL(BF156,BD156*-1,1,Holidays[Date]))</f>
        <v/>
      </c>
      <c r="BB156" s="77" t="str">
        <f ca="1">IFERROR(IF(BC156="",WORKDAY.INTL(AW156,AZ156,1,Holidays[Date]),BC156),"")</f>
        <v/>
      </c>
      <c r="BC156" s="78"/>
      <c r="BD156" s="80"/>
      <c r="BE156" s="68"/>
      <c r="BF156" s="77" t="str">
        <f>IF(BK156="","",WORKDAY.INTL(BK156,BI156*-1,1,Holidays[Date]))</f>
        <v/>
      </c>
      <c r="BG156" s="77" t="str">
        <f ca="1">IFERROR(IF(BH156="",WORKDAY.INTL(BB156,BE156,1,Holidays[Date]),BH156),"")</f>
        <v/>
      </c>
      <c r="BH156" s="78"/>
      <c r="BI156" s="80"/>
      <c r="BJ156" s="68"/>
      <c r="BK156" s="77" t="str">
        <f>IF(BP156="","",WORKDAY.INTL(BP156,BN156*-1,1,Holidays[Date]))</f>
        <v/>
      </c>
      <c r="BL156" s="77" t="str">
        <f ca="1">IFERROR(IF(BM156="",WORKDAY.INTL(BG156,BJ156,1,Holidays[Date]),BM156),"")</f>
        <v/>
      </c>
      <c r="BM156" s="78"/>
      <c r="BN156" s="80"/>
      <c r="BO156" s="68"/>
      <c r="BP156" s="77" t="str">
        <f>IF(BU156="","",WORKDAY.INTL(BU156,BS156*-1,1,Holidays[Date]))</f>
        <v/>
      </c>
      <c r="BQ156" s="77" t="str">
        <f ca="1">IFERROR(IF(BR156="",WORKDAY.INTL(BL156,BO156,1,Holidays[Date]),BR156),"")</f>
        <v/>
      </c>
      <c r="BR156" s="78"/>
      <c r="BS156" s="80"/>
      <c r="BT156" s="68"/>
      <c r="BU156" s="77" t="str">
        <f>IF(BZ156="","",WORKDAY.INTL(BZ156,BX156*-1,1,Holidays[Date]))</f>
        <v/>
      </c>
      <c r="BV156" s="77" t="str">
        <f ca="1">IFERROR(IF(BW156="",WORKDAY.INTL(BQ156,BT156,1,Holidays[Date]),BW156),"")</f>
        <v/>
      </c>
      <c r="BW156" s="78"/>
      <c r="BX156" s="80"/>
      <c r="BY156" s="68"/>
      <c r="BZ156" s="81"/>
      <c r="CA156" s="77" t="str">
        <f ca="1">IFERROR(IF(CB156="",WORKDAY.INTL(BV156,BY156,1,Holidays[Date]),CB156),"")</f>
        <v/>
      </c>
      <c r="CB156" s="78"/>
    </row>
    <row r="157" spans="1:80" ht="19" customHeight="1" x14ac:dyDescent="0.35">
      <c r="A157" s="31"/>
      <c r="B157" s="82"/>
      <c r="C157" s="1"/>
      <c r="D157" s="8"/>
      <c r="E157" s="8"/>
      <c r="F157" s="8"/>
      <c r="G157" s="8"/>
      <c r="H157" s="8"/>
      <c r="I157" s="9"/>
      <c r="J157" s="8"/>
      <c r="K157" s="8"/>
      <c r="L157" s="8"/>
      <c r="M157" s="8"/>
      <c r="N157" s="8"/>
      <c r="O157" s="8"/>
      <c r="P157" s="8"/>
      <c r="Q157" s="2"/>
      <c r="R157" s="2"/>
      <c r="S157" s="88" t="str">
        <f>IF(tblProcRegister[[#This Row],[Award]]&lt;&gt;"",tblProcRegister[[#This Row],[Budget]]-tblProcRegister[[#This Row],[Award]],"")</f>
        <v/>
      </c>
      <c r="T157" s="68"/>
      <c r="U157" s="68"/>
      <c r="V157" s="68"/>
      <c r="W157" s="77" t="str">
        <f>IF(AB157="","",WORKDAY.INTL(AB157,Z157*-1,1,Holidays[Date]))</f>
        <v/>
      </c>
      <c r="X157" s="77" t="str">
        <f t="shared" ca="1" si="2"/>
        <v/>
      </c>
      <c r="Y157" s="78"/>
      <c r="Z157" s="79"/>
      <c r="AA157" s="68"/>
      <c r="AB157" s="77" t="str">
        <f>IF(AG157="","",WORKDAY.INTL(AG157,AE157*-1,1,Holidays[Date]))</f>
        <v/>
      </c>
      <c r="AC157" s="77" t="str">
        <f ca="1">IFERROR(IF(AD157="",WORKDAY.INTL(X157,AA157,1,Holidays[Date]),AD157),"")</f>
        <v/>
      </c>
      <c r="AD157" s="78"/>
      <c r="AE157" s="80"/>
      <c r="AF157" s="68"/>
      <c r="AG157" s="77" t="str">
        <f>IF(AL157="","",WORKDAY.INTL(AL157,AJ157*-1,1,Holidays[Date]))</f>
        <v/>
      </c>
      <c r="AH157" s="77" t="str">
        <f ca="1">IFERROR(IF(AI157="",WORKDAY.INTL(AC157,AF157,1,Holidays[Date]),AI157),"")</f>
        <v/>
      </c>
      <c r="AI157" s="78"/>
      <c r="AJ157" s="80"/>
      <c r="AK157" s="68"/>
      <c r="AL157" s="77" t="str">
        <f>IF(AQ157="","",WORKDAY.INTL(AQ157,AO157*-1,1,Holidays[Date]))</f>
        <v/>
      </c>
      <c r="AM157" s="77" t="str">
        <f ca="1">IFERROR(IF(AN157="",WORKDAY.INTL(AH157,AK157,1,Holidays[Date]),AN157),"")</f>
        <v/>
      </c>
      <c r="AN157" s="78"/>
      <c r="AO157" s="80"/>
      <c r="AP157" s="68"/>
      <c r="AQ157" s="77" t="str">
        <f>IF(AV157="","",WORKDAY.INTL(AV157,AT157*-1,1,Holidays[Date]))</f>
        <v/>
      </c>
      <c r="AR157" s="77" t="str">
        <f ca="1">IFERROR(IF(AS157="",WORKDAY.INTL(AM157,AP157,1,Holidays[Date]),AS157),"")</f>
        <v/>
      </c>
      <c r="AS157" s="78"/>
      <c r="AT157" s="80"/>
      <c r="AU157" s="68"/>
      <c r="AV157" s="77" t="str">
        <f>IF(BA157="","",WORKDAY.INTL(BA157,AY157*-1,1,Holidays[Date]))</f>
        <v/>
      </c>
      <c r="AW157" s="77" t="str">
        <f ca="1">IFERROR(IF(AX157="",WORKDAY.INTL(AR157,AU157,1,Holidays[Date]),AX157),"")</f>
        <v/>
      </c>
      <c r="AX157" s="78"/>
      <c r="AY157" s="80"/>
      <c r="AZ157" s="68"/>
      <c r="BA157" s="77" t="str">
        <f>IF(BF157="","",WORKDAY.INTL(BF157,BD157*-1,1,Holidays[Date]))</f>
        <v/>
      </c>
      <c r="BB157" s="77" t="str">
        <f ca="1">IFERROR(IF(BC157="",WORKDAY.INTL(AW157,AZ157,1,Holidays[Date]),BC157),"")</f>
        <v/>
      </c>
      <c r="BC157" s="78"/>
      <c r="BD157" s="80"/>
      <c r="BE157" s="68"/>
      <c r="BF157" s="77" t="str">
        <f>IF(BK157="","",WORKDAY.INTL(BK157,BI157*-1,1,Holidays[Date]))</f>
        <v/>
      </c>
      <c r="BG157" s="77" t="str">
        <f ca="1">IFERROR(IF(BH157="",WORKDAY.INTL(BB157,BE157,1,Holidays[Date]),BH157),"")</f>
        <v/>
      </c>
      <c r="BH157" s="78"/>
      <c r="BI157" s="80"/>
      <c r="BJ157" s="68"/>
      <c r="BK157" s="77" t="str">
        <f>IF(BP157="","",WORKDAY.INTL(BP157,BN157*-1,1,Holidays[Date]))</f>
        <v/>
      </c>
      <c r="BL157" s="77" t="str">
        <f ca="1">IFERROR(IF(BM157="",WORKDAY.INTL(BG157,BJ157,1,Holidays[Date]),BM157),"")</f>
        <v/>
      </c>
      <c r="BM157" s="78"/>
      <c r="BN157" s="80"/>
      <c r="BO157" s="68"/>
      <c r="BP157" s="77" t="str">
        <f>IF(BU157="","",WORKDAY.INTL(BU157,BS157*-1,1,Holidays[Date]))</f>
        <v/>
      </c>
      <c r="BQ157" s="77" t="str">
        <f ca="1">IFERROR(IF(BR157="",WORKDAY.INTL(BL157,BO157,1,Holidays[Date]),BR157),"")</f>
        <v/>
      </c>
      <c r="BR157" s="78"/>
      <c r="BS157" s="80"/>
      <c r="BT157" s="68"/>
      <c r="BU157" s="77" t="str">
        <f>IF(BZ157="","",WORKDAY.INTL(BZ157,BX157*-1,1,Holidays[Date]))</f>
        <v/>
      </c>
      <c r="BV157" s="77" t="str">
        <f ca="1">IFERROR(IF(BW157="",WORKDAY.INTL(BQ157,BT157,1,Holidays[Date]),BW157),"")</f>
        <v/>
      </c>
      <c r="BW157" s="78"/>
      <c r="BX157" s="80"/>
      <c r="BY157" s="68"/>
      <c r="BZ157" s="81"/>
      <c r="CA157" s="77" t="str">
        <f ca="1">IFERROR(IF(CB157="",WORKDAY.INTL(BV157,BY157,1,Holidays[Date]),CB157),"")</f>
        <v/>
      </c>
      <c r="CB157" s="78"/>
    </row>
    <row r="158" spans="1:80" ht="19" customHeight="1" x14ac:dyDescent="0.35">
      <c r="A158" s="31"/>
      <c r="B158" s="82"/>
      <c r="C158" s="1"/>
      <c r="D158" s="8"/>
      <c r="E158" s="8"/>
      <c r="F158" s="8"/>
      <c r="G158" s="8"/>
      <c r="H158" s="8"/>
      <c r="I158" s="9"/>
      <c r="J158" s="8"/>
      <c r="K158" s="8"/>
      <c r="L158" s="8"/>
      <c r="M158" s="8"/>
      <c r="N158" s="8"/>
      <c r="O158" s="8"/>
      <c r="P158" s="8"/>
      <c r="Q158" s="2"/>
      <c r="R158" s="2"/>
      <c r="S158" s="88" t="str">
        <f>IF(tblProcRegister[[#This Row],[Award]]&lt;&gt;"",tblProcRegister[[#This Row],[Budget]]-tblProcRegister[[#This Row],[Award]],"")</f>
        <v/>
      </c>
      <c r="T158" s="68"/>
      <c r="U158" s="68"/>
      <c r="V158" s="68"/>
      <c r="W158" s="77" t="str">
        <f>IF(AB158="","",WORKDAY.INTL(AB158,Z158*-1,1,Holidays[Date]))</f>
        <v/>
      </c>
      <c r="X158" s="77" t="str">
        <f t="shared" ca="1" si="2"/>
        <v/>
      </c>
      <c r="Y158" s="78"/>
      <c r="Z158" s="79"/>
      <c r="AA158" s="68"/>
      <c r="AB158" s="77" t="str">
        <f>IF(AG158="","",WORKDAY.INTL(AG158,AE158*-1,1,Holidays[Date]))</f>
        <v/>
      </c>
      <c r="AC158" s="77" t="str">
        <f ca="1">IFERROR(IF(AD158="",WORKDAY.INTL(X158,AA158,1,Holidays[Date]),AD158),"")</f>
        <v/>
      </c>
      <c r="AD158" s="78"/>
      <c r="AE158" s="80"/>
      <c r="AF158" s="68"/>
      <c r="AG158" s="77" t="str">
        <f>IF(AL158="","",WORKDAY.INTL(AL158,AJ158*-1,1,Holidays[Date]))</f>
        <v/>
      </c>
      <c r="AH158" s="77" t="str">
        <f ca="1">IFERROR(IF(AI158="",WORKDAY.INTL(AC158,AF158,1,Holidays[Date]),AI158),"")</f>
        <v/>
      </c>
      <c r="AI158" s="78"/>
      <c r="AJ158" s="80"/>
      <c r="AK158" s="68"/>
      <c r="AL158" s="77" t="str">
        <f>IF(AQ158="","",WORKDAY.INTL(AQ158,AO158*-1,1,Holidays[Date]))</f>
        <v/>
      </c>
      <c r="AM158" s="77" t="str">
        <f ca="1">IFERROR(IF(AN158="",WORKDAY.INTL(AH158,AK158,1,Holidays[Date]),AN158),"")</f>
        <v/>
      </c>
      <c r="AN158" s="78"/>
      <c r="AO158" s="80"/>
      <c r="AP158" s="68"/>
      <c r="AQ158" s="77" t="str">
        <f>IF(AV158="","",WORKDAY.INTL(AV158,AT158*-1,1,Holidays[Date]))</f>
        <v/>
      </c>
      <c r="AR158" s="77" t="str">
        <f ca="1">IFERROR(IF(AS158="",WORKDAY.INTL(AM158,AP158,1,Holidays[Date]),AS158),"")</f>
        <v/>
      </c>
      <c r="AS158" s="78"/>
      <c r="AT158" s="80"/>
      <c r="AU158" s="68"/>
      <c r="AV158" s="77" t="str">
        <f>IF(BA158="","",WORKDAY.INTL(BA158,AY158*-1,1,Holidays[Date]))</f>
        <v/>
      </c>
      <c r="AW158" s="77" t="str">
        <f ca="1">IFERROR(IF(AX158="",WORKDAY.INTL(AR158,AU158,1,Holidays[Date]),AX158),"")</f>
        <v/>
      </c>
      <c r="AX158" s="78"/>
      <c r="AY158" s="80"/>
      <c r="AZ158" s="68"/>
      <c r="BA158" s="77" t="str">
        <f>IF(BF158="","",WORKDAY.INTL(BF158,BD158*-1,1,Holidays[Date]))</f>
        <v/>
      </c>
      <c r="BB158" s="77" t="str">
        <f ca="1">IFERROR(IF(BC158="",WORKDAY.INTL(AW158,AZ158,1,Holidays[Date]),BC158),"")</f>
        <v/>
      </c>
      <c r="BC158" s="78"/>
      <c r="BD158" s="80"/>
      <c r="BE158" s="68"/>
      <c r="BF158" s="77" t="str">
        <f>IF(BK158="","",WORKDAY.INTL(BK158,BI158*-1,1,Holidays[Date]))</f>
        <v/>
      </c>
      <c r="BG158" s="77" t="str">
        <f ca="1">IFERROR(IF(BH158="",WORKDAY.INTL(BB158,BE158,1,Holidays[Date]),BH158),"")</f>
        <v/>
      </c>
      <c r="BH158" s="78"/>
      <c r="BI158" s="80"/>
      <c r="BJ158" s="68"/>
      <c r="BK158" s="77" t="str">
        <f>IF(BP158="","",WORKDAY.INTL(BP158,BN158*-1,1,Holidays[Date]))</f>
        <v/>
      </c>
      <c r="BL158" s="77" t="str">
        <f ca="1">IFERROR(IF(BM158="",WORKDAY.INTL(BG158,BJ158,1,Holidays[Date]),BM158),"")</f>
        <v/>
      </c>
      <c r="BM158" s="78"/>
      <c r="BN158" s="80"/>
      <c r="BO158" s="68"/>
      <c r="BP158" s="77" t="str">
        <f>IF(BU158="","",WORKDAY.INTL(BU158,BS158*-1,1,Holidays[Date]))</f>
        <v/>
      </c>
      <c r="BQ158" s="77" t="str">
        <f ca="1">IFERROR(IF(BR158="",WORKDAY.INTL(BL158,BO158,1,Holidays[Date]),BR158),"")</f>
        <v/>
      </c>
      <c r="BR158" s="78"/>
      <c r="BS158" s="80"/>
      <c r="BT158" s="68"/>
      <c r="BU158" s="77" t="str">
        <f>IF(BZ158="","",WORKDAY.INTL(BZ158,BX158*-1,1,Holidays[Date]))</f>
        <v/>
      </c>
      <c r="BV158" s="77" t="str">
        <f ca="1">IFERROR(IF(BW158="",WORKDAY.INTL(BQ158,BT158,1,Holidays[Date]),BW158),"")</f>
        <v/>
      </c>
      <c r="BW158" s="78"/>
      <c r="BX158" s="80"/>
      <c r="BY158" s="68"/>
      <c r="BZ158" s="81"/>
      <c r="CA158" s="77" t="str">
        <f ca="1">IFERROR(IF(CB158="",WORKDAY.INTL(BV158,BY158,1,Holidays[Date]),CB158),"")</f>
        <v/>
      </c>
      <c r="CB158" s="78"/>
    </row>
    <row r="159" spans="1:80" ht="19" customHeight="1" x14ac:dyDescent="0.35">
      <c r="A159" s="31"/>
      <c r="B159" s="82"/>
      <c r="C159" s="1"/>
      <c r="D159" s="8"/>
      <c r="E159" s="8"/>
      <c r="F159" s="8"/>
      <c r="G159" s="8"/>
      <c r="H159" s="8"/>
      <c r="I159" s="9"/>
      <c r="J159" s="8"/>
      <c r="K159" s="8"/>
      <c r="L159" s="8"/>
      <c r="M159" s="8"/>
      <c r="N159" s="8"/>
      <c r="O159" s="8"/>
      <c r="P159" s="8"/>
      <c r="Q159" s="2"/>
      <c r="R159" s="2"/>
      <c r="S159" s="88" t="str">
        <f>IF(tblProcRegister[[#This Row],[Award]]&lt;&gt;"",tblProcRegister[[#This Row],[Budget]]-tblProcRegister[[#This Row],[Award]],"")</f>
        <v/>
      </c>
      <c r="T159" s="68"/>
      <c r="U159" s="68"/>
      <c r="V159" s="68"/>
      <c r="W159" s="77" t="str">
        <f>IF(AB159="","",WORKDAY.INTL(AB159,Z159*-1,1,Holidays[Date]))</f>
        <v/>
      </c>
      <c r="X159" s="77" t="str">
        <f t="shared" ca="1" si="2"/>
        <v/>
      </c>
      <c r="Y159" s="78"/>
      <c r="Z159" s="79"/>
      <c r="AA159" s="68"/>
      <c r="AB159" s="77" t="str">
        <f>IF(AG159="","",WORKDAY.INTL(AG159,AE159*-1,1,Holidays[Date]))</f>
        <v/>
      </c>
      <c r="AC159" s="77" t="str">
        <f ca="1">IFERROR(IF(AD159="",WORKDAY.INTL(X159,AA159,1,Holidays[Date]),AD159),"")</f>
        <v/>
      </c>
      <c r="AD159" s="78"/>
      <c r="AE159" s="80"/>
      <c r="AF159" s="68"/>
      <c r="AG159" s="77" t="str">
        <f>IF(AL159="","",WORKDAY.INTL(AL159,AJ159*-1,1,Holidays[Date]))</f>
        <v/>
      </c>
      <c r="AH159" s="77" t="str">
        <f ca="1">IFERROR(IF(AI159="",WORKDAY.INTL(AC159,AF159,1,Holidays[Date]),AI159),"")</f>
        <v/>
      </c>
      <c r="AI159" s="78"/>
      <c r="AJ159" s="80"/>
      <c r="AK159" s="68"/>
      <c r="AL159" s="77" t="str">
        <f>IF(AQ159="","",WORKDAY.INTL(AQ159,AO159*-1,1,Holidays[Date]))</f>
        <v/>
      </c>
      <c r="AM159" s="77" t="str">
        <f ca="1">IFERROR(IF(AN159="",WORKDAY.INTL(AH159,AK159,1,Holidays[Date]),AN159),"")</f>
        <v/>
      </c>
      <c r="AN159" s="78"/>
      <c r="AO159" s="80"/>
      <c r="AP159" s="68"/>
      <c r="AQ159" s="77" t="str">
        <f>IF(AV159="","",WORKDAY.INTL(AV159,AT159*-1,1,Holidays[Date]))</f>
        <v/>
      </c>
      <c r="AR159" s="77" t="str">
        <f ca="1">IFERROR(IF(AS159="",WORKDAY.INTL(AM159,AP159,1,Holidays[Date]),AS159),"")</f>
        <v/>
      </c>
      <c r="AS159" s="78"/>
      <c r="AT159" s="80"/>
      <c r="AU159" s="68"/>
      <c r="AV159" s="77" t="str">
        <f>IF(BA159="","",WORKDAY.INTL(BA159,AY159*-1,1,Holidays[Date]))</f>
        <v/>
      </c>
      <c r="AW159" s="77" t="str">
        <f ca="1">IFERROR(IF(AX159="",WORKDAY.INTL(AR159,AU159,1,Holidays[Date]),AX159),"")</f>
        <v/>
      </c>
      <c r="AX159" s="78"/>
      <c r="AY159" s="80"/>
      <c r="AZ159" s="68"/>
      <c r="BA159" s="77" t="str">
        <f>IF(BF159="","",WORKDAY.INTL(BF159,BD159*-1,1,Holidays[Date]))</f>
        <v/>
      </c>
      <c r="BB159" s="77" t="str">
        <f ca="1">IFERROR(IF(BC159="",WORKDAY.INTL(AW159,AZ159,1,Holidays[Date]),BC159),"")</f>
        <v/>
      </c>
      <c r="BC159" s="78"/>
      <c r="BD159" s="80"/>
      <c r="BE159" s="68"/>
      <c r="BF159" s="77" t="str">
        <f>IF(BK159="","",WORKDAY.INTL(BK159,BI159*-1,1,Holidays[Date]))</f>
        <v/>
      </c>
      <c r="BG159" s="77" t="str">
        <f ca="1">IFERROR(IF(BH159="",WORKDAY.INTL(BB159,BE159,1,Holidays[Date]),BH159),"")</f>
        <v/>
      </c>
      <c r="BH159" s="78"/>
      <c r="BI159" s="80"/>
      <c r="BJ159" s="68"/>
      <c r="BK159" s="77" t="str">
        <f>IF(BP159="","",WORKDAY.INTL(BP159,BN159*-1,1,Holidays[Date]))</f>
        <v/>
      </c>
      <c r="BL159" s="77" t="str">
        <f ca="1">IFERROR(IF(BM159="",WORKDAY.INTL(BG159,BJ159,1,Holidays[Date]),BM159),"")</f>
        <v/>
      </c>
      <c r="BM159" s="78"/>
      <c r="BN159" s="80"/>
      <c r="BO159" s="68"/>
      <c r="BP159" s="77" t="str">
        <f>IF(BU159="","",WORKDAY.INTL(BU159,BS159*-1,1,Holidays[Date]))</f>
        <v/>
      </c>
      <c r="BQ159" s="77" t="str">
        <f ca="1">IFERROR(IF(BR159="",WORKDAY.INTL(BL159,BO159,1,Holidays[Date]),BR159),"")</f>
        <v/>
      </c>
      <c r="BR159" s="78"/>
      <c r="BS159" s="80"/>
      <c r="BT159" s="68"/>
      <c r="BU159" s="77" t="str">
        <f>IF(BZ159="","",WORKDAY.INTL(BZ159,BX159*-1,1,Holidays[Date]))</f>
        <v/>
      </c>
      <c r="BV159" s="77" t="str">
        <f ca="1">IFERROR(IF(BW159="",WORKDAY.INTL(BQ159,BT159,1,Holidays[Date]),BW159),"")</f>
        <v/>
      </c>
      <c r="BW159" s="78"/>
      <c r="BX159" s="80"/>
      <c r="BY159" s="68"/>
      <c r="BZ159" s="81"/>
      <c r="CA159" s="77" t="str">
        <f ca="1">IFERROR(IF(CB159="",WORKDAY.INTL(BV159,BY159,1,Holidays[Date]),CB159),"")</f>
        <v/>
      </c>
      <c r="CB159" s="78"/>
    </row>
    <row r="160" spans="1:80" ht="19" customHeight="1" x14ac:dyDescent="0.35">
      <c r="A160" s="31"/>
      <c r="B160" s="82"/>
      <c r="C160" s="1"/>
      <c r="D160" s="8"/>
      <c r="E160" s="8"/>
      <c r="F160" s="8"/>
      <c r="G160" s="8"/>
      <c r="H160" s="8"/>
      <c r="I160" s="9"/>
      <c r="J160" s="8"/>
      <c r="K160" s="8"/>
      <c r="L160" s="8"/>
      <c r="M160" s="8"/>
      <c r="N160" s="8"/>
      <c r="O160" s="8"/>
      <c r="P160" s="8"/>
      <c r="Q160" s="2"/>
      <c r="R160" s="2"/>
      <c r="S160" s="88" t="str">
        <f>IF(tblProcRegister[[#This Row],[Award]]&lt;&gt;"",tblProcRegister[[#This Row],[Budget]]-tblProcRegister[[#This Row],[Award]],"")</f>
        <v/>
      </c>
      <c r="T160" s="68"/>
      <c r="U160" s="68"/>
      <c r="V160" s="68"/>
      <c r="W160" s="77" t="str">
        <f>IF(AB160="","",WORKDAY.INTL(AB160,Z160*-1,1,Holidays[Date]))</f>
        <v/>
      </c>
      <c r="X160" s="77" t="str">
        <f t="shared" ca="1" si="2"/>
        <v/>
      </c>
      <c r="Y160" s="78"/>
      <c r="Z160" s="79"/>
      <c r="AA160" s="68"/>
      <c r="AB160" s="77" t="str">
        <f>IF(AG160="","",WORKDAY.INTL(AG160,AE160*-1,1,Holidays[Date]))</f>
        <v/>
      </c>
      <c r="AC160" s="77" t="str">
        <f ca="1">IFERROR(IF(AD160="",WORKDAY.INTL(X160,AA160,1,Holidays[Date]),AD160),"")</f>
        <v/>
      </c>
      <c r="AD160" s="78"/>
      <c r="AE160" s="80"/>
      <c r="AF160" s="68"/>
      <c r="AG160" s="77" t="str">
        <f>IF(AL160="","",WORKDAY.INTL(AL160,AJ160*-1,1,Holidays[Date]))</f>
        <v/>
      </c>
      <c r="AH160" s="77" t="str">
        <f ca="1">IFERROR(IF(AI160="",WORKDAY.INTL(AC160,AF160,1,Holidays[Date]),AI160),"")</f>
        <v/>
      </c>
      <c r="AI160" s="78"/>
      <c r="AJ160" s="80"/>
      <c r="AK160" s="68"/>
      <c r="AL160" s="77" t="str">
        <f>IF(AQ160="","",WORKDAY.INTL(AQ160,AO160*-1,1,Holidays[Date]))</f>
        <v/>
      </c>
      <c r="AM160" s="77" t="str">
        <f ca="1">IFERROR(IF(AN160="",WORKDAY.INTL(AH160,AK160,1,Holidays[Date]),AN160),"")</f>
        <v/>
      </c>
      <c r="AN160" s="78"/>
      <c r="AO160" s="80"/>
      <c r="AP160" s="68"/>
      <c r="AQ160" s="77" t="str">
        <f>IF(AV160="","",WORKDAY.INTL(AV160,AT160*-1,1,Holidays[Date]))</f>
        <v/>
      </c>
      <c r="AR160" s="77" t="str">
        <f ca="1">IFERROR(IF(AS160="",WORKDAY.INTL(AM160,AP160,1,Holidays[Date]),AS160),"")</f>
        <v/>
      </c>
      <c r="AS160" s="78"/>
      <c r="AT160" s="80"/>
      <c r="AU160" s="68"/>
      <c r="AV160" s="77" t="str">
        <f>IF(BA160="","",WORKDAY.INTL(BA160,AY160*-1,1,Holidays[Date]))</f>
        <v/>
      </c>
      <c r="AW160" s="77" t="str">
        <f ca="1">IFERROR(IF(AX160="",WORKDAY.INTL(AR160,AU160,1,Holidays[Date]),AX160),"")</f>
        <v/>
      </c>
      <c r="AX160" s="78"/>
      <c r="AY160" s="80"/>
      <c r="AZ160" s="68"/>
      <c r="BA160" s="77" t="str">
        <f>IF(BF160="","",WORKDAY.INTL(BF160,BD160*-1,1,Holidays[Date]))</f>
        <v/>
      </c>
      <c r="BB160" s="77" t="str">
        <f ca="1">IFERROR(IF(BC160="",WORKDAY.INTL(AW160,AZ160,1,Holidays[Date]),BC160),"")</f>
        <v/>
      </c>
      <c r="BC160" s="78"/>
      <c r="BD160" s="80"/>
      <c r="BE160" s="68"/>
      <c r="BF160" s="77" t="str">
        <f>IF(BK160="","",WORKDAY.INTL(BK160,BI160*-1,1,Holidays[Date]))</f>
        <v/>
      </c>
      <c r="BG160" s="77" t="str">
        <f ca="1">IFERROR(IF(BH160="",WORKDAY.INTL(BB160,BE160,1,Holidays[Date]),BH160),"")</f>
        <v/>
      </c>
      <c r="BH160" s="78"/>
      <c r="BI160" s="80"/>
      <c r="BJ160" s="68"/>
      <c r="BK160" s="77" t="str">
        <f>IF(BP160="","",WORKDAY.INTL(BP160,BN160*-1,1,Holidays[Date]))</f>
        <v/>
      </c>
      <c r="BL160" s="77" t="str">
        <f ca="1">IFERROR(IF(BM160="",WORKDAY.INTL(BG160,BJ160,1,Holidays[Date]),BM160),"")</f>
        <v/>
      </c>
      <c r="BM160" s="78"/>
      <c r="BN160" s="80"/>
      <c r="BO160" s="68"/>
      <c r="BP160" s="77" t="str">
        <f>IF(BU160="","",WORKDAY.INTL(BU160,BS160*-1,1,Holidays[Date]))</f>
        <v/>
      </c>
      <c r="BQ160" s="77" t="str">
        <f ca="1">IFERROR(IF(BR160="",WORKDAY.INTL(BL160,BO160,1,Holidays[Date]),BR160),"")</f>
        <v/>
      </c>
      <c r="BR160" s="78"/>
      <c r="BS160" s="80"/>
      <c r="BT160" s="68"/>
      <c r="BU160" s="77" t="str">
        <f>IF(BZ160="","",WORKDAY.INTL(BZ160,BX160*-1,1,Holidays[Date]))</f>
        <v/>
      </c>
      <c r="BV160" s="77" t="str">
        <f ca="1">IFERROR(IF(BW160="",WORKDAY.INTL(BQ160,BT160,1,Holidays[Date]),BW160),"")</f>
        <v/>
      </c>
      <c r="BW160" s="78"/>
      <c r="BX160" s="80"/>
      <c r="BY160" s="68"/>
      <c r="BZ160" s="81"/>
      <c r="CA160" s="77" t="str">
        <f ca="1">IFERROR(IF(CB160="",WORKDAY.INTL(BV160,BY160,1,Holidays[Date]),CB160),"")</f>
        <v/>
      </c>
      <c r="CB160" s="78"/>
    </row>
    <row r="161" spans="1:80" ht="19" customHeight="1" x14ac:dyDescent="0.35">
      <c r="A161" s="31"/>
      <c r="B161" s="82"/>
      <c r="C161" s="1"/>
      <c r="D161" s="8"/>
      <c r="E161" s="8"/>
      <c r="F161" s="8"/>
      <c r="G161" s="8"/>
      <c r="H161" s="8"/>
      <c r="I161" s="9"/>
      <c r="J161" s="8"/>
      <c r="K161" s="8"/>
      <c r="L161" s="8"/>
      <c r="M161" s="8"/>
      <c r="N161" s="8"/>
      <c r="O161" s="8"/>
      <c r="P161" s="8"/>
      <c r="Q161" s="2"/>
      <c r="R161" s="2"/>
      <c r="S161" s="88" t="str">
        <f>IF(tblProcRegister[[#This Row],[Award]]&lt;&gt;"",tblProcRegister[[#This Row],[Budget]]-tblProcRegister[[#This Row],[Award]],"")</f>
        <v/>
      </c>
      <c r="T161" s="68"/>
      <c r="U161" s="68"/>
      <c r="V161" s="68"/>
      <c r="W161" s="77" t="str">
        <f>IF(AB161="","",WORKDAY.INTL(AB161,Z161*-1,1,Holidays[Date]))</f>
        <v/>
      </c>
      <c r="X161" s="77" t="str">
        <f t="shared" ca="1" si="2"/>
        <v/>
      </c>
      <c r="Y161" s="78"/>
      <c r="Z161" s="79"/>
      <c r="AA161" s="68"/>
      <c r="AB161" s="77" t="str">
        <f>IF(AG161="","",WORKDAY.INTL(AG161,AE161*-1,1,Holidays[Date]))</f>
        <v/>
      </c>
      <c r="AC161" s="77" t="str">
        <f ca="1">IFERROR(IF(AD161="",WORKDAY.INTL(X161,AA161,1,Holidays[Date]),AD161),"")</f>
        <v/>
      </c>
      <c r="AD161" s="78"/>
      <c r="AE161" s="80"/>
      <c r="AF161" s="68"/>
      <c r="AG161" s="77" t="str">
        <f>IF(AL161="","",WORKDAY.INTL(AL161,AJ161*-1,1,Holidays[Date]))</f>
        <v/>
      </c>
      <c r="AH161" s="77" t="str">
        <f ca="1">IFERROR(IF(AI161="",WORKDAY.INTL(AC161,AF161,1,Holidays[Date]),AI161),"")</f>
        <v/>
      </c>
      <c r="AI161" s="78"/>
      <c r="AJ161" s="80"/>
      <c r="AK161" s="68"/>
      <c r="AL161" s="77" t="str">
        <f>IF(AQ161="","",WORKDAY.INTL(AQ161,AO161*-1,1,Holidays[Date]))</f>
        <v/>
      </c>
      <c r="AM161" s="77" t="str">
        <f ca="1">IFERROR(IF(AN161="",WORKDAY.INTL(AH161,AK161,1,Holidays[Date]),AN161),"")</f>
        <v/>
      </c>
      <c r="AN161" s="78"/>
      <c r="AO161" s="80"/>
      <c r="AP161" s="68"/>
      <c r="AQ161" s="77" t="str">
        <f>IF(AV161="","",WORKDAY.INTL(AV161,AT161*-1,1,Holidays[Date]))</f>
        <v/>
      </c>
      <c r="AR161" s="77" t="str">
        <f ca="1">IFERROR(IF(AS161="",WORKDAY.INTL(AM161,AP161,1,Holidays[Date]),AS161),"")</f>
        <v/>
      </c>
      <c r="AS161" s="78"/>
      <c r="AT161" s="80"/>
      <c r="AU161" s="68"/>
      <c r="AV161" s="77" t="str">
        <f>IF(BA161="","",WORKDAY.INTL(BA161,AY161*-1,1,Holidays[Date]))</f>
        <v/>
      </c>
      <c r="AW161" s="77" t="str">
        <f ca="1">IFERROR(IF(AX161="",WORKDAY.INTL(AR161,AU161,1,Holidays[Date]),AX161),"")</f>
        <v/>
      </c>
      <c r="AX161" s="78"/>
      <c r="AY161" s="80"/>
      <c r="AZ161" s="68"/>
      <c r="BA161" s="77" t="str">
        <f>IF(BF161="","",WORKDAY.INTL(BF161,BD161*-1,1,Holidays[Date]))</f>
        <v/>
      </c>
      <c r="BB161" s="77" t="str">
        <f ca="1">IFERROR(IF(BC161="",WORKDAY.INTL(AW161,AZ161,1,Holidays[Date]),BC161),"")</f>
        <v/>
      </c>
      <c r="BC161" s="78"/>
      <c r="BD161" s="80"/>
      <c r="BE161" s="68"/>
      <c r="BF161" s="77" t="str">
        <f>IF(BK161="","",WORKDAY.INTL(BK161,BI161*-1,1,Holidays[Date]))</f>
        <v/>
      </c>
      <c r="BG161" s="77" t="str">
        <f ca="1">IFERROR(IF(BH161="",WORKDAY.INTL(BB161,BE161,1,Holidays[Date]),BH161),"")</f>
        <v/>
      </c>
      <c r="BH161" s="78"/>
      <c r="BI161" s="80"/>
      <c r="BJ161" s="68"/>
      <c r="BK161" s="77" t="str">
        <f>IF(BP161="","",WORKDAY.INTL(BP161,BN161*-1,1,Holidays[Date]))</f>
        <v/>
      </c>
      <c r="BL161" s="77" t="str">
        <f ca="1">IFERROR(IF(BM161="",WORKDAY.INTL(BG161,BJ161,1,Holidays[Date]),BM161),"")</f>
        <v/>
      </c>
      <c r="BM161" s="78"/>
      <c r="BN161" s="80"/>
      <c r="BO161" s="68"/>
      <c r="BP161" s="77" t="str">
        <f>IF(BU161="","",WORKDAY.INTL(BU161,BS161*-1,1,Holidays[Date]))</f>
        <v/>
      </c>
      <c r="BQ161" s="77" t="str">
        <f ca="1">IFERROR(IF(BR161="",WORKDAY.INTL(BL161,BO161,1,Holidays[Date]),BR161),"")</f>
        <v/>
      </c>
      <c r="BR161" s="78"/>
      <c r="BS161" s="80"/>
      <c r="BT161" s="68"/>
      <c r="BU161" s="77" t="str">
        <f>IF(BZ161="","",WORKDAY.INTL(BZ161,BX161*-1,1,Holidays[Date]))</f>
        <v/>
      </c>
      <c r="BV161" s="77" t="str">
        <f ca="1">IFERROR(IF(BW161="",WORKDAY.INTL(BQ161,BT161,1,Holidays[Date]),BW161),"")</f>
        <v/>
      </c>
      <c r="BW161" s="78"/>
      <c r="BX161" s="80"/>
      <c r="BY161" s="68"/>
      <c r="BZ161" s="81"/>
      <c r="CA161" s="77" t="str">
        <f ca="1">IFERROR(IF(CB161="",WORKDAY.INTL(BV161,BY161,1,Holidays[Date]),CB161),"")</f>
        <v/>
      </c>
      <c r="CB161" s="78"/>
    </row>
    <row r="162" spans="1:80" ht="19" customHeight="1" x14ac:dyDescent="0.35">
      <c r="A162" s="31"/>
      <c r="B162" s="82"/>
      <c r="C162" s="1"/>
      <c r="D162" s="8"/>
      <c r="E162" s="8"/>
      <c r="F162" s="8"/>
      <c r="G162" s="8"/>
      <c r="H162" s="8"/>
      <c r="I162" s="9"/>
      <c r="J162" s="8"/>
      <c r="K162" s="8"/>
      <c r="L162" s="8"/>
      <c r="M162" s="8"/>
      <c r="N162" s="8"/>
      <c r="O162" s="8"/>
      <c r="P162" s="8"/>
      <c r="Q162" s="2"/>
      <c r="R162" s="2"/>
      <c r="S162" s="88" t="str">
        <f>IF(tblProcRegister[[#This Row],[Award]]&lt;&gt;"",tblProcRegister[[#This Row],[Budget]]-tblProcRegister[[#This Row],[Award]],"")</f>
        <v/>
      </c>
      <c r="T162" s="68"/>
      <c r="U162" s="68"/>
      <c r="V162" s="68"/>
      <c r="W162" s="77" t="str">
        <f>IF(AB162="","",WORKDAY.INTL(AB162,Z162*-1,1,Holidays[Date]))</f>
        <v/>
      </c>
      <c r="X162" s="77" t="str">
        <f t="shared" ca="1" si="2"/>
        <v/>
      </c>
      <c r="Y162" s="78"/>
      <c r="Z162" s="79"/>
      <c r="AA162" s="68"/>
      <c r="AB162" s="77" t="str">
        <f>IF(AG162="","",WORKDAY.INTL(AG162,AE162*-1,1,Holidays[Date]))</f>
        <v/>
      </c>
      <c r="AC162" s="77" t="str">
        <f ca="1">IFERROR(IF(AD162="",WORKDAY.INTL(X162,AA162,1,Holidays[Date]),AD162),"")</f>
        <v/>
      </c>
      <c r="AD162" s="78"/>
      <c r="AE162" s="80"/>
      <c r="AF162" s="68"/>
      <c r="AG162" s="77" t="str">
        <f>IF(AL162="","",WORKDAY.INTL(AL162,AJ162*-1,1,Holidays[Date]))</f>
        <v/>
      </c>
      <c r="AH162" s="77" t="str">
        <f ca="1">IFERROR(IF(AI162="",WORKDAY.INTL(AC162,AF162,1,Holidays[Date]),AI162),"")</f>
        <v/>
      </c>
      <c r="AI162" s="78"/>
      <c r="AJ162" s="80"/>
      <c r="AK162" s="68"/>
      <c r="AL162" s="77" t="str">
        <f>IF(AQ162="","",WORKDAY.INTL(AQ162,AO162*-1,1,Holidays[Date]))</f>
        <v/>
      </c>
      <c r="AM162" s="77" t="str">
        <f ca="1">IFERROR(IF(AN162="",WORKDAY.INTL(AH162,AK162,1,Holidays[Date]),AN162),"")</f>
        <v/>
      </c>
      <c r="AN162" s="78"/>
      <c r="AO162" s="80"/>
      <c r="AP162" s="68"/>
      <c r="AQ162" s="77" t="str">
        <f>IF(AV162="","",WORKDAY.INTL(AV162,AT162*-1,1,Holidays[Date]))</f>
        <v/>
      </c>
      <c r="AR162" s="77" t="str">
        <f ca="1">IFERROR(IF(AS162="",WORKDAY.INTL(AM162,AP162,1,Holidays[Date]),AS162),"")</f>
        <v/>
      </c>
      <c r="AS162" s="78"/>
      <c r="AT162" s="80"/>
      <c r="AU162" s="68"/>
      <c r="AV162" s="77" t="str">
        <f>IF(BA162="","",WORKDAY.INTL(BA162,AY162*-1,1,Holidays[Date]))</f>
        <v/>
      </c>
      <c r="AW162" s="77" t="str">
        <f ca="1">IFERROR(IF(AX162="",WORKDAY.INTL(AR162,AU162,1,Holidays[Date]),AX162),"")</f>
        <v/>
      </c>
      <c r="AX162" s="78"/>
      <c r="AY162" s="80"/>
      <c r="AZ162" s="68"/>
      <c r="BA162" s="77" t="str">
        <f>IF(BF162="","",WORKDAY.INTL(BF162,BD162*-1,1,Holidays[Date]))</f>
        <v/>
      </c>
      <c r="BB162" s="77" t="str">
        <f ca="1">IFERROR(IF(BC162="",WORKDAY.INTL(AW162,AZ162,1,Holidays[Date]),BC162),"")</f>
        <v/>
      </c>
      <c r="BC162" s="78"/>
      <c r="BD162" s="80"/>
      <c r="BE162" s="68"/>
      <c r="BF162" s="77" t="str">
        <f>IF(BK162="","",WORKDAY.INTL(BK162,BI162*-1,1,Holidays[Date]))</f>
        <v/>
      </c>
      <c r="BG162" s="77" t="str">
        <f ca="1">IFERROR(IF(BH162="",WORKDAY.INTL(BB162,BE162,1,Holidays[Date]),BH162),"")</f>
        <v/>
      </c>
      <c r="BH162" s="78"/>
      <c r="BI162" s="80"/>
      <c r="BJ162" s="68"/>
      <c r="BK162" s="77" t="str">
        <f>IF(BP162="","",WORKDAY.INTL(BP162,BN162*-1,1,Holidays[Date]))</f>
        <v/>
      </c>
      <c r="BL162" s="77" t="str">
        <f ca="1">IFERROR(IF(BM162="",WORKDAY.INTL(BG162,BJ162,1,Holidays[Date]),BM162),"")</f>
        <v/>
      </c>
      <c r="BM162" s="78"/>
      <c r="BN162" s="80"/>
      <c r="BO162" s="68"/>
      <c r="BP162" s="77" t="str">
        <f>IF(BU162="","",WORKDAY.INTL(BU162,BS162*-1,1,Holidays[Date]))</f>
        <v/>
      </c>
      <c r="BQ162" s="77" t="str">
        <f ca="1">IFERROR(IF(BR162="",WORKDAY.INTL(BL162,BO162,1,Holidays[Date]),BR162),"")</f>
        <v/>
      </c>
      <c r="BR162" s="78"/>
      <c r="BS162" s="80"/>
      <c r="BT162" s="68"/>
      <c r="BU162" s="77" t="str">
        <f>IF(BZ162="","",WORKDAY.INTL(BZ162,BX162*-1,1,Holidays[Date]))</f>
        <v/>
      </c>
      <c r="BV162" s="77" t="str">
        <f ca="1">IFERROR(IF(BW162="",WORKDAY.INTL(BQ162,BT162,1,Holidays[Date]),BW162),"")</f>
        <v/>
      </c>
      <c r="BW162" s="78"/>
      <c r="BX162" s="80"/>
      <c r="BY162" s="68"/>
      <c r="BZ162" s="81"/>
      <c r="CA162" s="77" t="str">
        <f ca="1">IFERROR(IF(CB162="",WORKDAY.INTL(BV162,BY162,1,Holidays[Date]),CB162),"")</f>
        <v/>
      </c>
      <c r="CB162" s="78"/>
    </row>
    <row r="163" spans="1:80" ht="19" customHeight="1" x14ac:dyDescent="0.35">
      <c r="A163" s="31"/>
      <c r="B163" s="82"/>
      <c r="C163" s="1"/>
      <c r="D163" s="8"/>
      <c r="E163" s="8"/>
      <c r="F163" s="8"/>
      <c r="G163" s="8"/>
      <c r="H163" s="8"/>
      <c r="I163" s="9"/>
      <c r="J163" s="8"/>
      <c r="K163" s="8"/>
      <c r="L163" s="8"/>
      <c r="M163" s="8"/>
      <c r="N163" s="8"/>
      <c r="O163" s="8"/>
      <c r="P163" s="8"/>
      <c r="Q163" s="2"/>
      <c r="R163" s="2"/>
      <c r="S163" s="88" t="str">
        <f>IF(tblProcRegister[[#This Row],[Award]]&lt;&gt;"",tblProcRegister[[#This Row],[Budget]]-tblProcRegister[[#This Row],[Award]],"")</f>
        <v/>
      </c>
      <c r="T163" s="68"/>
      <c r="U163" s="68"/>
      <c r="V163" s="68"/>
      <c r="W163" s="77" t="str">
        <f>IF(AB163="","",WORKDAY.INTL(AB163,Z163*-1,1,Holidays[Date]))</f>
        <v/>
      </c>
      <c r="X163" s="77" t="str">
        <f t="shared" ca="1" si="2"/>
        <v/>
      </c>
      <c r="Y163" s="78"/>
      <c r="Z163" s="79"/>
      <c r="AA163" s="68"/>
      <c r="AB163" s="77" t="str">
        <f>IF(AG163="","",WORKDAY.INTL(AG163,AE163*-1,1,Holidays[Date]))</f>
        <v/>
      </c>
      <c r="AC163" s="77" t="str">
        <f ca="1">IFERROR(IF(AD163="",WORKDAY.INTL(X163,AA163,1,Holidays[Date]),AD163),"")</f>
        <v/>
      </c>
      <c r="AD163" s="78"/>
      <c r="AE163" s="80"/>
      <c r="AF163" s="68"/>
      <c r="AG163" s="77" t="str">
        <f>IF(AL163="","",WORKDAY.INTL(AL163,AJ163*-1,1,Holidays[Date]))</f>
        <v/>
      </c>
      <c r="AH163" s="77" t="str">
        <f ca="1">IFERROR(IF(AI163="",WORKDAY.INTL(AC163,AF163,1,Holidays[Date]),AI163),"")</f>
        <v/>
      </c>
      <c r="AI163" s="78"/>
      <c r="AJ163" s="80"/>
      <c r="AK163" s="68"/>
      <c r="AL163" s="77" t="str">
        <f>IF(AQ163="","",WORKDAY.INTL(AQ163,AO163*-1,1,Holidays[Date]))</f>
        <v/>
      </c>
      <c r="AM163" s="77" t="str">
        <f ca="1">IFERROR(IF(AN163="",WORKDAY.INTL(AH163,AK163,1,Holidays[Date]),AN163),"")</f>
        <v/>
      </c>
      <c r="AN163" s="78"/>
      <c r="AO163" s="80"/>
      <c r="AP163" s="68"/>
      <c r="AQ163" s="77" t="str">
        <f>IF(AV163="","",WORKDAY.INTL(AV163,AT163*-1,1,Holidays[Date]))</f>
        <v/>
      </c>
      <c r="AR163" s="77" t="str">
        <f ca="1">IFERROR(IF(AS163="",WORKDAY.INTL(AM163,AP163,1,Holidays[Date]),AS163),"")</f>
        <v/>
      </c>
      <c r="AS163" s="78"/>
      <c r="AT163" s="80"/>
      <c r="AU163" s="68"/>
      <c r="AV163" s="77" t="str">
        <f>IF(BA163="","",WORKDAY.INTL(BA163,AY163*-1,1,Holidays[Date]))</f>
        <v/>
      </c>
      <c r="AW163" s="77" t="str">
        <f ca="1">IFERROR(IF(AX163="",WORKDAY.INTL(AR163,AU163,1,Holidays[Date]),AX163),"")</f>
        <v/>
      </c>
      <c r="AX163" s="78"/>
      <c r="AY163" s="80"/>
      <c r="AZ163" s="68"/>
      <c r="BA163" s="77" t="str">
        <f>IF(BF163="","",WORKDAY.INTL(BF163,BD163*-1,1,Holidays[Date]))</f>
        <v/>
      </c>
      <c r="BB163" s="77" t="str">
        <f ca="1">IFERROR(IF(BC163="",WORKDAY.INTL(AW163,AZ163,1,Holidays[Date]),BC163),"")</f>
        <v/>
      </c>
      <c r="BC163" s="78"/>
      <c r="BD163" s="80"/>
      <c r="BE163" s="68"/>
      <c r="BF163" s="77" t="str">
        <f>IF(BK163="","",WORKDAY.INTL(BK163,BI163*-1,1,Holidays[Date]))</f>
        <v/>
      </c>
      <c r="BG163" s="77" t="str">
        <f ca="1">IFERROR(IF(BH163="",WORKDAY.INTL(BB163,BE163,1,Holidays[Date]),BH163),"")</f>
        <v/>
      </c>
      <c r="BH163" s="78"/>
      <c r="BI163" s="80"/>
      <c r="BJ163" s="68"/>
      <c r="BK163" s="77" t="str">
        <f>IF(BP163="","",WORKDAY.INTL(BP163,BN163*-1,1,Holidays[Date]))</f>
        <v/>
      </c>
      <c r="BL163" s="77" t="str">
        <f ca="1">IFERROR(IF(BM163="",WORKDAY.INTL(BG163,BJ163,1,Holidays[Date]),BM163),"")</f>
        <v/>
      </c>
      <c r="BM163" s="78"/>
      <c r="BN163" s="80"/>
      <c r="BO163" s="68"/>
      <c r="BP163" s="77" t="str">
        <f>IF(BU163="","",WORKDAY.INTL(BU163,BS163*-1,1,Holidays[Date]))</f>
        <v/>
      </c>
      <c r="BQ163" s="77" t="str">
        <f ca="1">IFERROR(IF(BR163="",WORKDAY.INTL(BL163,BO163,1,Holidays[Date]),BR163),"")</f>
        <v/>
      </c>
      <c r="BR163" s="78"/>
      <c r="BS163" s="80"/>
      <c r="BT163" s="68"/>
      <c r="BU163" s="77" t="str">
        <f>IF(BZ163="","",WORKDAY.INTL(BZ163,BX163*-1,1,Holidays[Date]))</f>
        <v/>
      </c>
      <c r="BV163" s="77" t="str">
        <f ca="1">IFERROR(IF(BW163="",WORKDAY.INTL(BQ163,BT163,1,Holidays[Date]),BW163),"")</f>
        <v/>
      </c>
      <c r="BW163" s="78"/>
      <c r="BX163" s="80"/>
      <c r="BY163" s="68"/>
      <c r="BZ163" s="81"/>
      <c r="CA163" s="77" t="str">
        <f ca="1">IFERROR(IF(CB163="",WORKDAY.INTL(BV163,BY163,1,Holidays[Date]),CB163),"")</f>
        <v/>
      </c>
      <c r="CB163" s="78"/>
    </row>
    <row r="164" spans="1:80" ht="19" customHeight="1" x14ac:dyDescent="0.35">
      <c r="A164" s="31"/>
      <c r="B164" s="82"/>
      <c r="C164" s="1"/>
      <c r="D164" s="8"/>
      <c r="E164" s="8"/>
      <c r="F164" s="8"/>
      <c r="G164" s="8"/>
      <c r="H164" s="8"/>
      <c r="I164" s="9"/>
      <c r="J164" s="8"/>
      <c r="K164" s="8"/>
      <c r="L164" s="8"/>
      <c r="M164" s="8"/>
      <c r="N164" s="8"/>
      <c r="O164" s="8"/>
      <c r="P164" s="8"/>
      <c r="Q164" s="2"/>
      <c r="R164" s="2"/>
      <c r="S164" s="88" t="str">
        <f>IF(tblProcRegister[[#This Row],[Award]]&lt;&gt;"",tblProcRegister[[#This Row],[Budget]]-tblProcRegister[[#This Row],[Award]],"")</f>
        <v/>
      </c>
      <c r="T164" s="68"/>
      <c r="U164" s="68"/>
      <c r="V164" s="68"/>
      <c r="W164" s="77" t="str">
        <f>IF(AB164="","",WORKDAY.INTL(AB164,Z164*-1,1,Holidays[Date]))</f>
        <v/>
      </c>
      <c r="X164" s="77" t="str">
        <f t="shared" ca="1" si="2"/>
        <v/>
      </c>
      <c r="Y164" s="78"/>
      <c r="Z164" s="79"/>
      <c r="AA164" s="68"/>
      <c r="AB164" s="77" t="str">
        <f>IF(AG164="","",WORKDAY.INTL(AG164,AE164*-1,1,Holidays[Date]))</f>
        <v/>
      </c>
      <c r="AC164" s="77" t="str">
        <f ca="1">IFERROR(IF(AD164="",WORKDAY.INTL(X164,AA164,1,Holidays[Date]),AD164),"")</f>
        <v/>
      </c>
      <c r="AD164" s="78"/>
      <c r="AE164" s="80"/>
      <c r="AF164" s="68"/>
      <c r="AG164" s="77" t="str">
        <f>IF(AL164="","",WORKDAY.INTL(AL164,AJ164*-1,1,Holidays[Date]))</f>
        <v/>
      </c>
      <c r="AH164" s="77" t="str">
        <f ca="1">IFERROR(IF(AI164="",WORKDAY.INTL(AC164,AF164,1,Holidays[Date]),AI164),"")</f>
        <v/>
      </c>
      <c r="AI164" s="78"/>
      <c r="AJ164" s="80"/>
      <c r="AK164" s="68"/>
      <c r="AL164" s="77" t="str">
        <f>IF(AQ164="","",WORKDAY.INTL(AQ164,AO164*-1,1,Holidays[Date]))</f>
        <v/>
      </c>
      <c r="AM164" s="77" t="str">
        <f ca="1">IFERROR(IF(AN164="",WORKDAY.INTL(AH164,AK164,1,Holidays[Date]),AN164),"")</f>
        <v/>
      </c>
      <c r="AN164" s="78"/>
      <c r="AO164" s="80"/>
      <c r="AP164" s="68"/>
      <c r="AQ164" s="77" t="str">
        <f>IF(AV164="","",WORKDAY.INTL(AV164,AT164*-1,1,Holidays[Date]))</f>
        <v/>
      </c>
      <c r="AR164" s="77" t="str">
        <f ca="1">IFERROR(IF(AS164="",WORKDAY.INTL(AM164,AP164,1,Holidays[Date]),AS164),"")</f>
        <v/>
      </c>
      <c r="AS164" s="78"/>
      <c r="AT164" s="80"/>
      <c r="AU164" s="68"/>
      <c r="AV164" s="77" t="str">
        <f>IF(BA164="","",WORKDAY.INTL(BA164,AY164*-1,1,Holidays[Date]))</f>
        <v/>
      </c>
      <c r="AW164" s="77" t="str">
        <f ca="1">IFERROR(IF(AX164="",WORKDAY.INTL(AR164,AU164,1,Holidays[Date]),AX164),"")</f>
        <v/>
      </c>
      <c r="AX164" s="78"/>
      <c r="AY164" s="80"/>
      <c r="AZ164" s="68"/>
      <c r="BA164" s="77" t="str">
        <f>IF(BF164="","",WORKDAY.INTL(BF164,BD164*-1,1,Holidays[Date]))</f>
        <v/>
      </c>
      <c r="BB164" s="77" t="str">
        <f ca="1">IFERROR(IF(BC164="",WORKDAY.INTL(AW164,AZ164,1,Holidays[Date]),BC164),"")</f>
        <v/>
      </c>
      <c r="BC164" s="78"/>
      <c r="BD164" s="80"/>
      <c r="BE164" s="68"/>
      <c r="BF164" s="77" t="str">
        <f>IF(BK164="","",WORKDAY.INTL(BK164,BI164*-1,1,Holidays[Date]))</f>
        <v/>
      </c>
      <c r="BG164" s="77" t="str">
        <f ca="1">IFERROR(IF(BH164="",WORKDAY.INTL(BB164,BE164,1,Holidays[Date]),BH164),"")</f>
        <v/>
      </c>
      <c r="BH164" s="78"/>
      <c r="BI164" s="80"/>
      <c r="BJ164" s="68"/>
      <c r="BK164" s="77" t="str">
        <f>IF(BP164="","",WORKDAY.INTL(BP164,BN164*-1,1,Holidays[Date]))</f>
        <v/>
      </c>
      <c r="BL164" s="77" t="str">
        <f ca="1">IFERROR(IF(BM164="",WORKDAY.INTL(BG164,BJ164,1,Holidays[Date]),BM164),"")</f>
        <v/>
      </c>
      <c r="BM164" s="78"/>
      <c r="BN164" s="80"/>
      <c r="BO164" s="68"/>
      <c r="BP164" s="77" t="str">
        <f>IF(BU164="","",WORKDAY.INTL(BU164,BS164*-1,1,Holidays[Date]))</f>
        <v/>
      </c>
      <c r="BQ164" s="77" t="str">
        <f ca="1">IFERROR(IF(BR164="",WORKDAY.INTL(BL164,BO164,1,Holidays[Date]),BR164),"")</f>
        <v/>
      </c>
      <c r="BR164" s="78"/>
      <c r="BS164" s="80"/>
      <c r="BT164" s="68"/>
      <c r="BU164" s="77" t="str">
        <f>IF(BZ164="","",WORKDAY.INTL(BZ164,BX164*-1,1,Holidays[Date]))</f>
        <v/>
      </c>
      <c r="BV164" s="77" t="str">
        <f ca="1">IFERROR(IF(BW164="",WORKDAY.INTL(BQ164,BT164,1,Holidays[Date]),BW164),"")</f>
        <v/>
      </c>
      <c r="BW164" s="78"/>
      <c r="BX164" s="80"/>
      <c r="BY164" s="68"/>
      <c r="BZ164" s="81"/>
      <c r="CA164" s="77" t="str">
        <f ca="1">IFERROR(IF(CB164="",WORKDAY.INTL(BV164,BY164,1,Holidays[Date]),CB164),"")</f>
        <v/>
      </c>
      <c r="CB164" s="78"/>
    </row>
    <row r="165" spans="1:80" ht="19" customHeight="1" x14ac:dyDescent="0.35">
      <c r="A165" s="31"/>
      <c r="B165" s="82"/>
      <c r="C165" s="1"/>
      <c r="D165" s="8"/>
      <c r="E165" s="8"/>
      <c r="F165" s="8"/>
      <c r="G165" s="8"/>
      <c r="H165" s="8"/>
      <c r="I165" s="9"/>
      <c r="J165" s="8"/>
      <c r="K165" s="8"/>
      <c r="L165" s="8"/>
      <c r="M165" s="8"/>
      <c r="N165" s="8"/>
      <c r="O165" s="8"/>
      <c r="P165" s="8"/>
      <c r="Q165" s="2"/>
      <c r="R165" s="2"/>
      <c r="S165" s="88" t="str">
        <f>IF(tblProcRegister[[#This Row],[Award]]&lt;&gt;"",tblProcRegister[[#This Row],[Budget]]-tblProcRegister[[#This Row],[Award]],"")</f>
        <v/>
      </c>
      <c r="T165" s="68"/>
      <c r="U165" s="68"/>
      <c r="V165" s="68"/>
      <c r="W165" s="77" t="str">
        <f>IF(AB165="","",WORKDAY.INTL(AB165,Z165*-1,1,Holidays[Date]))</f>
        <v/>
      </c>
      <c r="X165" s="77" t="str">
        <f t="shared" ca="1" si="2"/>
        <v/>
      </c>
      <c r="Y165" s="78"/>
      <c r="Z165" s="79"/>
      <c r="AA165" s="68"/>
      <c r="AB165" s="77" t="str">
        <f>IF(AG165="","",WORKDAY.INTL(AG165,AE165*-1,1,Holidays[Date]))</f>
        <v/>
      </c>
      <c r="AC165" s="77" t="str">
        <f ca="1">IFERROR(IF(AD165="",WORKDAY.INTL(X165,AA165,1,Holidays[Date]),AD165),"")</f>
        <v/>
      </c>
      <c r="AD165" s="78"/>
      <c r="AE165" s="80"/>
      <c r="AF165" s="68"/>
      <c r="AG165" s="77" t="str">
        <f>IF(AL165="","",WORKDAY.INTL(AL165,AJ165*-1,1,Holidays[Date]))</f>
        <v/>
      </c>
      <c r="AH165" s="77" t="str">
        <f ca="1">IFERROR(IF(AI165="",WORKDAY.INTL(AC165,AF165,1,Holidays[Date]),AI165),"")</f>
        <v/>
      </c>
      <c r="AI165" s="78"/>
      <c r="AJ165" s="80"/>
      <c r="AK165" s="68"/>
      <c r="AL165" s="77" t="str">
        <f>IF(AQ165="","",WORKDAY.INTL(AQ165,AO165*-1,1,Holidays[Date]))</f>
        <v/>
      </c>
      <c r="AM165" s="77" t="str">
        <f ca="1">IFERROR(IF(AN165="",WORKDAY.INTL(AH165,AK165,1,Holidays[Date]),AN165),"")</f>
        <v/>
      </c>
      <c r="AN165" s="78"/>
      <c r="AO165" s="80"/>
      <c r="AP165" s="68"/>
      <c r="AQ165" s="77" t="str">
        <f>IF(AV165="","",WORKDAY.INTL(AV165,AT165*-1,1,Holidays[Date]))</f>
        <v/>
      </c>
      <c r="AR165" s="77" t="str">
        <f ca="1">IFERROR(IF(AS165="",WORKDAY.INTL(AM165,AP165,1,Holidays[Date]),AS165),"")</f>
        <v/>
      </c>
      <c r="AS165" s="78"/>
      <c r="AT165" s="80"/>
      <c r="AU165" s="68"/>
      <c r="AV165" s="77" t="str">
        <f>IF(BA165="","",WORKDAY.INTL(BA165,AY165*-1,1,Holidays[Date]))</f>
        <v/>
      </c>
      <c r="AW165" s="77" t="str">
        <f ca="1">IFERROR(IF(AX165="",WORKDAY.INTL(AR165,AU165,1,Holidays[Date]),AX165),"")</f>
        <v/>
      </c>
      <c r="AX165" s="78"/>
      <c r="AY165" s="80"/>
      <c r="AZ165" s="68"/>
      <c r="BA165" s="77" t="str">
        <f>IF(BF165="","",WORKDAY.INTL(BF165,BD165*-1,1,Holidays[Date]))</f>
        <v/>
      </c>
      <c r="BB165" s="77" t="str">
        <f ca="1">IFERROR(IF(BC165="",WORKDAY.INTL(AW165,AZ165,1,Holidays[Date]),BC165),"")</f>
        <v/>
      </c>
      <c r="BC165" s="78"/>
      <c r="BD165" s="80"/>
      <c r="BE165" s="68"/>
      <c r="BF165" s="77" t="str">
        <f>IF(BK165="","",WORKDAY.INTL(BK165,BI165*-1,1,Holidays[Date]))</f>
        <v/>
      </c>
      <c r="BG165" s="77" t="str">
        <f ca="1">IFERROR(IF(BH165="",WORKDAY.INTL(BB165,BE165,1,Holidays[Date]),BH165),"")</f>
        <v/>
      </c>
      <c r="BH165" s="78"/>
      <c r="BI165" s="80"/>
      <c r="BJ165" s="68"/>
      <c r="BK165" s="77" t="str">
        <f>IF(BP165="","",WORKDAY.INTL(BP165,BN165*-1,1,Holidays[Date]))</f>
        <v/>
      </c>
      <c r="BL165" s="77" t="str">
        <f ca="1">IFERROR(IF(BM165="",WORKDAY.INTL(BG165,BJ165,1,Holidays[Date]),BM165),"")</f>
        <v/>
      </c>
      <c r="BM165" s="78"/>
      <c r="BN165" s="80"/>
      <c r="BO165" s="68"/>
      <c r="BP165" s="77" t="str">
        <f>IF(BU165="","",WORKDAY.INTL(BU165,BS165*-1,1,Holidays[Date]))</f>
        <v/>
      </c>
      <c r="BQ165" s="77" t="str">
        <f ca="1">IFERROR(IF(BR165="",WORKDAY.INTL(BL165,BO165,1,Holidays[Date]),BR165),"")</f>
        <v/>
      </c>
      <c r="BR165" s="78"/>
      <c r="BS165" s="80"/>
      <c r="BT165" s="68"/>
      <c r="BU165" s="77" t="str">
        <f>IF(BZ165="","",WORKDAY.INTL(BZ165,BX165*-1,1,Holidays[Date]))</f>
        <v/>
      </c>
      <c r="BV165" s="77" t="str">
        <f ca="1">IFERROR(IF(BW165="",WORKDAY.INTL(BQ165,BT165,1,Holidays[Date]),BW165),"")</f>
        <v/>
      </c>
      <c r="BW165" s="78"/>
      <c r="BX165" s="80"/>
      <c r="BY165" s="68"/>
      <c r="BZ165" s="81"/>
      <c r="CA165" s="77" t="str">
        <f ca="1">IFERROR(IF(CB165="",WORKDAY.INTL(BV165,BY165,1,Holidays[Date]),CB165),"")</f>
        <v/>
      </c>
      <c r="CB165" s="78"/>
    </row>
    <row r="166" spans="1:80" ht="19" customHeight="1" x14ac:dyDescent="0.35">
      <c r="A166" s="31"/>
      <c r="B166" s="82"/>
      <c r="C166" s="1"/>
      <c r="D166" s="8"/>
      <c r="E166" s="8"/>
      <c r="F166" s="8"/>
      <c r="G166" s="8"/>
      <c r="H166" s="8"/>
      <c r="I166" s="9"/>
      <c r="J166" s="8"/>
      <c r="K166" s="8"/>
      <c r="L166" s="8"/>
      <c r="M166" s="8"/>
      <c r="N166" s="8"/>
      <c r="O166" s="8"/>
      <c r="P166" s="8"/>
      <c r="Q166" s="2"/>
      <c r="R166" s="2"/>
      <c r="S166" s="88" t="str">
        <f>IF(tblProcRegister[[#This Row],[Award]]&lt;&gt;"",tblProcRegister[[#This Row],[Budget]]-tblProcRegister[[#This Row],[Award]],"")</f>
        <v/>
      </c>
      <c r="T166" s="68"/>
      <c r="U166" s="68"/>
      <c r="V166" s="68"/>
      <c r="W166" s="77" t="str">
        <f>IF(AB166="","",WORKDAY.INTL(AB166,Z166*-1,1,Holidays[Date]))</f>
        <v/>
      </c>
      <c r="X166" s="77" t="str">
        <f t="shared" ca="1" si="2"/>
        <v/>
      </c>
      <c r="Y166" s="78"/>
      <c r="Z166" s="79"/>
      <c r="AA166" s="68"/>
      <c r="AB166" s="77" t="str">
        <f>IF(AG166="","",WORKDAY.INTL(AG166,AE166*-1,1,Holidays[Date]))</f>
        <v/>
      </c>
      <c r="AC166" s="77" t="str">
        <f ca="1">IFERROR(IF(AD166="",WORKDAY.INTL(X166,AA166,1,Holidays[Date]),AD166),"")</f>
        <v/>
      </c>
      <c r="AD166" s="78"/>
      <c r="AE166" s="80"/>
      <c r="AF166" s="68"/>
      <c r="AG166" s="77" t="str">
        <f>IF(AL166="","",WORKDAY.INTL(AL166,AJ166*-1,1,Holidays[Date]))</f>
        <v/>
      </c>
      <c r="AH166" s="77" t="str">
        <f ca="1">IFERROR(IF(AI166="",WORKDAY.INTL(AC166,AF166,1,Holidays[Date]),AI166),"")</f>
        <v/>
      </c>
      <c r="AI166" s="78"/>
      <c r="AJ166" s="80"/>
      <c r="AK166" s="68"/>
      <c r="AL166" s="77" t="str">
        <f>IF(AQ166="","",WORKDAY.INTL(AQ166,AO166*-1,1,Holidays[Date]))</f>
        <v/>
      </c>
      <c r="AM166" s="77" t="str">
        <f ca="1">IFERROR(IF(AN166="",WORKDAY.INTL(AH166,AK166,1,Holidays[Date]),AN166),"")</f>
        <v/>
      </c>
      <c r="AN166" s="78"/>
      <c r="AO166" s="80"/>
      <c r="AP166" s="68"/>
      <c r="AQ166" s="77" t="str">
        <f>IF(AV166="","",WORKDAY.INTL(AV166,AT166*-1,1,Holidays[Date]))</f>
        <v/>
      </c>
      <c r="AR166" s="77" t="str">
        <f ca="1">IFERROR(IF(AS166="",WORKDAY.INTL(AM166,AP166,1,Holidays[Date]),AS166),"")</f>
        <v/>
      </c>
      <c r="AS166" s="78"/>
      <c r="AT166" s="80"/>
      <c r="AU166" s="68"/>
      <c r="AV166" s="77" t="str">
        <f>IF(BA166="","",WORKDAY.INTL(BA166,AY166*-1,1,Holidays[Date]))</f>
        <v/>
      </c>
      <c r="AW166" s="77" t="str">
        <f ca="1">IFERROR(IF(AX166="",WORKDAY.INTL(AR166,AU166,1,Holidays[Date]),AX166),"")</f>
        <v/>
      </c>
      <c r="AX166" s="78"/>
      <c r="AY166" s="80"/>
      <c r="AZ166" s="68"/>
      <c r="BA166" s="77" t="str">
        <f>IF(BF166="","",WORKDAY.INTL(BF166,BD166*-1,1,Holidays[Date]))</f>
        <v/>
      </c>
      <c r="BB166" s="77" t="str">
        <f ca="1">IFERROR(IF(BC166="",WORKDAY.INTL(AW166,AZ166,1,Holidays[Date]),BC166),"")</f>
        <v/>
      </c>
      <c r="BC166" s="78"/>
      <c r="BD166" s="80"/>
      <c r="BE166" s="68"/>
      <c r="BF166" s="77" t="str">
        <f>IF(BK166="","",WORKDAY.INTL(BK166,BI166*-1,1,Holidays[Date]))</f>
        <v/>
      </c>
      <c r="BG166" s="77" t="str">
        <f ca="1">IFERROR(IF(BH166="",WORKDAY.INTL(BB166,BE166,1,Holidays[Date]),BH166),"")</f>
        <v/>
      </c>
      <c r="BH166" s="78"/>
      <c r="BI166" s="80"/>
      <c r="BJ166" s="68"/>
      <c r="BK166" s="77" t="str">
        <f>IF(BP166="","",WORKDAY.INTL(BP166,BN166*-1,1,Holidays[Date]))</f>
        <v/>
      </c>
      <c r="BL166" s="77" t="str">
        <f ca="1">IFERROR(IF(BM166="",WORKDAY.INTL(BG166,BJ166,1,Holidays[Date]),BM166),"")</f>
        <v/>
      </c>
      <c r="BM166" s="78"/>
      <c r="BN166" s="80"/>
      <c r="BO166" s="68"/>
      <c r="BP166" s="77" t="str">
        <f>IF(BU166="","",WORKDAY.INTL(BU166,BS166*-1,1,Holidays[Date]))</f>
        <v/>
      </c>
      <c r="BQ166" s="77" t="str">
        <f ca="1">IFERROR(IF(BR166="",WORKDAY.INTL(BL166,BO166,1,Holidays[Date]),BR166),"")</f>
        <v/>
      </c>
      <c r="BR166" s="78"/>
      <c r="BS166" s="80"/>
      <c r="BT166" s="68"/>
      <c r="BU166" s="77" t="str">
        <f>IF(BZ166="","",WORKDAY.INTL(BZ166,BX166*-1,1,Holidays[Date]))</f>
        <v/>
      </c>
      <c r="BV166" s="77" t="str">
        <f ca="1">IFERROR(IF(BW166="",WORKDAY.INTL(BQ166,BT166,1,Holidays[Date]),BW166),"")</f>
        <v/>
      </c>
      <c r="BW166" s="78"/>
      <c r="BX166" s="80"/>
      <c r="BY166" s="68"/>
      <c r="BZ166" s="81"/>
      <c r="CA166" s="77" t="str">
        <f ca="1">IFERROR(IF(CB166="",WORKDAY.INTL(BV166,BY166,1,Holidays[Date]),CB166),"")</f>
        <v/>
      </c>
      <c r="CB166" s="78"/>
    </row>
    <row r="167" spans="1:80" ht="19" customHeight="1" x14ac:dyDescent="0.35">
      <c r="A167" s="31"/>
      <c r="B167" s="82"/>
      <c r="C167" s="1"/>
      <c r="D167" s="8"/>
      <c r="E167" s="8"/>
      <c r="F167" s="8"/>
      <c r="G167" s="8"/>
      <c r="H167" s="8"/>
      <c r="I167" s="9"/>
      <c r="J167" s="8"/>
      <c r="K167" s="8"/>
      <c r="L167" s="8"/>
      <c r="M167" s="8"/>
      <c r="N167" s="8"/>
      <c r="O167" s="8"/>
      <c r="P167" s="8"/>
      <c r="Q167" s="2"/>
      <c r="R167" s="2"/>
      <c r="S167" s="88" t="str">
        <f>IF(tblProcRegister[[#This Row],[Award]]&lt;&gt;"",tblProcRegister[[#This Row],[Budget]]-tblProcRegister[[#This Row],[Award]],"")</f>
        <v/>
      </c>
      <c r="T167" s="68"/>
      <c r="U167" s="68"/>
      <c r="V167" s="68"/>
      <c r="W167" s="77" t="str">
        <f>IF(AB167="","",WORKDAY.INTL(AB167,Z167*-1,1,Holidays[Date]))</f>
        <v/>
      </c>
      <c r="X167" s="77" t="str">
        <f t="shared" ca="1" si="2"/>
        <v/>
      </c>
      <c r="Y167" s="78"/>
      <c r="Z167" s="79"/>
      <c r="AA167" s="68"/>
      <c r="AB167" s="77" t="str">
        <f>IF(AG167="","",WORKDAY.INTL(AG167,AE167*-1,1,Holidays[Date]))</f>
        <v/>
      </c>
      <c r="AC167" s="77" t="str">
        <f ca="1">IFERROR(IF(AD167="",WORKDAY.INTL(X167,AA167,1,Holidays[Date]),AD167),"")</f>
        <v/>
      </c>
      <c r="AD167" s="78"/>
      <c r="AE167" s="80"/>
      <c r="AF167" s="68"/>
      <c r="AG167" s="77" t="str">
        <f>IF(AL167="","",WORKDAY.INTL(AL167,AJ167*-1,1,Holidays[Date]))</f>
        <v/>
      </c>
      <c r="AH167" s="77" t="str">
        <f ca="1">IFERROR(IF(AI167="",WORKDAY.INTL(AC167,AF167,1,Holidays[Date]),AI167),"")</f>
        <v/>
      </c>
      <c r="AI167" s="78"/>
      <c r="AJ167" s="80"/>
      <c r="AK167" s="68"/>
      <c r="AL167" s="77" t="str">
        <f>IF(AQ167="","",WORKDAY.INTL(AQ167,AO167*-1,1,Holidays[Date]))</f>
        <v/>
      </c>
      <c r="AM167" s="77" t="str">
        <f ca="1">IFERROR(IF(AN167="",WORKDAY.INTL(AH167,AK167,1,Holidays[Date]),AN167),"")</f>
        <v/>
      </c>
      <c r="AN167" s="78"/>
      <c r="AO167" s="80"/>
      <c r="AP167" s="68"/>
      <c r="AQ167" s="77" t="str">
        <f>IF(AV167="","",WORKDAY.INTL(AV167,AT167*-1,1,Holidays[Date]))</f>
        <v/>
      </c>
      <c r="AR167" s="77" t="str">
        <f ca="1">IFERROR(IF(AS167="",WORKDAY.INTL(AM167,AP167,1,Holidays[Date]),AS167),"")</f>
        <v/>
      </c>
      <c r="AS167" s="78"/>
      <c r="AT167" s="80"/>
      <c r="AU167" s="68"/>
      <c r="AV167" s="77" t="str">
        <f>IF(BA167="","",WORKDAY.INTL(BA167,AY167*-1,1,Holidays[Date]))</f>
        <v/>
      </c>
      <c r="AW167" s="77" t="str">
        <f ca="1">IFERROR(IF(AX167="",WORKDAY.INTL(AR167,AU167,1,Holidays[Date]),AX167),"")</f>
        <v/>
      </c>
      <c r="AX167" s="78"/>
      <c r="AY167" s="80"/>
      <c r="AZ167" s="68"/>
      <c r="BA167" s="77" t="str">
        <f>IF(BF167="","",WORKDAY.INTL(BF167,BD167*-1,1,Holidays[Date]))</f>
        <v/>
      </c>
      <c r="BB167" s="77" t="str">
        <f ca="1">IFERROR(IF(BC167="",WORKDAY.INTL(AW167,AZ167,1,Holidays[Date]),BC167),"")</f>
        <v/>
      </c>
      <c r="BC167" s="78"/>
      <c r="BD167" s="80"/>
      <c r="BE167" s="68"/>
      <c r="BF167" s="77" t="str">
        <f>IF(BK167="","",WORKDAY.INTL(BK167,BI167*-1,1,Holidays[Date]))</f>
        <v/>
      </c>
      <c r="BG167" s="77" t="str">
        <f ca="1">IFERROR(IF(BH167="",WORKDAY.INTL(BB167,BE167,1,Holidays[Date]),BH167),"")</f>
        <v/>
      </c>
      <c r="BH167" s="78"/>
      <c r="BI167" s="80"/>
      <c r="BJ167" s="68"/>
      <c r="BK167" s="77" t="str">
        <f>IF(BP167="","",WORKDAY.INTL(BP167,BN167*-1,1,Holidays[Date]))</f>
        <v/>
      </c>
      <c r="BL167" s="77" t="str">
        <f ca="1">IFERROR(IF(BM167="",WORKDAY.INTL(BG167,BJ167,1,Holidays[Date]),BM167),"")</f>
        <v/>
      </c>
      <c r="BM167" s="78"/>
      <c r="BN167" s="80"/>
      <c r="BO167" s="68"/>
      <c r="BP167" s="77" t="str">
        <f>IF(BU167="","",WORKDAY.INTL(BU167,BS167*-1,1,Holidays[Date]))</f>
        <v/>
      </c>
      <c r="BQ167" s="77" t="str">
        <f ca="1">IFERROR(IF(BR167="",WORKDAY.INTL(BL167,BO167,1,Holidays[Date]),BR167),"")</f>
        <v/>
      </c>
      <c r="BR167" s="78"/>
      <c r="BS167" s="80"/>
      <c r="BT167" s="68"/>
      <c r="BU167" s="77" t="str">
        <f>IF(BZ167="","",WORKDAY.INTL(BZ167,BX167*-1,1,Holidays[Date]))</f>
        <v/>
      </c>
      <c r="BV167" s="77" t="str">
        <f ca="1">IFERROR(IF(BW167="",WORKDAY.INTL(BQ167,BT167,1,Holidays[Date]),BW167),"")</f>
        <v/>
      </c>
      <c r="BW167" s="78"/>
      <c r="BX167" s="80"/>
      <c r="BY167" s="68"/>
      <c r="BZ167" s="81"/>
      <c r="CA167" s="77" t="str">
        <f ca="1">IFERROR(IF(CB167="",WORKDAY.INTL(BV167,BY167,1,Holidays[Date]),CB167),"")</f>
        <v/>
      </c>
      <c r="CB167" s="78"/>
    </row>
    <row r="168" spans="1:80" ht="19" customHeight="1" x14ac:dyDescent="0.35">
      <c r="A168" s="31"/>
      <c r="B168" s="82"/>
      <c r="C168" s="1"/>
      <c r="D168" s="8"/>
      <c r="E168" s="8"/>
      <c r="F168" s="8"/>
      <c r="G168" s="8"/>
      <c r="H168" s="8"/>
      <c r="I168" s="9"/>
      <c r="J168" s="8"/>
      <c r="K168" s="8"/>
      <c r="L168" s="8"/>
      <c r="M168" s="8"/>
      <c r="N168" s="8"/>
      <c r="O168" s="8"/>
      <c r="P168" s="8"/>
      <c r="Q168" s="2"/>
      <c r="R168" s="2"/>
      <c r="S168" s="88" t="str">
        <f>IF(tblProcRegister[[#This Row],[Award]]&lt;&gt;"",tblProcRegister[[#This Row],[Budget]]-tblProcRegister[[#This Row],[Award]],"")</f>
        <v/>
      </c>
      <c r="T168" s="68"/>
      <c r="U168" s="68"/>
      <c r="V168" s="68"/>
      <c r="W168" s="77" t="str">
        <f>IF(AB168="","",WORKDAY.INTL(AB168,Z168*-1,1,Holidays[Date]))</f>
        <v/>
      </c>
      <c r="X168" s="77" t="str">
        <f t="shared" ca="1" si="2"/>
        <v/>
      </c>
      <c r="Y168" s="78"/>
      <c r="Z168" s="79"/>
      <c r="AA168" s="68"/>
      <c r="AB168" s="77" t="str">
        <f>IF(AG168="","",WORKDAY.INTL(AG168,AE168*-1,1,Holidays[Date]))</f>
        <v/>
      </c>
      <c r="AC168" s="77" t="str">
        <f ca="1">IFERROR(IF(AD168="",WORKDAY.INTL(X168,AA168,1,Holidays[Date]),AD168),"")</f>
        <v/>
      </c>
      <c r="AD168" s="78"/>
      <c r="AE168" s="80"/>
      <c r="AF168" s="68"/>
      <c r="AG168" s="77" t="str">
        <f>IF(AL168="","",WORKDAY.INTL(AL168,AJ168*-1,1,Holidays[Date]))</f>
        <v/>
      </c>
      <c r="AH168" s="77" t="str">
        <f ca="1">IFERROR(IF(AI168="",WORKDAY.INTL(AC168,AF168,1,Holidays[Date]),AI168),"")</f>
        <v/>
      </c>
      <c r="AI168" s="78"/>
      <c r="AJ168" s="80"/>
      <c r="AK168" s="68"/>
      <c r="AL168" s="77" t="str">
        <f>IF(AQ168="","",WORKDAY.INTL(AQ168,AO168*-1,1,Holidays[Date]))</f>
        <v/>
      </c>
      <c r="AM168" s="77" t="str">
        <f ca="1">IFERROR(IF(AN168="",WORKDAY.INTL(AH168,AK168,1,Holidays[Date]),AN168),"")</f>
        <v/>
      </c>
      <c r="AN168" s="78"/>
      <c r="AO168" s="80"/>
      <c r="AP168" s="68"/>
      <c r="AQ168" s="77" t="str">
        <f>IF(AV168="","",WORKDAY.INTL(AV168,AT168*-1,1,Holidays[Date]))</f>
        <v/>
      </c>
      <c r="AR168" s="77" t="str">
        <f ca="1">IFERROR(IF(AS168="",WORKDAY.INTL(AM168,AP168,1,Holidays[Date]),AS168),"")</f>
        <v/>
      </c>
      <c r="AS168" s="78"/>
      <c r="AT168" s="80"/>
      <c r="AU168" s="68"/>
      <c r="AV168" s="77" t="str">
        <f>IF(BA168="","",WORKDAY.INTL(BA168,AY168*-1,1,Holidays[Date]))</f>
        <v/>
      </c>
      <c r="AW168" s="77" t="str">
        <f ca="1">IFERROR(IF(AX168="",WORKDAY.INTL(AR168,AU168,1,Holidays[Date]),AX168),"")</f>
        <v/>
      </c>
      <c r="AX168" s="78"/>
      <c r="AY168" s="80"/>
      <c r="AZ168" s="68"/>
      <c r="BA168" s="77" t="str">
        <f>IF(BF168="","",WORKDAY.INTL(BF168,BD168*-1,1,Holidays[Date]))</f>
        <v/>
      </c>
      <c r="BB168" s="77" t="str">
        <f ca="1">IFERROR(IF(BC168="",WORKDAY.INTL(AW168,AZ168,1,Holidays[Date]),BC168),"")</f>
        <v/>
      </c>
      <c r="BC168" s="78"/>
      <c r="BD168" s="80"/>
      <c r="BE168" s="68"/>
      <c r="BF168" s="77" t="str">
        <f>IF(BK168="","",WORKDAY.INTL(BK168,BI168*-1,1,Holidays[Date]))</f>
        <v/>
      </c>
      <c r="BG168" s="77" t="str">
        <f ca="1">IFERROR(IF(BH168="",WORKDAY.INTL(BB168,BE168,1,Holidays[Date]),BH168),"")</f>
        <v/>
      </c>
      <c r="BH168" s="78"/>
      <c r="BI168" s="80"/>
      <c r="BJ168" s="68"/>
      <c r="BK168" s="77" t="str">
        <f>IF(BP168="","",WORKDAY.INTL(BP168,BN168*-1,1,Holidays[Date]))</f>
        <v/>
      </c>
      <c r="BL168" s="77" t="str">
        <f ca="1">IFERROR(IF(BM168="",WORKDAY.INTL(BG168,BJ168,1,Holidays[Date]),BM168),"")</f>
        <v/>
      </c>
      <c r="BM168" s="78"/>
      <c r="BN168" s="80"/>
      <c r="BO168" s="68"/>
      <c r="BP168" s="77" t="str">
        <f>IF(BU168="","",WORKDAY.INTL(BU168,BS168*-1,1,Holidays[Date]))</f>
        <v/>
      </c>
      <c r="BQ168" s="77" t="str">
        <f ca="1">IFERROR(IF(BR168="",WORKDAY.INTL(BL168,BO168,1,Holidays[Date]),BR168),"")</f>
        <v/>
      </c>
      <c r="BR168" s="78"/>
      <c r="BS168" s="80"/>
      <c r="BT168" s="68"/>
      <c r="BU168" s="77" t="str">
        <f>IF(BZ168="","",WORKDAY.INTL(BZ168,BX168*-1,1,Holidays[Date]))</f>
        <v/>
      </c>
      <c r="BV168" s="77" t="str">
        <f ca="1">IFERROR(IF(BW168="",WORKDAY.INTL(BQ168,BT168,1,Holidays[Date]),BW168),"")</f>
        <v/>
      </c>
      <c r="BW168" s="78"/>
      <c r="BX168" s="80"/>
      <c r="BY168" s="68"/>
      <c r="BZ168" s="81"/>
      <c r="CA168" s="77" t="str">
        <f ca="1">IFERROR(IF(CB168="",WORKDAY.INTL(BV168,BY168,1,Holidays[Date]),CB168),"")</f>
        <v/>
      </c>
      <c r="CB168" s="78"/>
    </row>
    <row r="169" spans="1:80" ht="19" customHeight="1" x14ac:dyDescent="0.35">
      <c r="A169" s="31"/>
      <c r="B169" s="82"/>
      <c r="C169" s="1"/>
      <c r="D169" s="8"/>
      <c r="E169" s="8"/>
      <c r="F169" s="8"/>
      <c r="G169" s="8"/>
      <c r="H169" s="8"/>
      <c r="I169" s="9"/>
      <c r="J169" s="8"/>
      <c r="K169" s="8"/>
      <c r="L169" s="8"/>
      <c r="M169" s="8"/>
      <c r="N169" s="8"/>
      <c r="O169" s="8"/>
      <c r="P169" s="8"/>
      <c r="Q169" s="2"/>
      <c r="R169" s="2"/>
      <c r="S169" s="88" t="str">
        <f>IF(tblProcRegister[[#This Row],[Award]]&lt;&gt;"",tblProcRegister[[#This Row],[Budget]]-tblProcRegister[[#This Row],[Award]],"")</f>
        <v/>
      </c>
      <c r="T169" s="68"/>
      <c r="U169" s="68"/>
      <c r="V169" s="68"/>
      <c r="W169" s="77" t="str">
        <f>IF(AB169="","",WORKDAY.INTL(AB169,Z169*-1,1,Holidays[Date]))</f>
        <v/>
      </c>
      <c r="X169" s="77" t="str">
        <f t="shared" ca="1" si="2"/>
        <v/>
      </c>
      <c r="Y169" s="78"/>
      <c r="Z169" s="79"/>
      <c r="AA169" s="68"/>
      <c r="AB169" s="77" t="str">
        <f>IF(AG169="","",WORKDAY.INTL(AG169,AE169*-1,1,Holidays[Date]))</f>
        <v/>
      </c>
      <c r="AC169" s="77" t="str">
        <f ca="1">IFERROR(IF(AD169="",WORKDAY.INTL(X169,AA169,1,Holidays[Date]),AD169),"")</f>
        <v/>
      </c>
      <c r="AD169" s="78"/>
      <c r="AE169" s="80"/>
      <c r="AF169" s="68"/>
      <c r="AG169" s="77" t="str">
        <f>IF(AL169="","",WORKDAY.INTL(AL169,AJ169*-1,1,Holidays[Date]))</f>
        <v/>
      </c>
      <c r="AH169" s="77" t="str">
        <f ca="1">IFERROR(IF(AI169="",WORKDAY.INTL(AC169,AF169,1,Holidays[Date]),AI169),"")</f>
        <v/>
      </c>
      <c r="AI169" s="78"/>
      <c r="AJ169" s="80"/>
      <c r="AK169" s="68"/>
      <c r="AL169" s="77" t="str">
        <f>IF(AQ169="","",WORKDAY.INTL(AQ169,AO169*-1,1,Holidays[Date]))</f>
        <v/>
      </c>
      <c r="AM169" s="77" t="str">
        <f ca="1">IFERROR(IF(AN169="",WORKDAY.INTL(AH169,AK169,1,Holidays[Date]),AN169),"")</f>
        <v/>
      </c>
      <c r="AN169" s="78"/>
      <c r="AO169" s="80"/>
      <c r="AP169" s="68"/>
      <c r="AQ169" s="77" t="str">
        <f>IF(AV169="","",WORKDAY.INTL(AV169,AT169*-1,1,Holidays[Date]))</f>
        <v/>
      </c>
      <c r="AR169" s="77" t="str">
        <f ca="1">IFERROR(IF(AS169="",WORKDAY.INTL(AM169,AP169,1,Holidays[Date]),AS169),"")</f>
        <v/>
      </c>
      <c r="AS169" s="78"/>
      <c r="AT169" s="80"/>
      <c r="AU169" s="68"/>
      <c r="AV169" s="77" t="str">
        <f>IF(BA169="","",WORKDAY.INTL(BA169,AY169*-1,1,Holidays[Date]))</f>
        <v/>
      </c>
      <c r="AW169" s="77" t="str">
        <f ca="1">IFERROR(IF(AX169="",WORKDAY.INTL(AR169,AU169,1,Holidays[Date]),AX169),"")</f>
        <v/>
      </c>
      <c r="AX169" s="78"/>
      <c r="AY169" s="80"/>
      <c r="AZ169" s="68"/>
      <c r="BA169" s="77" t="str">
        <f>IF(BF169="","",WORKDAY.INTL(BF169,BD169*-1,1,Holidays[Date]))</f>
        <v/>
      </c>
      <c r="BB169" s="77" t="str">
        <f ca="1">IFERROR(IF(BC169="",WORKDAY.INTL(AW169,AZ169,1,Holidays[Date]),BC169),"")</f>
        <v/>
      </c>
      <c r="BC169" s="78"/>
      <c r="BD169" s="80"/>
      <c r="BE169" s="68"/>
      <c r="BF169" s="77" t="str">
        <f>IF(BK169="","",WORKDAY.INTL(BK169,BI169*-1,1,Holidays[Date]))</f>
        <v/>
      </c>
      <c r="BG169" s="77" t="str">
        <f ca="1">IFERROR(IF(BH169="",WORKDAY.INTL(BB169,BE169,1,Holidays[Date]),BH169),"")</f>
        <v/>
      </c>
      <c r="BH169" s="78"/>
      <c r="BI169" s="80"/>
      <c r="BJ169" s="68"/>
      <c r="BK169" s="77" t="str">
        <f>IF(BP169="","",WORKDAY.INTL(BP169,BN169*-1,1,Holidays[Date]))</f>
        <v/>
      </c>
      <c r="BL169" s="77" t="str">
        <f ca="1">IFERROR(IF(BM169="",WORKDAY.INTL(BG169,BJ169,1,Holidays[Date]),BM169),"")</f>
        <v/>
      </c>
      <c r="BM169" s="78"/>
      <c r="BN169" s="80"/>
      <c r="BO169" s="68"/>
      <c r="BP169" s="77" t="str">
        <f>IF(BU169="","",WORKDAY.INTL(BU169,BS169*-1,1,Holidays[Date]))</f>
        <v/>
      </c>
      <c r="BQ169" s="77" t="str">
        <f ca="1">IFERROR(IF(BR169="",WORKDAY.INTL(BL169,BO169,1,Holidays[Date]),BR169),"")</f>
        <v/>
      </c>
      <c r="BR169" s="78"/>
      <c r="BS169" s="80"/>
      <c r="BT169" s="68"/>
      <c r="BU169" s="77" t="str">
        <f>IF(BZ169="","",WORKDAY.INTL(BZ169,BX169*-1,1,Holidays[Date]))</f>
        <v/>
      </c>
      <c r="BV169" s="77" t="str">
        <f ca="1">IFERROR(IF(BW169="",WORKDAY.INTL(BQ169,BT169,1,Holidays[Date]),BW169),"")</f>
        <v/>
      </c>
      <c r="BW169" s="78"/>
      <c r="BX169" s="80"/>
      <c r="BY169" s="68"/>
      <c r="BZ169" s="81"/>
      <c r="CA169" s="77" t="str">
        <f ca="1">IFERROR(IF(CB169="",WORKDAY.INTL(BV169,BY169,1,Holidays[Date]),CB169),"")</f>
        <v/>
      </c>
      <c r="CB169" s="78"/>
    </row>
    <row r="170" spans="1:80" ht="19" customHeight="1" x14ac:dyDescent="0.35">
      <c r="A170" s="31"/>
      <c r="B170" s="82"/>
      <c r="C170" s="1"/>
      <c r="D170" s="8"/>
      <c r="E170" s="8"/>
      <c r="F170" s="8"/>
      <c r="G170" s="8"/>
      <c r="H170" s="8"/>
      <c r="I170" s="9"/>
      <c r="J170" s="8"/>
      <c r="K170" s="8"/>
      <c r="L170" s="8"/>
      <c r="M170" s="8"/>
      <c r="N170" s="8"/>
      <c r="O170" s="8"/>
      <c r="P170" s="8"/>
      <c r="Q170" s="2"/>
      <c r="R170" s="2"/>
      <c r="S170" s="88" t="str">
        <f>IF(tblProcRegister[[#This Row],[Award]]&lt;&gt;"",tblProcRegister[[#This Row],[Budget]]-tblProcRegister[[#This Row],[Award]],"")</f>
        <v/>
      </c>
      <c r="T170" s="68"/>
      <c r="U170" s="68"/>
      <c r="V170" s="68"/>
      <c r="W170" s="77" t="str">
        <f>IF(AB170="","",WORKDAY.INTL(AB170,Z170*-1,1,Holidays[Date]))</f>
        <v/>
      </c>
      <c r="X170" s="77" t="str">
        <f t="shared" ca="1" si="2"/>
        <v/>
      </c>
      <c r="Y170" s="78"/>
      <c r="Z170" s="79"/>
      <c r="AA170" s="68"/>
      <c r="AB170" s="77" t="str">
        <f>IF(AG170="","",WORKDAY.INTL(AG170,AE170*-1,1,Holidays[Date]))</f>
        <v/>
      </c>
      <c r="AC170" s="77" t="str">
        <f ca="1">IFERROR(IF(AD170="",WORKDAY.INTL(X170,AA170,1,Holidays[Date]),AD170),"")</f>
        <v/>
      </c>
      <c r="AD170" s="78"/>
      <c r="AE170" s="80"/>
      <c r="AF170" s="68"/>
      <c r="AG170" s="77" t="str">
        <f>IF(AL170="","",WORKDAY.INTL(AL170,AJ170*-1,1,Holidays[Date]))</f>
        <v/>
      </c>
      <c r="AH170" s="77" t="str">
        <f ca="1">IFERROR(IF(AI170="",WORKDAY.INTL(AC170,AF170,1,Holidays[Date]),AI170),"")</f>
        <v/>
      </c>
      <c r="AI170" s="78"/>
      <c r="AJ170" s="80"/>
      <c r="AK170" s="68"/>
      <c r="AL170" s="77" t="str">
        <f>IF(AQ170="","",WORKDAY.INTL(AQ170,AO170*-1,1,Holidays[Date]))</f>
        <v/>
      </c>
      <c r="AM170" s="77" t="str">
        <f ca="1">IFERROR(IF(AN170="",WORKDAY.INTL(AH170,AK170,1,Holidays[Date]),AN170),"")</f>
        <v/>
      </c>
      <c r="AN170" s="78"/>
      <c r="AO170" s="80"/>
      <c r="AP170" s="68"/>
      <c r="AQ170" s="77" t="str">
        <f>IF(AV170="","",WORKDAY.INTL(AV170,AT170*-1,1,Holidays[Date]))</f>
        <v/>
      </c>
      <c r="AR170" s="77" t="str">
        <f ca="1">IFERROR(IF(AS170="",WORKDAY.INTL(AM170,AP170,1,Holidays[Date]),AS170),"")</f>
        <v/>
      </c>
      <c r="AS170" s="78"/>
      <c r="AT170" s="80"/>
      <c r="AU170" s="68"/>
      <c r="AV170" s="77" t="str">
        <f>IF(BA170="","",WORKDAY.INTL(BA170,AY170*-1,1,Holidays[Date]))</f>
        <v/>
      </c>
      <c r="AW170" s="77" t="str">
        <f ca="1">IFERROR(IF(AX170="",WORKDAY.INTL(AR170,AU170,1,Holidays[Date]),AX170),"")</f>
        <v/>
      </c>
      <c r="AX170" s="78"/>
      <c r="AY170" s="80"/>
      <c r="AZ170" s="68"/>
      <c r="BA170" s="77" t="str">
        <f>IF(BF170="","",WORKDAY.INTL(BF170,BD170*-1,1,Holidays[Date]))</f>
        <v/>
      </c>
      <c r="BB170" s="77" t="str">
        <f ca="1">IFERROR(IF(BC170="",WORKDAY.INTL(AW170,AZ170,1,Holidays[Date]),BC170),"")</f>
        <v/>
      </c>
      <c r="BC170" s="78"/>
      <c r="BD170" s="80"/>
      <c r="BE170" s="68"/>
      <c r="BF170" s="77" t="str">
        <f>IF(BK170="","",WORKDAY.INTL(BK170,BI170*-1,1,Holidays[Date]))</f>
        <v/>
      </c>
      <c r="BG170" s="77" t="str">
        <f ca="1">IFERROR(IF(BH170="",WORKDAY.INTL(BB170,BE170,1,Holidays[Date]),BH170),"")</f>
        <v/>
      </c>
      <c r="BH170" s="78"/>
      <c r="BI170" s="80"/>
      <c r="BJ170" s="68"/>
      <c r="BK170" s="77" t="str">
        <f>IF(BP170="","",WORKDAY.INTL(BP170,BN170*-1,1,Holidays[Date]))</f>
        <v/>
      </c>
      <c r="BL170" s="77" t="str">
        <f ca="1">IFERROR(IF(BM170="",WORKDAY.INTL(BG170,BJ170,1,Holidays[Date]),BM170),"")</f>
        <v/>
      </c>
      <c r="BM170" s="78"/>
      <c r="BN170" s="80"/>
      <c r="BO170" s="68"/>
      <c r="BP170" s="77" t="str">
        <f>IF(BU170="","",WORKDAY.INTL(BU170,BS170*-1,1,Holidays[Date]))</f>
        <v/>
      </c>
      <c r="BQ170" s="77" t="str">
        <f ca="1">IFERROR(IF(BR170="",WORKDAY.INTL(BL170,BO170,1,Holidays[Date]),BR170),"")</f>
        <v/>
      </c>
      <c r="BR170" s="78"/>
      <c r="BS170" s="80"/>
      <c r="BT170" s="68"/>
      <c r="BU170" s="77" t="str">
        <f>IF(BZ170="","",WORKDAY.INTL(BZ170,BX170*-1,1,Holidays[Date]))</f>
        <v/>
      </c>
      <c r="BV170" s="77" t="str">
        <f ca="1">IFERROR(IF(BW170="",WORKDAY.INTL(BQ170,BT170,1,Holidays[Date]),BW170),"")</f>
        <v/>
      </c>
      <c r="BW170" s="78"/>
      <c r="BX170" s="80"/>
      <c r="BY170" s="68"/>
      <c r="BZ170" s="81"/>
      <c r="CA170" s="77" t="str">
        <f ca="1">IFERROR(IF(CB170="",WORKDAY.INTL(BV170,BY170,1,Holidays[Date]),CB170),"")</f>
        <v/>
      </c>
      <c r="CB170" s="78"/>
    </row>
    <row r="171" spans="1:80" ht="19" customHeight="1" x14ac:dyDescent="0.35">
      <c r="A171" s="31"/>
      <c r="B171" s="82"/>
      <c r="C171" s="1"/>
      <c r="D171" s="8"/>
      <c r="E171" s="8"/>
      <c r="F171" s="8"/>
      <c r="G171" s="8"/>
      <c r="H171" s="8"/>
      <c r="I171" s="9"/>
      <c r="J171" s="8"/>
      <c r="K171" s="8"/>
      <c r="L171" s="8"/>
      <c r="M171" s="8"/>
      <c r="N171" s="8"/>
      <c r="O171" s="8"/>
      <c r="P171" s="8"/>
      <c r="Q171" s="2"/>
      <c r="R171" s="2"/>
      <c r="S171" s="88" t="str">
        <f>IF(tblProcRegister[[#This Row],[Award]]&lt;&gt;"",tblProcRegister[[#This Row],[Budget]]-tblProcRegister[[#This Row],[Award]],"")</f>
        <v/>
      </c>
      <c r="T171" s="68"/>
      <c r="U171" s="68"/>
      <c r="V171" s="68"/>
      <c r="W171" s="77" t="str">
        <f>IF(AB171="","",WORKDAY.INTL(AB171,Z171*-1,1,Holidays[Date]))</f>
        <v/>
      </c>
      <c r="X171" s="77" t="str">
        <f t="shared" ca="1" si="2"/>
        <v/>
      </c>
      <c r="Y171" s="78"/>
      <c r="Z171" s="79"/>
      <c r="AA171" s="68"/>
      <c r="AB171" s="77" t="str">
        <f>IF(AG171="","",WORKDAY.INTL(AG171,AE171*-1,1,Holidays[Date]))</f>
        <v/>
      </c>
      <c r="AC171" s="77" t="str">
        <f ca="1">IFERROR(IF(AD171="",WORKDAY.INTL(X171,AA171,1,Holidays[Date]),AD171),"")</f>
        <v/>
      </c>
      <c r="AD171" s="78"/>
      <c r="AE171" s="80"/>
      <c r="AF171" s="68"/>
      <c r="AG171" s="77" t="str">
        <f>IF(AL171="","",WORKDAY.INTL(AL171,AJ171*-1,1,Holidays[Date]))</f>
        <v/>
      </c>
      <c r="AH171" s="77" t="str">
        <f ca="1">IFERROR(IF(AI171="",WORKDAY.INTL(AC171,AF171,1,Holidays[Date]),AI171),"")</f>
        <v/>
      </c>
      <c r="AI171" s="78"/>
      <c r="AJ171" s="80"/>
      <c r="AK171" s="68"/>
      <c r="AL171" s="77" t="str">
        <f>IF(AQ171="","",WORKDAY.INTL(AQ171,AO171*-1,1,Holidays[Date]))</f>
        <v/>
      </c>
      <c r="AM171" s="77" t="str">
        <f ca="1">IFERROR(IF(AN171="",WORKDAY.INTL(AH171,AK171,1,Holidays[Date]),AN171),"")</f>
        <v/>
      </c>
      <c r="AN171" s="78"/>
      <c r="AO171" s="80"/>
      <c r="AP171" s="68"/>
      <c r="AQ171" s="77" t="str">
        <f>IF(AV171="","",WORKDAY.INTL(AV171,AT171*-1,1,Holidays[Date]))</f>
        <v/>
      </c>
      <c r="AR171" s="77" t="str">
        <f ca="1">IFERROR(IF(AS171="",WORKDAY.INTL(AM171,AP171,1,Holidays[Date]),AS171),"")</f>
        <v/>
      </c>
      <c r="AS171" s="78"/>
      <c r="AT171" s="80"/>
      <c r="AU171" s="68"/>
      <c r="AV171" s="77" t="str">
        <f>IF(BA171="","",WORKDAY.INTL(BA171,AY171*-1,1,Holidays[Date]))</f>
        <v/>
      </c>
      <c r="AW171" s="77" t="str">
        <f ca="1">IFERROR(IF(AX171="",WORKDAY.INTL(AR171,AU171,1,Holidays[Date]),AX171),"")</f>
        <v/>
      </c>
      <c r="AX171" s="78"/>
      <c r="AY171" s="80"/>
      <c r="AZ171" s="68"/>
      <c r="BA171" s="77" t="str">
        <f>IF(BF171="","",WORKDAY.INTL(BF171,BD171*-1,1,Holidays[Date]))</f>
        <v/>
      </c>
      <c r="BB171" s="77" t="str">
        <f ca="1">IFERROR(IF(BC171="",WORKDAY.INTL(AW171,AZ171,1,Holidays[Date]),BC171),"")</f>
        <v/>
      </c>
      <c r="BC171" s="78"/>
      <c r="BD171" s="80"/>
      <c r="BE171" s="68"/>
      <c r="BF171" s="77" t="str">
        <f>IF(BK171="","",WORKDAY.INTL(BK171,BI171*-1,1,Holidays[Date]))</f>
        <v/>
      </c>
      <c r="BG171" s="77" t="str">
        <f ca="1">IFERROR(IF(BH171="",WORKDAY.INTL(BB171,BE171,1,Holidays[Date]),BH171),"")</f>
        <v/>
      </c>
      <c r="BH171" s="78"/>
      <c r="BI171" s="80"/>
      <c r="BJ171" s="68"/>
      <c r="BK171" s="77" t="str">
        <f>IF(BP171="","",WORKDAY.INTL(BP171,BN171*-1,1,Holidays[Date]))</f>
        <v/>
      </c>
      <c r="BL171" s="77" t="str">
        <f ca="1">IFERROR(IF(BM171="",WORKDAY.INTL(BG171,BJ171,1,Holidays[Date]),BM171),"")</f>
        <v/>
      </c>
      <c r="BM171" s="78"/>
      <c r="BN171" s="80"/>
      <c r="BO171" s="68"/>
      <c r="BP171" s="77" t="str">
        <f>IF(BU171="","",WORKDAY.INTL(BU171,BS171*-1,1,Holidays[Date]))</f>
        <v/>
      </c>
      <c r="BQ171" s="77" t="str">
        <f ca="1">IFERROR(IF(BR171="",WORKDAY.INTL(BL171,BO171,1,Holidays[Date]),BR171),"")</f>
        <v/>
      </c>
      <c r="BR171" s="78"/>
      <c r="BS171" s="80"/>
      <c r="BT171" s="68"/>
      <c r="BU171" s="77" t="str">
        <f>IF(BZ171="","",WORKDAY.INTL(BZ171,BX171*-1,1,Holidays[Date]))</f>
        <v/>
      </c>
      <c r="BV171" s="77" t="str">
        <f ca="1">IFERROR(IF(BW171="",WORKDAY.INTL(BQ171,BT171,1,Holidays[Date]),BW171),"")</f>
        <v/>
      </c>
      <c r="BW171" s="78"/>
      <c r="BX171" s="80"/>
      <c r="BY171" s="68"/>
      <c r="BZ171" s="81"/>
      <c r="CA171" s="77" t="str">
        <f ca="1">IFERROR(IF(CB171="",WORKDAY.INTL(BV171,BY171,1,Holidays[Date]),CB171),"")</f>
        <v/>
      </c>
      <c r="CB171" s="78"/>
    </row>
    <row r="172" spans="1:80" ht="19" customHeight="1" x14ac:dyDescent="0.35">
      <c r="A172" s="31"/>
      <c r="B172" s="82"/>
      <c r="C172" s="1"/>
      <c r="D172" s="8"/>
      <c r="E172" s="8"/>
      <c r="F172" s="8"/>
      <c r="G172" s="8"/>
      <c r="H172" s="8"/>
      <c r="I172" s="9"/>
      <c r="J172" s="8"/>
      <c r="K172" s="8"/>
      <c r="L172" s="8"/>
      <c r="M172" s="8"/>
      <c r="N172" s="8"/>
      <c r="O172" s="8"/>
      <c r="P172" s="8"/>
      <c r="Q172" s="2"/>
      <c r="R172" s="2"/>
      <c r="S172" s="88" t="str">
        <f>IF(tblProcRegister[[#This Row],[Award]]&lt;&gt;"",tblProcRegister[[#This Row],[Budget]]-tblProcRegister[[#This Row],[Award]],"")</f>
        <v/>
      </c>
      <c r="T172" s="68"/>
      <c r="U172" s="68"/>
      <c r="V172" s="68"/>
      <c r="W172" s="77" t="str">
        <f>IF(AB172="","",WORKDAY.INTL(AB172,Z172*-1,1,Holidays[Date]))</f>
        <v/>
      </c>
      <c r="X172" s="77" t="str">
        <f t="shared" ca="1" si="2"/>
        <v/>
      </c>
      <c r="Y172" s="78"/>
      <c r="Z172" s="79"/>
      <c r="AA172" s="68"/>
      <c r="AB172" s="77" t="str">
        <f>IF(AG172="","",WORKDAY.INTL(AG172,AE172*-1,1,Holidays[Date]))</f>
        <v/>
      </c>
      <c r="AC172" s="77" t="str">
        <f ca="1">IFERROR(IF(AD172="",WORKDAY.INTL(X172,AA172,1,Holidays[Date]),AD172),"")</f>
        <v/>
      </c>
      <c r="AD172" s="78"/>
      <c r="AE172" s="80"/>
      <c r="AF172" s="68"/>
      <c r="AG172" s="77" t="str">
        <f>IF(AL172="","",WORKDAY.INTL(AL172,AJ172*-1,1,Holidays[Date]))</f>
        <v/>
      </c>
      <c r="AH172" s="77" t="str">
        <f ca="1">IFERROR(IF(AI172="",WORKDAY.INTL(AC172,AF172,1,Holidays[Date]),AI172),"")</f>
        <v/>
      </c>
      <c r="AI172" s="78"/>
      <c r="AJ172" s="80"/>
      <c r="AK172" s="68"/>
      <c r="AL172" s="77" t="str">
        <f>IF(AQ172="","",WORKDAY.INTL(AQ172,AO172*-1,1,Holidays[Date]))</f>
        <v/>
      </c>
      <c r="AM172" s="77" t="str">
        <f ca="1">IFERROR(IF(AN172="",WORKDAY.INTL(AH172,AK172,1,Holidays[Date]),AN172),"")</f>
        <v/>
      </c>
      <c r="AN172" s="78"/>
      <c r="AO172" s="80"/>
      <c r="AP172" s="68"/>
      <c r="AQ172" s="77" t="str">
        <f>IF(AV172="","",WORKDAY.INTL(AV172,AT172*-1,1,Holidays[Date]))</f>
        <v/>
      </c>
      <c r="AR172" s="77" t="str">
        <f ca="1">IFERROR(IF(AS172="",WORKDAY.INTL(AM172,AP172,1,Holidays[Date]),AS172),"")</f>
        <v/>
      </c>
      <c r="AS172" s="78"/>
      <c r="AT172" s="80"/>
      <c r="AU172" s="68"/>
      <c r="AV172" s="77" t="str">
        <f>IF(BA172="","",WORKDAY.INTL(BA172,AY172*-1,1,Holidays[Date]))</f>
        <v/>
      </c>
      <c r="AW172" s="77" t="str">
        <f ca="1">IFERROR(IF(AX172="",WORKDAY.INTL(AR172,AU172,1,Holidays[Date]),AX172),"")</f>
        <v/>
      </c>
      <c r="AX172" s="78"/>
      <c r="AY172" s="80"/>
      <c r="AZ172" s="68"/>
      <c r="BA172" s="77" t="str">
        <f>IF(BF172="","",WORKDAY.INTL(BF172,BD172*-1,1,Holidays[Date]))</f>
        <v/>
      </c>
      <c r="BB172" s="77" t="str">
        <f ca="1">IFERROR(IF(BC172="",WORKDAY.INTL(AW172,AZ172,1,Holidays[Date]),BC172),"")</f>
        <v/>
      </c>
      <c r="BC172" s="78"/>
      <c r="BD172" s="80"/>
      <c r="BE172" s="68"/>
      <c r="BF172" s="77" t="str">
        <f>IF(BK172="","",WORKDAY.INTL(BK172,BI172*-1,1,Holidays[Date]))</f>
        <v/>
      </c>
      <c r="BG172" s="77" t="str">
        <f ca="1">IFERROR(IF(BH172="",WORKDAY.INTL(BB172,BE172,1,Holidays[Date]),BH172),"")</f>
        <v/>
      </c>
      <c r="BH172" s="78"/>
      <c r="BI172" s="80"/>
      <c r="BJ172" s="68"/>
      <c r="BK172" s="77" t="str">
        <f>IF(BP172="","",WORKDAY.INTL(BP172,BN172*-1,1,Holidays[Date]))</f>
        <v/>
      </c>
      <c r="BL172" s="77" t="str">
        <f ca="1">IFERROR(IF(BM172="",WORKDAY.INTL(BG172,BJ172,1,Holidays[Date]),BM172),"")</f>
        <v/>
      </c>
      <c r="BM172" s="78"/>
      <c r="BN172" s="80"/>
      <c r="BO172" s="68"/>
      <c r="BP172" s="77" t="str">
        <f>IF(BU172="","",WORKDAY.INTL(BU172,BS172*-1,1,Holidays[Date]))</f>
        <v/>
      </c>
      <c r="BQ172" s="77" t="str">
        <f ca="1">IFERROR(IF(BR172="",WORKDAY.INTL(BL172,BO172,1,Holidays[Date]),BR172),"")</f>
        <v/>
      </c>
      <c r="BR172" s="78"/>
      <c r="BS172" s="80"/>
      <c r="BT172" s="68"/>
      <c r="BU172" s="77" t="str">
        <f>IF(BZ172="","",WORKDAY.INTL(BZ172,BX172*-1,1,Holidays[Date]))</f>
        <v/>
      </c>
      <c r="BV172" s="77" t="str">
        <f ca="1">IFERROR(IF(BW172="",WORKDAY.INTL(BQ172,BT172,1,Holidays[Date]),BW172),"")</f>
        <v/>
      </c>
      <c r="BW172" s="78"/>
      <c r="BX172" s="80"/>
      <c r="BY172" s="68"/>
      <c r="BZ172" s="81"/>
      <c r="CA172" s="77" t="str">
        <f ca="1">IFERROR(IF(CB172="",WORKDAY.INTL(BV172,BY172,1,Holidays[Date]),CB172),"")</f>
        <v/>
      </c>
      <c r="CB172" s="78"/>
    </row>
    <row r="173" spans="1:80" ht="19" customHeight="1" x14ac:dyDescent="0.35">
      <c r="A173" s="31"/>
      <c r="B173" s="82"/>
      <c r="C173" s="1"/>
      <c r="D173" s="8"/>
      <c r="E173" s="8"/>
      <c r="F173" s="8"/>
      <c r="G173" s="8"/>
      <c r="H173" s="8"/>
      <c r="I173" s="9"/>
      <c r="J173" s="8"/>
      <c r="K173" s="8"/>
      <c r="L173" s="8"/>
      <c r="M173" s="8"/>
      <c r="N173" s="8"/>
      <c r="O173" s="8"/>
      <c r="P173" s="8"/>
      <c r="Q173" s="2"/>
      <c r="R173" s="2"/>
      <c r="S173" s="88" t="str">
        <f>IF(tblProcRegister[[#This Row],[Award]]&lt;&gt;"",tblProcRegister[[#This Row],[Budget]]-tblProcRegister[[#This Row],[Award]],"")</f>
        <v/>
      </c>
      <c r="T173" s="68"/>
      <c r="U173" s="68"/>
      <c r="V173" s="68"/>
      <c r="W173" s="77" t="str">
        <f>IF(AB173="","",WORKDAY.INTL(AB173,Z173*-1,1,Holidays[Date]))</f>
        <v/>
      </c>
      <c r="X173" s="77" t="str">
        <f t="shared" ca="1" si="2"/>
        <v/>
      </c>
      <c r="Y173" s="78"/>
      <c r="Z173" s="79"/>
      <c r="AA173" s="68"/>
      <c r="AB173" s="77" t="str">
        <f>IF(AG173="","",WORKDAY.INTL(AG173,AE173*-1,1,Holidays[Date]))</f>
        <v/>
      </c>
      <c r="AC173" s="77" t="str">
        <f ca="1">IFERROR(IF(AD173="",WORKDAY.INTL(X173,AA173,1,Holidays[Date]),AD173),"")</f>
        <v/>
      </c>
      <c r="AD173" s="78"/>
      <c r="AE173" s="80"/>
      <c r="AF173" s="68"/>
      <c r="AG173" s="77" t="str">
        <f>IF(AL173="","",WORKDAY.INTL(AL173,AJ173*-1,1,Holidays[Date]))</f>
        <v/>
      </c>
      <c r="AH173" s="77" t="str">
        <f ca="1">IFERROR(IF(AI173="",WORKDAY.INTL(AC173,AF173,1,Holidays[Date]),AI173),"")</f>
        <v/>
      </c>
      <c r="AI173" s="78"/>
      <c r="AJ173" s="80"/>
      <c r="AK173" s="68"/>
      <c r="AL173" s="77" t="str">
        <f>IF(AQ173="","",WORKDAY.INTL(AQ173,AO173*-1,1,Holidays[Date]))</f>
        <v/>
      </c>
      <c r="AM173" s="77" t="str">
        <f ca="1">IFERROR(IF(AN173="",WORKDAY.INTL(AH173,AK173,1,Holidays[Date]),AN173),"")</f>
        <v/>
      </c>
      <c r="AN173" s="78"/>
      <c r="AO173" s="80"/>
      <c r="AP173" s="68"/>
      <c r="AQ173" s="77" t="str">
        <f>IF(AV173="","",WORKDAY.INTL(AV173,AT173*-1,1,Holidays[Date]))</f>
        <v/>
      </c>
      <c r="AR173" s="77" t="str">
        <f ca="1">IFERROR(IF(AS173="",WORKDAY.INTL(AM173,AP173,1,Holidays[Date]),AS173),"")</f>
        <v/>
      </c>
      <c r="AS173" s="78"/>
      <c r="AT173" s="80"/>
      <c r="AU173" s="68"/>
      <c r="AV173" s="77" t="str">
        <f>IF(BA173="","",WORKDAY.INTL(BA173,AY173*-1,1,Holidays[Date]))</f>
        <v/>
      </c>
      <c r="AW173" s="77" t="str">
        <f ca="1">IFERROR(IF(AX173="",WORKDAY.INTL(AR173,AU173,1,Holidays[Date]),AX173),"")</f>
        <v/>
      </c>
      <c r="AX173" s="78"/>
      <c r="AY173" s="80"/>
      <c r="AZ173" s="68"/>
      <c r="BA173" s="77" t="str">
        <f>IF(BF173="","",WORKDAY.INTL(BF173,BD173*-1,1,Holidays[Date]))</f>
        <v/>
      </c>
      <c r="BB173" s="77" t="str">
        <f ca="1">IFERROR(IF(BC173="",WORKDAY.INTL(AW173,AZ173,1,Holidays[Date]),BC173),"")</f>
        <v/>
      </c>
      <c r="BC173" s="78"/>
      <c r="BD173" s="80"/>
      <c r="BE173" s="68"/>
      <c r="BF173" s="77" t="str">
        <f>IF(BK173="","",WORKDAY.INTL(BK173,BI173*-1,1,Holidays[Date]))</f>
        <v/>
      </c>
      <c r="BG173" s="77" t="str">
        <f ca="1">IFERROR(IF(BH173="",WORKDAY.INTL(BB173,BE173,1,Holidays[Date]),BH173),"")</f>
        <v/>
      </c>
      <c r="BH173" s="78"/>
      <c r="BI173" s="80"/>
      <c r="BJ173" s="68"/>
      <c r="BK173" s="77" t="str">
        <f>IF(BP173="","",WORKDAY.INTL(BP173,BN173*-1,1,Holidays[Date]))</f>
        <v/>
      </c>
      <c r="BL173" s="77" t="str">
        <f ca="1">IFERROR(IF(BM173="",WORKDAY.INTL(BG173,BJ173,1,Holidays[Date]),BM173),"")</f>
        <v/>
      </c>
      <c r="BM173" s="78"/>
      <c r="BN173" s="80"/>
      <c r="BO173" s="68"/>
      <c r="BP173" s="77" t="str">
        <f>IF(BU173="","",WORKDAY.INTL(BU173,BS173*-1,1,Holidays[Date]))</f>
        <v/>
      </c>
      <c r="BQ173" s="77" t="str">
        <f ca="1">IFERROR(IF(BR173="",WORKDAY.INTL(BL173,BO173,1,Holidays[Date]),BR173),"")</f>
        <v/>
      </c>
      <c r="BR173" s="78"/>
      <c r="BS173" s="80"/>
      <c r="BT173" s="68"/>
      <c r="BU173" s="77" t="str">
        <f>IF(BZ173="","",WORKDAY.INTL(BZ173,BX173*-1,1,Holidays[Date]))</f>
        <v/>
      </c>
      <c r="BV173" s="77" t="str">
        <f ca="1">IFERROR(IF(BW173="",WORKDAY.INTL(BQ173,BT173,1,Holidays[Date]),BW173),"")</f>
        <v/>
      </c>
      <c r="BW173" s="78"/>
      <c r="BX173" s="80"/>
      <c r="BY173" s="68"/>
      <c r="BZ173" s="81"/>
      <c r="CA173" s="77" t="str">
        <f ca="1">IFERROR(IF(CB173="",WORKDAY.INTL(BV173,BY173,1,Holidays[Date]),CB173),"")</f>
        <v/>
      </c>
      <c r="CB173" s="78"/>
    </row>
    <row r="174" spans="1:80" ht="19" customHeight="1" x14ac:dyDescent="0.35">
      <c r="A174" s="31"/>
      <c r="B174" s="82"/>
      <c r="C174" s="1"/>
      <c r="D174" s="8"/>
      <c r="E174" s="8"/>
      <c r="F174" s="8"/>
      <c r="G174" s="8"/>
      <c r="H174" s="8"/>
      <c r="I174" s="9"/>
      <c r="J174" s="8"/>
      <c r="K174" s="8"/>
      <c r="L174" s="8"/>
      <c r="M174" s="8"/>
      <c r="N174" s="8"/>
      <c r="O174" s="8"/>
      <c r="P174" s="8"/>
      <c r="Q174" s="2"/>
      <c r="R174" s="2"/>
      <c r="S174" s="88" t="str">
        <f>IF(tblProcRegister[[#This Row],[Award]]&lt;&gt;"",tblProcRegister[[#This Row],[Budget]]-tblProcRegister[[#This Row],[Award]],"")</f>
        <v/>
      </c>
      <c r="T174" s="68"/>
      <c r="U174" s="68"/>
      <c r="V174" s="68"/>
      <c r="W174" s="77" t="str">
        <f>IF(AB174="","",WORKDAY.INTL(AB174,Z174*-1,1,Holidays[Date]))</f>
        <v/>
      </c>
      <c r="X174" s="77" t="str">
        <f t="shared" ca="1" si="2"/>
        <v/>
      </c>
      <c r="Y174" s="78"/>
      <c r="Z174" s="79"/>
      <c r="AA174" s="68"/>
      <c r="AB174" s="77" t="str">
        <f>IF(AG174="","",WORKDAY.INTL(AG174,AE174*-1,1,Holidays[Date]))</f>
        <v/>
      </c>
      <c r="AC174" s="77" t="str">
        <f ca="1">IFERROR(IF(AD174="",WORKDAY.INTL(X174,AA174,1,Holidays[Date]),AD174),"")</f>
        <v/>
      </c>
      <c r="AD174" s="78"/>
      <c r="AE174" s="80"/>
      <c r="AF174" s="68"/>
      <c r="AG174" s="77" t="str">
        <f>IF(AL174="","",WORKDAY.INTL(AL174,AJ174*-1,1,Holidays[Date]))</f>
        <v/>
      </c>
      <c r="AH174" s="77" t="str">
        <f ca="1">IFERROR(IF(AI174="",WORKDAY.INTL(AC174,AF174,1,Holidays[Date]),AI174),"")</f>
        <v/>
      </c>
      <c r="AI174" s="78"/>
      <c r="AJ174" s="80"/>
      <c r="AK174" s="68"/>
      <c r="AL174" s="77" t="str">
        <f>IF(AQ174="","",WORKDAY.INTL(AQ174,AO174*-1,1,Holidays[Date]))</f>
        <v/>
      </c>
      <c r="AM174" s="77" t="str">
        <f ca="1">IFERROR(IF(AN174="",WORKDAY.INTL(AH174,AK174,1,Holidays[Date]),AN174),"")</f>
        <v/>
      </c>
      <c r="AN174" s="78"/>
      <c r="AO174" s="80"/>
      <c r="AP174" s="68"/>
      <c r="AQ174" s="77" t="str">
        <f>IF(AV174="","",WORKDAY.INTL(AV174,AT174*-1,1,Holidays[Date]))</f>
        <v/>
      </c>
      <c r="AR174" s="77" t="str">
        <f ca="1">IFERROR(IF(AS174="",WORKDAY.INTL(AM174,AP174,1,Holidays[Date]),AS174),"")</f>
        <v/>
      </c>
      <c r="AS174" s="78"/>
      <c r="AT174" s="80"/>
      <c r="AU174" s="68"/>
      <c r="AV174" s="77" t="str">
        <f>IF(BA174="","",WORKDAY.INTL(BA174,AY174*-1,1,Holidays[Date]))</f>
        <v/>
      </c>
      <c r="AW174" s="77" t="str">
        <f ca="1">IFERROR(IF(AX174="",WORKDAY.INTL(AR174,AU174,1,Holidays[Date]),AX174),"")</f>
        <v/>
      </c>
      <c r="AX174" s="78"/>
      <c r="AY174" s="80"/>
      <c r="AZ174" s="68"/>
      <c r="BA174" s="77" t="str">
        <f>IF(BF174="","",WORKDAY.INTL(BF174,BD174*-1,1,Holidays[Date]))</f>
        <v/>
      </c>
      <c r="BB174" s="77" t="str">
        <f ca="1">IFERROR(IF(BC174="",WORKDAY.INTL(AW174,AZ174,1,Holidays[Date]),BC174),"")</f>
        <v/>
      </c>
      <c r="BC174" s="78"/>
      <c r="BD174" s="80"/>
      <c r="BE174" s="68"/>
      <c r="BF174" s="77" t="str">
        <f>IF(BK174="","",WORKDAY.INTL(BK174,BI174*-1,1,Holidays[Date]))</f>
        <v/>
      </c>
      <c r="BG174" s="77" t="str">
        <f ca="1">IFERROR(IF(BH174="",WORKDAY.INTL(BB174,BE174,1,Holidays[Date]),BH174),"")</f>
        <v/>
      </c>
      <c r="BH174" s="78"/>
      <c r="BI174" s="80"/>
      <c r="BJ174" s="68"/>
      <c r="BK174" s="77" t="str">
        <f>IF(BP174="","",WORKDAY.INTL(BP174,BN174*-1,1,Holidays[Date]))</f>
        <v/>
      </c>
      <c r="BL174" s="77" t="str">
        <f ca="1">IFERROR(IF(BM174="",WORKDAY.INTL(BG174,BJ174,1,Holidays[Date]),BM174),"")</f>
        <v/>
      </c>
      <c r="BM174" s="78"/>
      <c r="BN174" s="80"/>
      <c r="BO174" s="68"/>
      <c r="BP174" s="77" t="str">
        <f>IF(BU174="","",WORKDAY.INTL(BU174,BS174*-1,1,Holidays[Date]))</f>
        <v/>
      </c>
      <c r="BQ174" s="77" t="str">
        <f ca="1">IFERROR(IF(BR174="",WORKDAY.INTL(BL174,BO174,1,Holidays[Date]),BR174),"")</f>
        <v/>
      </c>
      <c r="BR174" s="78"/>
      <c r="BS174" s="80"/>
      <c r="BT174" s="68"/>
      <c r="BU174" s="77" t="str">
        <f>IF(BZ174="","",WORKDAY.INTL(BZ174,BX174*-1,1,Holidays[Date]))</f>
        <v/>
      </c>
      <c r="BV174" s="77" t="str">
        <f ca="1">IFERROR(IF(BW174="",WORKDAY.INTL(BQ174,BT174,1,Holidays[Date]),BW174),"")</f>
        <v/>
      </c>
      <c r="BW174" s="78"/>
      <c r="BX174" s="80"/>
      <c r="BY174" s="68"/>
      <c r="BZ174" s="81"/>
      <c r="CA174" s="77" t="str">
        <f ca="1">IFERROR(IF(CB174="",WORKDAY.INTL(BV174,BY174,1,Holidays[Date]),CB174),"")</f>
        <v/>
      </c>
      <c r="CB174" s="78"/>
    </row>
    <row r="175" spans="1:80" ht="19" customHeight="1" x14ac:dyDescent="0.35">
      <c r="A175" s="31"/>
      <c r="B175" s="82"/>
      <c r="C175" s="1"/>
      <c r="D175" s="8"/>
      <c r="E175" s="8"/>
      <c r="F175" s="8"/>
      <c r="G175" s="8"/>
      <c r="H175" s="8"/>
      <c r="I175" s="9"/>
      <c r="J175" s="8"/>
      <c r="K175" s="8"/>
      <c r="L175" s="8"/>
      <c r="M175" s="8"/>
      <c r="N175" s="8"/>
      <c r="O175" s="8"/>
      <c r="P175" s="8"/>
      <c r="Q175" s="2"/>
      <c r="R175" s="2"/>
      <c r="S175" s="88" t="str">
        <f>IF(tblProcRegister[[#This Row],[Award]]&lt;&gt;"",tblProcRegister[[#This Row],[Budget]]-tblProcRegister[[#This Row],[Award]],"")</f>
        <v/>
      </c>
      <c r="T175" s="68"/>
      <c r="U175" s="68"/>
      <c r="V175" s="68"/>
      <c r="W175" s="77" t="str">
        <f>IF(AB175="","",WORKDAY.INTL(AB175,Z175*-1,1,Holidays[Date]))</f>
        <v/>
      </c>
      <c r="X175" s="77" t="str">
        <f t="shared" ca="1" si="2"/>
        <v/>
      </c>
      <c r="Y175" s="78"/>
      <c r="Z175" s="79"/>
      <c r="AA175" s="68"/>
      <c r="AB175" s="77" t="str">
        <f>IF(AG175="","",WORKDAY.INTL(AG175,AE175*-1,1,Holidays[Date]))</f>
        <v/>
      </c>
      <c r="AC175" s="77" t="str">
        <f ca="1">IFERROR(IF(AD175="",WORKDAY.INTL(X175,AA175,1,Holidays[Date]),AD175),"")</f>
        <v/>
      </c>
      <c r="AD175" s="78"/>
      <c r="AE175" s="80"/>
      <c r="AF175" s="68"/>
      <c r="AG175" s="77" t="str">
        <f>IF(AL175="","",WORKDAY.INTL(AL175,AJ175*-1,1,Holidays[Date]))</f>
        <v/>
      </c>
      <c r="AH175" s="77" t="str">
        <f ca="1">IFERROR(IF(AI175="",WORKDAY.INTL(AC175,AF175,1,Holidays[Date]),AI175),"")</f>
        <v/>
      </c>
      <c r="AI175" s="78"/>
      <c r="AJ175" s="80"/>
      <c r="AK175" s="68"/>
      <c r="AL175" s="77" t="str">
        <f>IF(AQ175="","",WORKDAY.INTL(AQ175,AO175*-1,1,Holidays[Date]))</f>
        <v/>
      </c>
      <c r="AM175" s="77" t="str">
        <f ca="1">IFERROR(IF(AN175="",WORKDAY.INTL(AH175,AK175,1,Holidays[Date]),AN175),"")</f>
        <v/>
      </c>
      <c r="AN175" s="78"/>
      <c r="AO175" s="80"/>
      <c r="AP175" s="68"/>
      <c r="AQ175" s="77" t="str">
        <f>IF(AV175="","",WORKDAY.INTL(AV175,AT175*-1,1,Holidays[Date]))</f>
        <v/>
      </c>
      <c r="AR175" s="77" t="str">
        <f ca="1">IFERROR(IF(AS175="",WORKDAY.INTL(AM175,AP175,1,Holidays[Date]),AS175),"")</f>
        <v/>
      </c>
      <c r="AS175" s="78"/>
      <c r="AT175" s="80"/>
      <c r="AU175" s="68"/>
      <c r="AV175" s="77" t="str">
        <f>IF(BA175="","",WORKDAY.INTL(BA175,AY175*-1,1,Holidays[Date]))</f>
        <v/>
      </c>
      <c r="AW175" s="77" t="str">
        <f ca="1">IFERROR(IF(AX175="",WORKDAY.INTL(AR175,AU175,1,Holidays[Date]),AX175),"")</f>
        <v/>
      </c>
      <c r="AX175" s="78"/>
      <c r="AY175" s="80"/>
      <c r="AZ175" s="68"/>
      <c r="BA175" s="77" t="str">
        <f>IF(BF175="","",WORKDAY.INTL(BF175,BD175*-1,1,Holidays[Date]))</f>
        <v/>
      </c>
      <c r="BB175" s="77" t="str">
        <f ca="1">IFERROR(IF(BC175="",WORKDAY.INTL(AW175,AZ175,1,Holidays[Date]),BC175),"")</f>
        <v/>
      </c>
      <c r="BC175" s="78"/>
      <c r="BD175" s="80"/>
      <c r="BE175" s="68"/>
      <c r="BF175" s="77" t="str">
        <f>IF(BK175="","",WORKDAY.INTL(BK175,BI175*-1,1,Holidays[Date]))</f>
        <v/>
      </c>
      <c r="BG175" s="77" t="str">
        <f ca="1">IFERROR(IF(BH175="",WORKDAY.INTL(BB175,BE175,1,Holidays[Date]),BH175),"")</f>
        <v/>
      </c>
      <c r="BH175" s="78"/>
      <c r="BI175" s="80"/>
      <c r="BJ175" s="68"/>
      <c r="BK175" s="77" t="str">
        <f>IF(BP175="","",WORKDAY.INTL(BP175,BN175*-1,1,Holidays[Date]))</f>
        <v/>
      </c>
      <c r="BL175" s="77" t="str">
        <f ca="1">IFERROR(IF(BM175="",WORKDAY.INTL(BG175,BJ175,1,Holidays[Date]),BM175),"")</f>
        <v/>
      </c>
      <c r="BM175" s="78"/>
      <c r="BN175" s="80"/>
      <c r="BO175" s="68"/>
      <c r="BP175" s="77" t="str">
        <f>IF(BU175="","",WORKDAY.INTL(BU175,BS175*-1,1,Holidays[Date]))</f>
        <v/>
      </c>
      <c r="BQ175" s="77" t="str">
        <f ca="1">IFERROR(IF(BR175="",WORKDAY.INTL(BL175,BO175,1,Holidays[Date]),BR175),"")</f>
        <v/>
      </c>
      <c r="BR175" s="78"/>
      <c r="BS175" s="80"/>
      <c r="BT175" s="68"/>
      <c r="BU175" s="77" t="str">
        <f>IF(BZ175="","",WORKDAY.INTL(BZ175,BX175*-1,1,Holidays[Date]))</f>
        <v/>
      </c>
      <c r="BV175" s="77" t="str">
        <f ca="1">IFERROR(IF(BW175="",WORKDAY.INTL(BQ175,BT175,1,Holidays[Date]),BW175),"")</f>
        <v/>
      </c>
      <c r="BW175" s="78"/>
      <c r="BX175" s="80"/>
      <c r="BY175" s="68"/>
      <c r="BZ175" s="81"/>
      <c r="CA175" s="77" t="str">
        <f ca="1">IFERROR(IF(CB175="",WORKDAY.INTL(BV175,BY175,1,Holidays[Date]),CB175),"")</f>
        <v/>
      </c>
      <c r="CB175" s="78"/>
    </row>
    <row r="176" spans="1:80" ht="19" customHeight="1" x14ac:dyDescent="0.35">
      <c r="A176" s="31"/>
      <c r="B176" s="82"/>
      <c r="C176" s="1"/>
      <c r="D176" s="8"/>
      <c r="E176" s="8"/>
      <c r="F176" s="8"/>
      <c r="G176" s="8"/>
      <c r="H176" s="8"/>
      <c r="I176" s="9"/>
      <c r="J176" s="8"/>
      <c r="K176" s="8"/>
      <c r="L176" s="8"/>
      <c r="M176" s="8"/>
      <c r="N176" s="8"/>
      <c r="O176" s="8"/>
      <c r="P176" s="8"/>
      <c r="Q176" s="2"/>
      <c r="R176" s="2"/>
      <c r="S176" s="88" t="str">
        <f>IF(tblProcRegister[[#This Row],[Award]]&lt;&gt;"",tblProcRegister[[#This Row],[Budget]]-tblProcRegister[[#This Row],[Award]],"")</f>
        <v/>
      </c>
      <c r="T176" s="68"/>
      <c r="U176" s="68"/>
      <c r="V176" s="68"/>
      <c r="W176" s="77" t="str">
        <f>IF(AB176="","",WORKDAY.INTL(AB176,Z176*-1,1,Holidays[Date]))</f>
        <v/>
      </c>
      <c r="X176" s="77" t="str">
        <f t="shared" ca="1" si="2"/>
        <v/>
      </c>
      <c r="Y176" s="78"/>
      <c r="Z176" s="79"/>
      <c r="AA176" s="68"/>
      <c r="AB176" s="77" t="str">
        <f>IF(AG176="","",WORKDAY.INTL(AG176,AE176*-1,1,Holidays[Date]))</f>
        <v/>
      </c>
      <c r="AC176" s="77" t="str">
        <f ca="1">IFERROR(IF(AD176="",WORKDAY.INTL(X176,AA176,1,Holidays[Date]),AD176),"")</f>
        <v/>
      </c>
      <c r="AD176" s="78"/>
      <c r="AE176" s="80"/>
      <c r="AF176" s="68"/>
      <c r="AG176" s="77" t="str">
        <f>IF(AL176="","",WORKDAY.INTL(AL176,AJ176*-1,1,Holidays[Date]))</f>
        <v/>
      </c>
      <c r="AH176" s="77" t="str">
        <f ca="1">IFERROR(IF(AI176="",WORKDAY.INTL(AC176,AF176,1,Holidays[Date]),AI176),"")</f>
        <v/>
      </c>
      <c r="AI176" s="78"/>
      <c r="AJ176" s="80"/>
      <c r="AK176" s="68"/>
      <c r="AL176" s="77" t="str">
        <f>IF(AQ176="","",WORKDAY.INTL(AQ176,AO176*-1,1,Holidays[Date]))</f>
        <v/>
      </c>
      <c r="AM176" s="77" t="str">
        <f ca="1">IFERROR(IF(AN176="",WORKDAY.INTL(AH176,AK176,1,Holidays[Date]),AN176),"")</f>
        <v/>
      </c>
      <c r="AN176" s="78"/>
      <c r="AO176" s="80"/>
      <c r="AP176" s="68"/>
      <c r="AQ176" s="77" t="str">
        <f>IF(AV176="","",WORKDAY.INTL(AV176,AT176*-1,1,Holidays[Date]))</f>
        <v/>
      </c>
      <c r="AR176" s="77" t="str">
        <f ca="1">IFERROR(IF(AS176="",WORKDAY.INTL(AM176,AP176,1,Holidays[Date]),AS176),"")</f>
        <v/>
      </c>
      <c r="AS176" s="78"/>
      <c r="AT176" s="80"/>
      <c r="AU176" s="68"/>
      <c r="AV176" s="77" t="str">
        <f>IF(BA176="","",WORKDAY.INTL(BA176,AY176*-1,1,Holidays[Date]))</f>
        <v/>
      </c>
      <c r="AW176" s="77" t="str">
        <f ca="1">IFERROR(IF(AX176="",WORKDAY.INTL(AR176,AU176,1,Holidays[Date]),AX176),"")</f>
        <v/>
      </c>
      <c r="AX176" s="78"/>
      <c r="AY176" s="80"/>
      <c r="AZ176" s="68"/>
      <c r="BA176" s="77" t="str">
        <f>IF(BF176="","",WORKDAY.INTL(BF176,BD176*-1,1,Holidays[Date]))</f>
        <v/>
      </c>
      <c r="BB176" s="77" t="str">
        <f ca="1">IFERROR(IF(BC176="",WORKDAY.INTL(AW176,AZ176,1,Holidays[Date]),BC176),"")</f>
        <v/>
      </c>
      <c r="BC176" s="78"/>
      <c r="BD176" s="80"/>
      <c r="BE176" s="68"/>
      <c r="BF176" s="77" t="str">
        <f>IF(BK176="","",WORKDAY.INTL(BK176,BI176*-1,1,Holidays[Date]))</f>
        <v/>
      </c>
      <c r="BG176" s="77" t="str">
        <f ca="1">IFERROR(IF(BH176="",WORKDAY.INTL(BB176,BE176,1,Holidays[Date]),BH176),"")</f>
        <v/>
      </c>
      <c r="BH176" s="78"/>
      <c r="BI176" s="80"/>
      <c r="BJ176" s="68"/>
      <c r="BK176" s="77" t="str">
        <f>IF(BP176="","",WORKDAY.INTL(BP176,BN176*-1,1,Holidays[Date]))</f>
        <v/>
      </c>
      <c r="BL176" s="77" t="str">
        <f ca="1">IFERROR(IF(BM176="",WORKDAY.INTL(BG176,BJ176,1,Holidays[Date]),BM176),"")</f>
        <v/>
      </c>
      <c r="BM176" s="78"/>
      <c r="BN176" s="80"/>
      <c r="BO176" s="68"/>
      <c r="BP176" s="77" t="str">
        <f>IF(BU176="","",WORKDAY.INTL(BU176,BS176*-1,1,Holidays[Date]))</f>
        <v/>
      </c>
      <c r="BQ176" s="77" t="str">
        <f ca="1">IFERROR(IF(BR176="",WORKDAY.INTL(BL176,BO176,1,Holidays[Date]),BR176),"")</f>
        <v/>
      </c>
      <c r="BR176" s="78"/>
      <c r="BS176" s="80"/>
      <c r="BT176" s="68"/>
      <c r="BU176" s="77" t="str">
        <f>IF(BZ176="","",WORKDAY.INTL(BZ176,BX176*-1,1,Holidays[Date]))</f>
        <v/>
      </c>
      <c r="BV176" s="77" t="str">
        <f ca="1">IFERROR(IF(BW176="",WORKDAY.INTL(BQ176,BT176,1,Holidays[Date]),BW176),"")</f>
        <v/>
      </c>
      <c r="BW176" s="78"/>
      <c r="BX176" s="80"/>
      <c r="BY176" s="68"/>
      <c r="BZ176" s="81"/>
      <c r="CA176" s="77" t="str">
        <f ca="1">IFERROR(IF(CB176="",WORKDAY.INTL(BV176,BY176,1,Holidays[Date]),CB176),"")</f>
        <v/>
      </c>
      <c r="CB176" s="78"/>
    </row>
    <row r="177" spans="1:80" ht="19" customHeight="1" x14ac:dyDescent="0.35">
      <c r="A177" s="31"/>
      <c r="B177" s="82"/>
      <c r="C177" s="1"/>
      <c r="D177" s="8"/>
      <c r="E177" s="8"/>
      <c r="F177" s="8"/>
      <c r="G177" s="8"/>
      <c r="H177" s="8"/>
      <c r="I177" s="9"/>
      <c r="J177" s="8"/>
      <c r="K177" s="8"/>
      <c r="L177" s="8"/>
      <c r="M177" s="8"/>
      <c r="N177" s="8"/>
      <c r="O177" s="8"/>
      <c r="P177" s="8"/>
      <c r="Q177" s="2"/>
      <c r="R177" s="2"/>
      <c r="S177" s="88" t="str">
        <f>IF(tblProcRegister[[#This Row],[Award]]&lt;&gt;"",tblProcRegister[[#This Row],[Budget]]-tblProcRegister[[#This Row],[Award]],"")</f>
        <v/>
      </c>
      <c r="T177" s="68"/>
      <c r="U177" s="68"/>
      <c r="V177" s="68"/>
      <c r="W177" s="77" t="str">
        <f>IF(AB177="","",WORKDAY.INTL(AB177,Z177*-1,1,Holidays[Date]))</f>
        <v/>
      </c>
      <c r="X177" s="77" t="str">
        <f t="shared" ca="1" si="2"/>
        <v/>
      </c>
      <c r="Y177" s="78"/>
      <c r="Z177" s="79"/>
      <c r="AA177" s="68"/>
      <c r="AB177" s="77" t="str">
        <f>IF(AG177="","",WORKDAY.INTL(AG177,AE177*-1,1,Holidays[Date]))</f>
        <v/>
      </c>
      <c r="AC177" s="77" t="str">
        <f ca="1">IFERROR(IF(AD177="",WORKDAY.INTL(X177,AA177,1,Holidays[Date]),AD177),"")</f>
        <v/>
      </c>
      <c r="AD177" s="78"/>
      <c r="AE177" s="80"/>
      <c r="AF177" s="68"/>
      <c r="AG177" s="77" t="str">
        <f>IF(AL177="","",WORKDAY.INTL(AL177,AJ177*-1,1,Holidays[Date]))</f>
        <v/>
      </c>
      <c r="AH177" s="77" t="str">
        <f ca="1">IFERROR(IF(AI177="",WORKDAY.INTL(AC177,AF177,1,Holidays[Date]),AI177),"")</f>
        <v/>
      </c>
      <c r="AI177" s="78"/>
      <c r="AJ177" s="80"/>
      <c r="AK177" s="68"/>
      <c r="AL177" s="77" t="str">
        <f>IF(AQ177="","",WORKDAY.INTL(AQ177,AO177*-1,1,Holidays[Date]))</f>
        <v/>
      </c>
      <c r="AM177" s="77" t="str">
        <f ca="1">IFERROR(IF(AN177="",WORKDAY.INTL(AH177,AK177,1,Holidays[Date]),AN177),"")</f>
        <v/>
      </c>
      <c r="AN177" s="78"/>
      <c r="AO177" s="80"/>
      <c r="AP177" s="68"/>
      <c r="AQ177" s="77" t="str">
        <f>IF(AV177="","",WORKDAY.INTL(AV177,AT177*-1,1,Holidays[Date]))</f>
        <v/>
      </c>
      <c r="AR177" s="77" t="str">
        <f ca="1">IFERROR(IF(AS177="",WORKDAY.INTL(AM177,AP177,1,Holidays[Date]),AS177),"")</f>
        <v/>
      </c>
      <c r="AS177" s="78"/>
      <c r="AT177" s="80"/>
      <c r="AU177" s="68"/>
      <c r="AV177" s="77" t="str">
        <f>IF(BA177="","",WORKDAY.INTL(BA177,AY177*-1,1,Holidays[Date]))</f>
        <v/>
      </c>
      <c r="AW177" s="77" t="str">
        <f ca="1">IFERROR(IF(AX177="",WORKDAY.INTL(AR177,AU177,1,Holidays[Date]),AX177),"")</f>
        <v/>
      </c>
      <c r="AX177" s="78"/>
      <c r="AY177" s="80"/>
      <c r="AZ177" s="68"/>
      <c r="BA177" s="77" t="str">
        <f>IF(BF177="","",WORKDAY.INTL(BF177,BD177*-1,1,Holidays[Date]))</f>
        <v/>
      </c>
      <c r="BB177" s="77" t="str">
        <f ca="1">IFERROR(IF(BC177="",WORKDAY.INTL(AW177,AZ177,1,Holidays[Date]),BC177),"")</f>
        <v/>
      </c>
      <c r="BC177" s="78"/>
      <c r="BD177" s="80"/>
      <c r="BE177" s="68"/>
      <c r="BF177" s="77" t="str">
        <f>IF(BK177="","",WORKDAY.INTL(BK177,BI177*-1,1,Holidays[Date]))</f>
        <v/>
      </c>
      <c r="BG177" s="77" t="str">
        <f ca="1">IFERROR(IF(BH177="",WORKDAY.INTL(BB177,BE177,1,Holidays[Date]),BH177),"")</f>
        <v/>
      </c>
      <c r="BH177" s="78"/>
      <c r="BI177" s="80"/>
      <c r="BJ177" s="68"/>
      <c r="BK177" s="77" t="str">
        <f>IF(BP177="","",WORKDAY.INTL(BP177,BN177*-1,1,Holidays[Date]))</f>
        <v/>
      </c>
      <c r="BL177" s="77" t="str">
        <f ca="1">IFERROR(IF(BM177="",WORKDAY.INTL(BG177,BJ177,1,Holidays[Date]),BM177),"")</f>
        <v/>
      </c>
      <c r="BM177" s="78"/>
      <c r="BN177" s="80"/>
      <c r="BO177" s="68"/>
      <c r="BP177" s="77" t="str">
        <f>IF(BU177="","",WORKDAY.INTL(BU177,BS177*-1,1,Holidays[Date]))</f>
        <v/>
      </c>
      <c r="BQ177" s="77" t="str">
        <f ca="1">IFERROR(IF(BR177="",WORKDAY.INTL(BL177,BO177,1,Holidays[Date]),BR177),"")</f>
        <v/>
      </c>
      <c r="BR177" s="78"/>
      <c r="BS177" s="80"/>
      <c r="BT177" s="68"/>
      <c r="BU177" s="77" t="str">
        <f>IF(BZ177="","",WORKDAY.INTL(BZ177,BX177*-1,1,Holidays[Date]))</f>
        <v/>
      </c>
      <c r="BV177" s="77" t="str">
        <f ca="1">IFERROR(IF(BW177="",WORKDAY.INTL(BQ177,BT177,1,Holidays[Date]),BW177),"")</f>
        <v/>
      </c>
      <c r="BW177" s="78"/>
      <c r="BX177" s="80"/>
      <c r="BY177" s="68"/>
      <c r="BZ177" s="81"/>
      <c r="CA177" s="77" t="str">
        <f ca="1">IFERROR(IF(CB177="",WORKDAY.INTL(BV177,BY177,1,Holidays[Date]),CB177),"")</f>
        <v/>
      </c>
      <c r="CB177" s="78"/>
    </row>
    <row r="178" spans="1:80" ht="19" customHeight="1" x14ac:dyDescent="0.35">
      <c r="A178" s="31"/>
      <c r="B178" s="82"/>
      <c r="C178" s="1"/>
      <c r="D178" s="8"/>
      <c r="E178" s="8"/>
      <c r="F178" s="8"/>
      <c r="G178" s="8"/>
      <c r="H178" s="8"/>
      <c r="I178" s="9"/>
      <c r="J178" s="8"/>
      <c r="K178" s="8"/>
      <c r="L178" s="8"/>
      <c r="M178" s="8"/>
      <c r="N178" s="8"/>
      <c r="O178" s="8"/>
      <c r="P178" s="8"/>
      <c r="Q178" s="2"/>
      <c r="R178" s="2"/>
      <c r="S178" s="88" t="str">
        <f>IF(tblProcRegister[[#This Row],[Award]]&lt;&gt;"",tblProcRegister[[#This Row],[Budget]]-tblProcRegister[[#This Row],[Award]],"")</f>
        <v/>
      </c>
      <c r="T178" s="68"/>
      <c r="U178" s="68"/>
      <c r="V178" s="68"/>
      <c r="W178" s="77" t="str">
        <f>IF(AB178="","",WORKDAY.INTL(AB178,Z178*-1,1,Holidays[Date]))</f>
        <v/>
      </c>
      <c r="X178" s="77" t="str">
        <f t="shared" ca="1" si="2"/>
        <v/>
      </c>
      <c r="Y178" s="78"/>
      <c r="Z178" s="79"/>
      <c r="AA178" s="68"/>
      <c r="AB178" s="77" t="str">
        <f>IF(AG178="","",WORKDAY.INTL(AG178,AE178*-1,1,Holidays[Date]))</f>
        <v/>
      </c>
      <c r="AC178" s="77" t="str">
        <f ca="1">IFERROR(IF(AD178="",WORKDAY.INTL(X178,AA178,1,Holidays[Date]),AD178),"")</f>
        <v/>
      </c>
      <c r="AD178" s="78"/>
      <c r="AE178" s="80"/>
      <c r="AF178" s="68"/>
      <c r="AG178" s="77" t="str">
        <f>IF(AL178="","",WORKDAY.INTL(AL178,AJ178*-1,1,Holidays[Date]))</f>
        <v/>
      </c>
      <c r="AH178" s="77" t="str">
        <f ca="1">IFERROR(IF(AI178="",WORKDAY.INTL(AC178,AF178,1,Holidays[Date]),AI178),"")</f>
        <v/>
      </c>
      <c r="AI178" s="78"/>
      <c r="AJ178" s="80"/>
      <c r="AK178" s="68"/>
      <c r="AL178" s="77" t="str">
        <f>IF(AQ178="","",WORKDAY.INTL(AQ178,AO178*-1,1,Holidays[Date]))</f>
        <v/>
      </c>
      <c r="AM178" s="77" t="str">
        <f ca="1">IFERROR(IF(AN178="",WORKDAY.INTL(AH178,AK178,1,Holidays[Date]),AN178),"")</f>
        <v/>
      </c>
      <c r="AN178" s="78"/>
      <c r="AO178" s="80"/>
      <c r="AP178" s="68"/>
      <c r="AQ178" s="77" t="str">
        <f>IF(AV178="","",WORKDAY.INTL(AV178,AT178*-1,1,Holidays[Date]))</f>
        <v/>
      </c>
      <c r="AR178" s="77" t="str">
        <f ca="1">IFERROR(IF(AS178="",WORKDAY.INTL(AM178,AP178,1,Holidays[Date]),AS178),"")</f>
        <v/>
      </c>
      <c r="AS178" s="78"/>
      <c r="AT178" s="80"/>
      <c r="AU178" s="68"/>
      <c r="AV178" s="77" t="str">
        <f>IF(BA178="","",WORKDAY.INTL(BA178,AY178*-1,1,Holidays[Date]))</f>
        <v/>
      </c>
      <c r="AW178" s="77" t="str">
        <f ca="1">IFERROR(IF(AX178="",WORKDAY.INTL(AR178,AU178,1,Holidays[Date]),AX178),"")</f>
        <v/>
      </c>
      <c r="AX178" s="78"/>
      <c r="AY178" s="80"/>
      <c r="AZ178" s="68"/>
      <c r="BA178" s="77" t="str">
        <f>IF(BF178="","",WORKDAY.INTL(BF178,BD178*-1,1,Holidays[Date]))</f>
        <v/>
      </c>
      <c r="BB178" s="77" t="str">
        <f ca="1">IFERROR(IF(BC178="",WORKDAY.INTL(AW178,AZ178,1,Holidays[Date]),BC178),"")</f>
        <v/>
      </c>
      <c r="BC178" s="78"/>
      <c r="BD178" s="80"/>
      <c r="BE178" s="68"/>
      <c r="BF178" s="77" t="str">
        <f>IF(BK178="","",WORKDAY.INTL(BK178,BI178*-1,1,Holidays[Date]))</f>
        <v/>
      </c>
      <c r="BG178" s="77" t="str">
        <f ca="1">IFERROR(IF(BH178="",WORKDAY.INTL(BB178,BE178,1,Holidays[Date]),BH178),"")</f>
        <v/>
      </c>
      <c r="BH178" s="78"/>
      <c r="BI178" s="80"/>
      <c r="BJ178" s="68"/>
      <c r="BK178" s="77" t="str">
        <f>IF(BP178="","",WORKDAY.INTL(BP178,BN178*-1,1,Holidays[Date]))</f>
        <v/>
      </c>
      <c r="BL178" s="77" t="str">
        <f ca="1">IFERROR(IF(BM178="",WORKDAY.INTL(BG178,BJ178,1,Holidays[Date]),BM178),"")</f>
        <v/>
      </c>
      <c r="BM178" s="78"/>
      <c r="BN178" s="80"/>
      <c r="BO178" s="68"/>
      <c r="BP178" s="77" t="str">
        <f>IF(BU178="","",WORKDAY.INTL(BU178,BS178*-1,1,Holidays[Date]))</f>
        <v/>
      </c>
      <c r="BQ178" s="77" t="str">
        <f ca="1">IFERROR(IF(BR178="",WORKDAY.INTL(BL178,BO178,1,Holidays[Date]),BR178),"")</f>
        <v/>
      </c>
      <c r="BR178" s="78"/>
      <c r="BS178" s="80"/>
      <c r="BT178" s="68"/>
      <c r="BU178" s="77" t="str">
        <f>IF(BZ178="","",WORKDAY.INTL(BZ178,BX178*-1,1,Holidays[Date]))</f>
        <v/>
      </c>
      <c r="BV178" s="77" t="str">
        <f ca="1">IFERROR(IF(BW178="",WORKDAY.INTL(BQ178,BT178,1,Holidays[Date]),BW178),"")</f>
        <v/>
      </c>
      <c r="BW178" s="78"/>
      <c r="BX178" s="80"/>
      <c r="BY178" s="68"/>
      <c r="BZ178" s="81"/>
      <c r="CA178" s="77" t="str">
        <f ca="1">IFERROR(IF(CB178="",WORKDAY.INTL(BV178,BY178,1,Holidays[Date]),CB178),"")</f>
        <v/>
      </c>
      <c r="CB178" s="78"/>
    </row>
    <row r="179" spans="1:80" ht="19" customHeight="1" x14ac:dyDescent="0.35">
      <c r="A179" s="31"/>
      <c r="B179" s="82"/>
      <c r="C179" s="1"/>
      <c r="D179" s="8"/>
      <c r="E179" s="8"/>
      <c r="F179" s="8"/>
      <c r="G179" s="8"/>
      <c r="H179" s="8"/>
      <c r="I179" s="9"/>
      <c r="J179" s="8"/>
      <c r="K179" s="8"/>
      <c r="L179" s="8"/>
      <c r="M179" s="8"/>
      <c r="N179" s="8"/>
      <c r="O179" s="8"/>
      <c r="P179" s="8"/>
      <c r="Q179" s="2"/>
      <c r="R179" s="2"/>
      <c r="S179" s="88" t="str">
        <f>IF(tblProcRegister[[#This Row],[Award]]&lt;&gt;"",tblProcRegister[[#This Row],[Budget]]-tblProcRegister[[#This Row],[Award]],"")</f>
        <v/>
      </c>
      <c r="T179" s="68"/>
      <c r="U179" s="68"/>
      <c r="V179" s="68"/>
      <c r="W179" s="77" t="str">
        <f>IF(AB179="","",WORKDAY.INTL(AB179,Z179*-1,1,Holidays[Date]))</f>
        <v/>
      </c>
      <c r="X179" s="77" t="str">
        <f t="shared" ca="1" si="2"/>
        <v/>
      </c>
      <c r="Y179" s="78"/>
      <c r="Z179" s="79"/>
      <c r="AA179" s="68"/>
      <c r="AB179" s="77" t="str">
        <f>IF(AG179="","",WORKDAY.INTL(AG179,AE179*-1,1,Holidays[Date]))</f>
        <v/>
      </c>
      <c r="AC179" s="77" t="str">
        <f ca="1">IFERROR(IF(AD179="",WORKDAY.INTL(X179,AA179,1,Holidays[Date]),AD179),"")</f>
        <v/>
      </c>
      <c r="AD179" s="78"/>
      <c r="AE179" s="80"/>
      <c r="AF179" s="68"/>
      <c r="AG179" s="77" t="str">
        <f>IF(AL179="","",WORKDAY.INTL(AL179,AJ179*-1,1,Holidays[Date]))</f>
        <v/>
      </c>
      <c r="AH179" s="77" t="str">
        <f ca="1">IFERROR(IF(AI179="",WORKDAY.INTL(AC179,AF179,1,Holidays[Date]),AI179),"")</f>
        <v/>
      </c>
      <c r="AI179" s="78"/>
      <c r="AJ179" s="80"/>
      <c r="AK179" s="68"/>
      <c r="AL179" s="77" t="str">
        <f>IF(AQ179="","",WORKDAY.INTL(AQ179,AO179*-1,1,Holidays[Date]))</f>
        <v/>
      </c>
      <c r="AM179" s="77" t="str">
        <f ca="1">IFERROR(IF(AN179="",WORKDAY.INTL(AH179,AK179,1,Holidays[Date]),AN179),"")</f>
        <v/>
      </c>
      <c r="AN179" s="78"/>
      <c r="AO179" s="80"/>
      <c r="AP179" s="68"/>
      <c r="AQ179" s="77" t="str">
        <f>IF(AV179="","",WORKDAY.INTL(AV179,AT179*-1,1,Holidays[Date]))</f>
        <v/>
      </c>
      <c r="AR179" s="77" t="str">
        <f ca="1">IFERROR(IF(AS179="",WORKDAY.INTL(AM179,AP179,1,Holidays[Date]),AS179),"")</f>
        <v/>
      </c>
      <c r="AS179" s="78"/>
      <c r="AT179" s="80"/>
      <c r="AU179" s="68"/>
      <c r="AV179" s="77" t="str">
        <f>IF(BA179="","",WORKDAY.INTL(BA179,AY179*-1,1,Holidays[Date]))</f>
        <v/>
      </c>
      <c r="AW179" s="77" t="str">
        <f ca="1">IFERROR(IF(AX179="",WORKDAY.INTL(AR179,AU179,1,Holidays[Date]),AX179),"")</f>
        <v/>
      </c>
      <c r="AX179" s="78"/>
      <c r="AY179" s="80"/>
      <c r="AZ179" s="68"/>
      <c r="BA179" s="77" t="str">
        <f>IF(BF179="","",WORKDAY.INTL(BF179,BD179*-1,1,Holidays[Date]))</f>
        <v/>
      </c>
      <c r="BB179" s="77" t="str">
        <f ca="1">IFERROR(IF(BC179="",WORKDAY.INTL(AW179,AZ179,1,Holidays[Date]),BC179),"")</f>
        <v/>
      </c>
      <c r="BC179" s="78"/>
      <c r="BD179" s="80"/>
      <c r="BE179" s="68"/>
      <c r="BF179" s="77" t="str">
        <f>IF(BK179="","",WORKDAY.INTL(BK179,BI179*-1,1,Holidays[Date]))</f>
        <v/>
      </c>
      <c r="BG179" s="77" t="str">
        <f ca="1">IFERROR(IF(BH179="",WORKDAY.INTL(BB179,BE179,1,Holidays[Date]),BH179),"")</f>
        <v/>
      </c>
      <c r="BH179" s="78"/>
      <c r="BI179" s="80"/>
      <c r="BJ179" s="68"/>
      <c r="BK179" s="77" t="str">
        <f>IF(BP179="","",WORKDAY.INTL(BP179,BN179*-1,1,Holidays[Date]))</f>
        <v/>
      </c>
      <c r="BL179" s="77" t="str">
        <f ca="1">IFERROR(IF(BM179="",WORKDAY.INTL(BG179,BJ179,1,Holidays[Date]),BM179),"")</f>
        <v/>
      </c>
      <c r="BM179" s="78"/>
      <c r="BN179" s="80"/>
      <c r="BO179" s="68"/>
      <c r="BP179" s="77" t="str">
        <f>IF(BU179="","",WORKDAY.INTL(BU179,BS179*-1,1,Holidays[Date]))</f>
        <v/>
      </c>
      <c r="BQ179" s="77" t="str">
        <f ca="1">IFERROR(IF(BR179="",WORKDAY.INTL(BL179,BO179,1,Holidays[Date]),BR179),"")</f>
        <v/>
      </c>
      <c r="BR179" s="78"/>
      <c r="BS179" s="80"/>
      <c r="BT179" s="68"/>
      <c r="BU179" s="77" t="str">
        <f>IF(BZ179="","",WORKDAY.INTL(BZ179,BX179*-1,1,Holidays[Date]))</f>
        <v/>
      </c>
      <c r="BV179" s="77" t="str">
        <f ca="1">IFERROR(IF(BW179="",WORKDAY.INTL(BQ179,BT179,1,Holidays[Date]),BW179),"")</f>
        <v/>
      </c>
      <c r="BW179" s="78"/>
      <c r="BX179" s="80"/>
      <c r="BY179" s="68"/>
      <c r="BZ179" s="81"/>
      <c r="CA179" s="77" t="str">
        <f ca="1">IFERROR(IF(CB179="",WORKDAY.INTL(BV179,BY179,1,Holidays[Date]),CB179),"")</f>
        <v/>
      </c>
      <c r="CB179" s="78"/>
    </row>
    <row r="180" spans="1:80" ht="19" customHeight="1" x14ac:dyDescent="0.35">
      <c r="A180" s="31"/>
      <c r="B180" s="82"/>
      <c r="C180" s="1"/>
      <c r="D180" s="8"/>
      <c r="E180" s="8"/>
      <c r="F180" s="8"/>
      <c r="G180" s="8"/>
      <c r="H180" s="8"/>
      <c r="I180" s="9"/>
      <c r="J180" s="8"/>
      <c r="K180" s="8"/>
      <c r="L180" s="8"/>
      <c r="M180" s="8"/>
      <c r="N180" s="8"/>
      <c r="O180" s="8"/>
      <c r="P180" s="8"/>
      <c r="Q180" s="2"/>
      <c r="R180" s="2"/>
      <c r="S180" s="88" t="str">
        <f>IF(tblProcRegister[[#This Row],[Award]]&lt;&gt;"",tblProcRegister[[#This Row],[Budget]]-tblProcRegister[[#This Row],[Award]],"")</f>
        <v/>
      </c>
      <c r="T180" s="68"/>
      <c r="U180" s="68"/>
      <c r="V180" s="68"/>
      <c r="W180" s="77" t="str">
        <f>IF(AB180="","",WORKDAY.INTL(AB180,Z180*-1,1,Holidays[Date]))</f>
        <v/>
      </c>
      <c r="X180" s="77" t="str">
        <f t="shared" ca="1" si="2"/>
        <v/>
      </c>
      <c r="Y180" s="78"/>
      <c r="Z180" s="79"/>
      <c r="AA180" s="68"/>
      <c r="AB180" s="77" t="str">
        <f>IF(AG180="","",WORKDAY.INTL(AG180,AE180*-1,1,Holidays[Date]))</f>
        <v/>
      </c>
      <c r="AC180" s="77" t="str">
        <f ca="1">IFERROR(IF(AD180="",WORKDAY.INTL(X180,AA180,1,Holidays[Date]),AD180),"")</f>
        <v/>
      </c>
      <c r="AD180" s="78"/>
      <c r="AE180" s="80"/>
      <c r="AF180" s="68"/>
      <c r="AG180" s="77" t="str">
        <f>IF(AL180="","",WORKDAY.INTL(AL180,AJ180*-1,1,Holidays[Date]))</f>
        <v/>
      </c>
      <c r="AH180" s="77" t="str">
        <f ca="1">IFERROR(IF(AI180="",WORKDAY.INTL(AC180,AF180,1,Holidays[Date]),AI180),"")</f>
        <v/>
      </c>
      <c r="AI180" s="78"/>
      <c r="AJ180" s="80"/>
      <c r="AK180" s="68"/>
      <c r="AL180" s="77" t="str">
        <f>IF(AQ180="","",WORKDAY.INTL(AQ180,AO180*-1,1,Holidays[Date]))</f>
        <v/>
      </c>
      <c r="AM180" s="77" t="str">
        <f ca="1">IFERROR(IF(AN180="",WORKDAY.INTL(AH180,AK180,1,Holidays[Date]),AN180),"")</f>
        <v/>
      </c>
      <c r="AN180" s="78"/>
      <c r="AO180" s="80"/>
      <c r="AP180" s="68"/>
      <c r="AQ180" s="77" t="str">
        <f>IF(AV180="","",WORKDAY.INTL(AV180,AT180*-1,1,Holidays[Date]))</f>
        <v/>
      </c>
      <c r="AR180" s="77" t="str">
        <f ca="1">IFERROR(IF(AS180="",WORKDAY.INTL(AM180,AP180,1,Holidays[Date]),AS180),"")</f>
        <v/>
      </c>
      <c r="AS180" s="78"/>
      <c r="AT180" s="80"/>
      <c r="AU180" s="68"/>
      <c r="AV180" s="77" t="str">
        <f>IF(BA180="","",WORKDAY.INTL(BA180,AY180*-1,1,Holidays[Date]))</f>
        <v/>
      </c>
      <c r="AW180" s="77" t="str">
        <f ca="1">IFERROR(IF(AX180="",WORKDAY.INTL(AR180,AU180,1,Holidays[Date]),AX180),"")</f>
        <v/>
      </c>
      <c r="AX180" s="78"/>
      <c r="AY180" s="80"/>
      <c r="AZ180" s="68"/>
      <c r="BA180" s="77" t="str">
        <f>IF(BF180="","",WORKDAY.INTL(BF180,BD180*-1,1,Holidays[Date]))</f>
        <v/>
      </c>
      <c r="BB180" s="77" t="str">
        <f ca="1">IFERROR(IF(BC180="",WORKDAY.INTL(AW180,AZ180,1,Holidays[Date]),BC180),"")</f>
        <v/>
      </c>
      <c r="BC180" s="78"/>
      <c r="BD180" s="80"/>
      <c r="BE180" s="68"/>
      <c r="BF180" s="77" t="str">
        <f>IF(BK180="","",WORKDAY.INTL(BK180,BI180*-1,1,Holidays[Date]))</f>
        <v/>
      </c>
      <c r="BG180" s="77" t="str">
        <f ca="1">IFERROR(IF(BH180="",WORKDAY.INTL(BB180,BE180,1,Holidays[Date]),BH180),"")</f>
        <v/>
      </c>
      <c r="BH180" s="78"/>
      <c r="BI180" s="80"/>
      <c r="BJ180" s="68"/>
      <c r="BK180" s="77" t="str">
        <f>IF(BP180="","",WORKDAY.INTL(BP180,BN180*-1,1,Holidays[Date]))</f>
        <v/>
      </c>
      <c r="BL180" s="77" t="str">
        <f ca="1">IFERROR(IF(BM180="",WORKDAY.INTL(BG180,BJ180,1,Holidays[Date]),BM180),"")</f>
        <v/>
      </c>
      <c r="BM180" s="78"/>
      <c r="BN180" s="80"/>
      <c r="BO180" s="68"/>
      <c r="BP180" s="77" t="str">
        <f>IF(BU180="","",WORKDAY.INTL(BU180,BS180*-1,1,Holidays[Date]))</f>
        <v/>
      </c>
      <c r="BQ180" s="77" t="str">
        <f ca="1">IFERROR(IF(BR180="",WORKDAY.INTL(BL180,BO180,1,Holidays[Date]),BR180),"")</f>
        <v/>
      </c>
      <c r="BR180" s="78"/>
      <c r="BS180" s="80"/>
      <c r="BT180" s="68"/>
      <c r="BU180" s="77" t="str">
        <f>IF(BZ180="","",WORKDAY.INTL(BZ180,BX180*-1,1,Holidays[Date]))</f>
        <v/>
      </c>
      <c r="BV180" s="77" t="str">
        <f ca="1">IFERROR(IF(BW180="",WORKDAY.INTL(BQ180,BT180,1,Holidays[Date]),BW180),"")</f>
        <v/>
      </c>
      <c r="BW180" s="78"/>
      <c r="BX180" s="80"/>
      <c r="BY180" s="68"/>
      <c r="BZ180" s="81"/>
      <c r="CA180" s="77" t="str">
        <f ca="1">IFERROR(IF(CB180="",WORKDAY.INTL(BV180,BY180,1,Holidays[Date]),CB180),"")</f>
        <v/>
      </c>
      <c r="CB180" s="78"/>
    </row>
    <row r="181" spans="1:80" ht="19" customHeight="1" x14ac:dyDescent="0.35">
      <c r="A181" s="31"/>
      <c r="B181" s="82"/>
      <c r="C181" s="1"/>
      <c r="D181" s="8"/>
      <c r="E181" s="8"/>
      <c r="F181" s="8"/>
      <c r="G181" s="8"/>
      <c r="H181" s="8"/>
      <c r="I181" s="9"/>
      <c r="J181" s="8"/>
      <c r="K181" s="8"/>
      <c r="L181" s="8"/>
      <c r="M181" s="8"/>
      <c r="N181" s="8"/>
      <c r="O181" s="8"/>
      <c r="P181" s="8"/>
      <c r="Q181" s="2"/>
      <c r="R181" s="2"/>
      <c r="S181" s="88" t="str">
        <f>IF(tblProcRegister[[#This Row],[Award]]&lt;&gt;"",tblProcRegister[[#This Row],[Budget]]-tblProcRegister[[#This Row],[Award]],"")</f>
        <v/>
      </c>
      <c r="T181" s="68"/>
      <c r="U181" s="68"/>
      <c r="V181" s="68"/>
      <c r="W181" s="77" t="str">
        <f>IF(AB181="","",WORKDAY.INTL(AB181,Z181*-1,1,Holidays[Date]))</f>
        <v/>
      </c>
      <c r="X181" s="77" t="str">
        <f t="shared" ca="1" si="2"/>
        <v/>
      </c>
      <c r="Y181" s="78"/>
      <c r="Z181" s="79"/>
      <c r="AA181" s="68"/>
      <c r="AB181" s="77" t="str">
        <f>IF(AG181="","",WORKDAY.INTL(AG181,AE181*-1,1,Holidays[Date]))</f>
        <v/>
      </c>
      <c r="AC181" s="77" t="str">
        <f ca="1">IFERROR(IF(AD181="",WORKDAY.INTL(X181,AA181,1,Holidays[Date]),AD181),"")</f>
        <v/>
      </c>
      <c r="AD181" s="78"/>
      <c r="AE181" s="80"/>
      <c r="AF181" s="68"/>
      <c r="AG181" s="77" t="str">
        <f>IF(AL181="","",WORKDAY.INTL(AL181,AJ181*-1,1,Holidays[Date]))</f>
        <v/>
      </c>
      <c r="AH181" s="77" t="str">
        <f ca="1">IFERROR(IF(AI181="",WORKDAY.INTL(AC181,AF181,1,Holidays[Date]),AI181),"")</f>
        <v/>
      </c>
      <c r="AI181" s="78"/>
      <c r="AJ181" s="80"/>
      <c r="AK181" s="68"/>
      <c r="AL181" s="77" t="str">
        <f>IF(AQ181="","",WORKDAY.INTL(AQ181,AO181*-1,1,Holidays[Date]))</f>
        <v/>
      </c>
      <c r="AM181" s="77" t="str">
        <f ca="1">IFERROR(IF(AN181="",WORKDAY.INTL(AH181,AK181,1,Holidays[Date]),AN181),"")</f>
        <v/>
      </c>
      <c r="AN181" s="78"/>
      <c r="AO181" s="80"/>
      <c r="AP181" s="68"/>
      <c r="AQ181" s="77" t="str">
        <f>IF(AV181="","",WORKDAY.INTL(AV181,AT181*-1,1,Holidays[Date]))</f>
        <v/>
      </c>
      <c r="AR181" s="77" t="str">
        <f ca="1">IFERROR(IF(AS181="",WORKDAY.INTL(AM181,AP181,1,Holidays[Date]),AS181),"")</f>
        <v/>
      </c>
      <c r="AS181" s="78"/>
      <c r="AT181" s="80"/>
      <c r="AU181" s="68"/>
      <c r="AV181" s="77" t="str">
        <f>IF(BA181="","",WORKDAY.INTL(BA181,AY181*-1,1,Holidays[Date]))</f>
        <v/>
      </c>
      <c r="AW181" s="77" t="str">
        <f ca="1">IFERROR(IF(AX181="",WORKDAY.INTL(AR181,AU181,1,Holidays[Date]),AX181),"")</f>
        <v/>
      </c>
      <c r="AX181" s="78"/>
      <c r="AY181" s="80"/>
      <c r="AZ181" s="68"/>
      <c r="BA181" s="77" t="str">
        <f>IF(BF181="","",WORKDAY.INTL(BF181,BD181*-1,1,Holidays[Date]))</f>
        <v/>
      </c>
      <c r="BB181" s="77" t="str">
        <f ca="1">IFERROR(IF(BC181="",WORKDAY.INTL(AW181,AZ181,1,Holidays[Date]),BC181),"")</f>
        <v/>
      </c>
      <c r="BC181" s="78"/>
      <c r="BD181" s="80"/>
      <c r="BE181" s="68"/>
      <c r="BF181" s="77" t="str">
        <f>IF(BK181="","",WORKDAY.INTL(BK181,BI181*-1,1,Holidays[Date]))</f>
        <v/>
      </c>
      <c r="BG181" s="77" t="str">
        <f ca="1">IFERROR(IF(BH181="",WORKDAY.INTL(BB181,BE181,1,Holidays[Date]),BH181),"")</f>
        <v/>
      </c>
      <c r="BH181" s="78"/>
      <c r="BI181" s="80"/>
      <c r="BJ181" s="68"/>
      <c r="BK181" s="77" t="str">
        <f>IF(BP181="","",WORKDAY.INTL(BP181,BN181*-1,1,Holidays[Date]))</f>
        <v/>
      </c>
      <c r="BL181" s="77" t="str">
        <f ca="1">IFERROR(IF(BM181="",WORKDAY.INTL(BG181,BJ181,1,Holidays[Date]),BM181),"")</f>
        <v/>
      </c>
      <c r="BM181" s="78"/>
      <c r="BN181" s="80"/>
      <c r="BO181" s="68"/>
      <c r="BP181" s="77" t="str">
        <f>IF(BU181="","",WORKDAY.INTL(BU181,BS181*-1,1,Holidays[Date]))</f>
        <v/>
      </c>
      <c r="BQ181" s="77" t="str">
        <f ca="1">IFERROR(IF(BR181="",WORKDAY.INTL(BL181,BO181,1,Holidays[Date]),BR181),"")</f>
        <v/>
      </c>
      <c r="BR181" s="78"/>
      <c r="BS181" s="80"/>
      <c r="BT181" s="68"/>
      <c r="BU181" s="77" t="str">
        <f>IF(BZ181="","",WORKDAY.INTL(BZ181,BX181*-1,1,Holidays[Date]))</f>
        <v/>
      </c>
      <c r="BV181" s="77" t="str">
        <f ca="1">IFERROR(IF(BW181="",WORKDAY.INTL(BQ181,BT181,1,Holidays[Date]),BW181),"")</f>
        <v/>
      </c>
      <c r="BW181" s="78"/>
      <c r="BX181" s="80"/>
      <c r="BY181" s="68"/>
      <c r="BZ181" s="81"/>
      <c r="CA181" s="77" t="str">
        <f ca="1">IFERROR(IF(CB181="",WORKDAY.INTL(BV181,BY181,1,Holidays[Date]),CB181),"")</f>
        <v/>
      </c>
      <c r="CB181" s="78"/>
    </row>
    <row r="182" spans="1:80" ht="19" customHeight="1" x14ac:dyDescent="0.35">
      <c r="A182" s="31"/>
      <c r="B182" s="82"/>
      <c r="C182" s="1"/>
      <c r="D182" s="8"/>
      <c r="E182" s="8"/>
      <c r="F182" s="8"/>
      <c r="G182" s="8"/>
      <c r="H182" s="8"/>
      <c r="I182" s="9"/>
      <c r="J182" s="8"/>
      <c r="K182" s="8"/>
      <c r="L182" s="8"/>
      <c r="M182" s="8"/>
      <c r="N182" s="8"/>
      <c r="O182" s="8"/>
      <c r="P182" s="8"/>
      <c r="Q182" s="2"/>
      <c r="R182" s="2"/>
      <c r="S182" s="88" t="str">
        <f>IF(tblProcRegister[[#This Row],[Award]]&lt;&gt;"",tblProcRegister[[#This Row],[Budget]]-tblProcRegister[[#This Row],[Award]],"")</f>
        <v/>
      </c>
      <c r="T182" s="68"/>
      <c r="U182" s="68"/>
      <c r="V182" s="68"/>
      <c r="W182" s="77" t="str">
        <f>IF(AB182="","",WORKDAY.INTL(AB182,Z182*-1,1,Holidays[Date]))</f>
        <v/>
      </c>
      <c r="X182" s="77" t="str">
        <f t="shared" ca="1" si="2"/>
        <v/>
      </c>
      <c r="Y182" s="78"/>
      <c r="Z182" s="79"/>
      <c r="AA182" s="68"/>
      <c r="AB182" s="77" t="str">
        <f>IF(AG182="","",WORKDAY.INTL(AG182,AE182*-1,1,Holidays[Date]))</f>
        <v/>
      </c>
      <c r="AC182" s="77" t="str">
        <f ca="1">IFERROR(IF(AD182="",WORKDAY.INTL(X182,AA182,1,Holidays[Date]),AD182),"")</f>
        <v/>
      </c>
      <c r="AD182" s="78"/>
      <c r="AE182" s="80"/>
      <c r="AF182" s="68"/>
      <c r="AG182" s="77" t="str">
        <f>IF(AL182="","",WORKDAY.INTL(AL182,AJ182*-1,1,Holidays[Date]))</f>
        <v/>
      </c>
      <c r="AH182" s="77" t="str">
        <f ca="1">IFERROR(IF(AI182="",WORKDAY.INTL(AC182,AF182,1,Holidays[Date]),AI182),"")</f>
        <v/>
      </c>
      <c r="AI182" s="78"/>
      <c r="AJ182" s="80"/>
      <c r="AK182" s="68"/>
      <c r="AL182" s="77" t="str">
        <f>IF(AQ182="","",WORKDAY.INTL(AQ182,AO182*-1,1,Holidays[Date]))</f>
        <v/>
      </c>
      <c r="AM182" s="77" t="str">
        <f ca="1">IFERROR(IF(AN182="",WORKDAY.INTL(AH182,AK182,1,Holidays[Date]),AN182),"")</f>
        <v/>
      </c>
      <c r="AN182" s="78"/>
      <c r="AO182" s="80"/>
      <c r="AP182" s="68"/>
      <c r="AQ182" s="77" t="str">
        <f>IF(AV182="","",WORKDAY.INTL(AV182,AT182*-1,1,Holidays[Date]))</f>
        <v/>
      </c>
      <c r="AR182" s="77" t="str">
        <f ca="1">IFERROR(IF(AS182="",WORKDAY.INTL(AM182,AP182,1,Holidays[Date]),AS182),"")</f>
        <v/>
      </c>
      <c r="AS182" s="78"/>
      <c r="AT182" s="80"/>
      <c r="AU182" s="68"/>
      <c r="AV182" s="77" t="str">
        <f>IF(BA182="","",WORKDAY.INTL(BA182,AY182*-1,1,Holidays[Date]))</f>
        <v/>
      </c>
      <c r="AW182" s="77" t="str">
        <f ca="1">IFERROR(IF(AX182="",WORKDAY.INTL(AR182,AU182,1,Holidays[Date]),AX182),"")</f>
        <v/>
      </c>
      <c r="AX182" s="78"/>
      <c r="AY182" s="80"/>
      <c r="AZ182" s="68"/>
      <c r="BA182" s="77" t="str">
        <f>IF(BF182="","",WORKDAY.INTL(BF182,BD182*-1,1,Holidays[Date]))</f>
        <v/>
      </c>
      <c r="BB182" s="77" t="str">
        <f ca="1">IFERROR(IF(BC182="",WORKDAY.INTL(AW182,AZ182,1,Holidays[Date]),BC182),"")</f>
        <v/>
      </c>
      <c r="BC182" s="78"/>
      <c r="BD182" s="80"/>
      <c r="BE182" s="68"/>
      <c r="BF182" s="77" t="str">
        <f>IF(BK182="","",WORKDAY.INTL(BK182,BI182*-1,1,Holidays[Date]))</f>
        <v/>
      </c>
      <c r="BG182" s="77" t="str">
        <f ca="1">IFERROR(IF(BH182="",WORKDAY.INTL(BB182,BE182,1,Holidays[Date]),BH182),"")</f>
        <v/>
      </c>
      <c r="BH182" s="78"/>
      <c r="BI182" s="80"/>
      <c r="BJ182" s="68"/>
      <c r="BK182" s="77" t="str">
        <f>IF(BP182="","",WORKDAY.INTL(BP182,BN182*-1,1,Holidays[Date]))</f>
        <v/>
      </c>
      <c r="BL182" s="77" t="str">
        <f ca="1">IFERROR(IF(BM182="",WORKDAY.INTL(BG182,BJ182,1,Holidays[Date]),BM182),"")</f>
        <v/>
      </c>
      <c r="BM182" s="78"/>
      <c r="BN182" s="80"/>
      <c r="BO182" s="68"/>
      <c r="BP182" s="77" t="str">
        <f>IF(BU182="","",WORKDAY.INTL(BU182,BS182*-1,1,Holidays[Date]))</f>
        <v/>
      </c>
      <c r="BQ182" s="77" t="str">
        <f ca="1">IFERROR(IF(BR182="",WORKDAY.INTL(BL182,BO182,1,Holidays[Date]),BR182),"")</f>
        <v/>
      </c>
      <c r="BR182" s="78"/>
      <c r="BS182" s="80"/>
      <c r="BT182" s="68"/>
      <c r="BU182" s="77" t="str">
        <f>IF(BZ182="","",WORKDAY.INTL(BZ182,BX182*-1,1,Holidays[Date]))</f>
        <v/>
      </c>
      <c r="BV182" s="77" t="str">
        <f ca="1">IFERROR(IF(BW182="",WORKDAY.INTL(BQ182,BT182,1,Holidays[Date]),BW182),"")</f>
        <v/>
      </c>
      <c r="BW182" s="78"/>
      <c r="BX182" s="80"/>
      <c r="BY182" s="68"/>
      <c r="BZ182" s="81"/>
      <c r="CA182" s="77" t="str">
        <f ca="1">IFERROR(IF(CB182="",WORKDAY.INTL(BV182,BY182,1,Holidays[Date]),CB182),"")</f>
        <v/>
      </c>
      <c r="CB182" s="78"/>
    </row>
    <row r="183" spans="1:80" ht="19" customHeight="1" x14ac:dyDescent="0.35">
      <c r="A183" s="31"/>
      <c r="B183" s="82"/>
      <c r="C183" s="1"/>
      <c r="D183" s="8"/>
      <c r="E183" s="8"/>
      <c r="F183" s="8"/>
      <c r="G183" s="8"/>
      <c r="H183" s="8"/>
      <c r="I183" s="9"/>
      <c r="J183" s="8"/>
      <c r="K183" s="8"/>
      <c r="L183" s="8"/>
      <c r="M183" s="8"/>
      <c r="N183" s="8"/>
      <c r="O183" s="8"/>
      <c r="P183" s="8"/>
      <c r="Q183" s="2"/>
      <c r="R183" s="2"/>
      <c r="S183" s="88" t="str">
        <f>IF(tblProcRegister[[#This Row],[Award]]&lt;&gt;"",tblProcRegister[[#This Row],[Budget]]-tblProcRegister[[#This Row],[Award]],"")</f>
        <v/>
      </c>
      <c r="T183" s="68"/>
      <c r="U183" s="68"/>
      <c r="V183" s="68"/>
      <c r="W183" s="77" t="str">
        <f>IF(AB183="","",WORKDAY.INTL(AB183,Z183*-1,1,Holidays[Date]))</f>
        <v/>
      </c>
      <c r="X183" s="77" t="str">
        <f t="shared" ca="1" si="2"/>
        <v/>
      </c>
      <c r="Y183" s="78"/>
      <c r="Z183" s="79"/>
      <c r="AA183" s="68"/>
      <c r="AB183" s="77" t="str">
        <f>IF(AG183="","",WORKDAY.INTL(AG183,AE183*-1,1,Holidays[Date]))</f>
        <v/>
      </c>
      <c r="AC183" s="77" t="str">
        <f ca="1">IFERROR(IF(AD183="",WORKDAY.INTL(X183,AA183,1,Holidays[Date]),AD183),"")</f>
        <v/>
      </c>
      <c r="AD183" s="78"/>
      <c r="AE183" s="80"/>
      <c r="AF183" s="68"/>
      <c r="AG183" s="77" t="str">
        <f>IF(AL183="","",WORKDAY.INTL(AL183,AJ183*-1,1,Holidays[Date]))</f>
        <v/>
      </c>
      <c r="AH183" s="77" t="str">
        <f ca="1">IFERROR(IF(AI183="",WORKDAY.INTL(AC183,AF183,1,Holidays[Date]),AI183),"")</f>
        <v/>
      </c>
      <c r="AI183" s="78"/>
      <c r="AJ183" s="80"/>
      <c r="AK183" s="68"/>
      <c r="AL183" s="77" t="str">
        <f>IF(AQ183="","",WORKDAY.INTL(AQ183,AO183*-1,1,Holidays[Date]))</f>
        <v/>
      </c>
      <c r="AM183" s="77" t="str">
        <f ca="1">IFERROR(IF(AN183="",WORKDAY.INTL(AH183,AK183,1,Holidays[Date]),AN183),"")</f>
        <v/>
      </c>
      <c r="AN183" s="78"/>
      <c r="AO183" s="80"/>
      <c r="AP183" s="68"/>
      <c r="AQ183" s="77" t="str">
        <f>IF(AV183="","",WORKDAY.INTL(AV183,AT183*-1,1,Holidays[Date]))</f>
        <v/>
      </c>
      <c r="AR183" s="77" t="str">
        <f ca="1">IFERROR(IF(AS183="",WORKDAY.INTL(AM183,AP183,1,Holidays[Date]),AS183),"")</f>
        <v/>
      </c>
      <c r="AS183" s="78"/>
      <c r="AT183" s="80"/>
      <c r="AU183" s="68"/>
      <c r="AV183" s="77" t="str">
        <f>IF(BA183="","",WORKDAY.INTL(BA183,AY183*-1,1,Holidays[Date]))</f>
        <v/>
      </c>
      <c r="AW183" s="77" t="str">
        <f ca="1">IFERROR(IF(AX183="",WORKDAY.INTL(AR183,AU183,1,Holidays[Date]),AX183),"")</f>
        <v/>
      </c>
      <c r="AX183" s="78"/>
      <c r="AY183" s="80"/>
      <c r="AZ183" s="68"/>
      <c r="BA183" s="77" t="str">
        <f>IF(BF183="","",WORKDAY.INTL(BF183,BD183*-1,1,Holidays[Date]))</f>
        <v/>
      </c>
      <c r="BB183" s="77" t="str">
        <f ca="1">IFERROR(IF(BC183="",WORKDAY.INTL(AW183,AZ183,1,Holidays[Date]),BC183),"")</f>
        <v/>
      </c>
      <c r="BC183" s="78"/>
      <c r="BD183" s="80"/>
      <c r="BE183" s="68"/>
      <c r="BF183" s="77" t="str">
        <f>IF(BK183="","",WORKDAY.INTL(BK183,BI183*-1,1,Holidays[Date]))</f>
        <v/>
      </c>
      <c r="BG183" s="77" t="str">
        <f ca="1">IFERROR(IF(BH183="",WORKDAY.INTL(BB183,BE183,1,Holidays[Date]),BH183),"")</f>
        <v/>
      </c>
      <c r="BH183" s="78"/>
      <c r="BI183" s="80"/>
      <c r="BJ183" s="68"/>
      <c r="BK183" s="77" t="str">
        <f>IF(BP183="","",WORKDAY.INTL(BP183,BN183*-1,1,Holidays[Date]))</f>
        <v/>
      </c>
      <c r="BL183" s="77" t="str">
        <f ca="1">IFERROR(IF(BM183="",WORKDAY.INTL(BG183,BJ183,1,Holidays[Date]),BM183),"")</f>
        <v/>
      </c>
      <c r="BM183" s="78"/>
      <c r="BN183" s="80"/>
      <c r="BO183" s="68"/>
      <c r="BP183" s="77" t="str">
        <f>IF(BU183="","",WORKDAY.INTL(BU183,BS183*-1,1,Holidays[Date]))</f>
        <v/>
      </c>
      <c r="BQ183" s="77" t="str">
        <f ca="1">IFERROR(IF(BR183="",WORKDAY.INTL(BL183,BO183,1,Holidays[Date]),BR183),"")</f>
        <v/>
      </c>
      <c r="BR183" s="78"/>
      <c r="BS183" s="80"/>
      <c r="BT183" s="68"/>
      <c r="BU183" s="77" t="str">
        <f>IF(BZ183="","",WORKDAY.INTL(BZ183,BX183*-1,1,Holidays[Date]))</f>
        <v/>
      </c>
      <c r="BV183" s="77" t="str">
        <f ca="1">IFERROR(IF(BW183="",WORKDAY.INTL(BQ183,BT183,1,Holidays[Date]),BW183),"")</f>
        <v/>
      </c>
      <c r="BW183" s="78"/>
      <c r="BX183" s="80"/>
      <c r="BY183" s="68"/>
      <c r="BZ183" s="81"/>
      <c r="CA183" s="77" t="str">
        <f ca="1">IFERROR(IF(CB183="",WORKDAY.INTL(BV183,BY183,1,Holidays[Date]),CB183),"")</f>
        <v/>
      </c>
      <c r="CB183" s="78"/>
    </row>
    <row r="184" spans="1:80" ht="19" customHeight="1" x14ac:dyDescent="0.35">
      <c r="A184" s="31"/>
      <c r="B184" s="82"/>
      <c r="C184" s="1"/>
      <c r="D184" s="8"/>
      <c r="E184" s="8"/>
      <c r="F184" s="8"/>
      <c r="G184" s="8"/>
      <c r="H184" s="8"/>
      <c r="I184" s="9"/>
      <c r="J184" s="8"/>
      <c r="K184" s="8"/>
      <c r="L184" s="8"/>
      <c r="M184" s="8"/>
      <c r="N184" s="8"/>
      <c r="O184" s="8"/>
      <c r="P184" s="8"/>
      <c r="Q184" s="2"/>
      <c r="R184" s="2"/>
      <c r="S184" s="88" t="str">
        <f>IF(tblProcRegister[[#This Row],[Award]]&lt;&gt;"",tblProcRegister[[#This Row],[Budget]]-tblProcRegister[[#This Row],[Award]],"")</f>
        <v/>
      </c>
      <c r="T184" s="68"/>
      <c r="U184" s="68"/>
      <c r="V184" s="68"/>
      <c r="W184" s="77" t="str">
        <f>IF(AB184="","",WORKDAY.INTL(AB184,Z184*-1,1,Holidays[Date]))</f>
        <v/>
      </c>
      <c r="X184" s="77" t="str">
        <f t="shared" ca="1" si="2"/>
        <v/>
      </c>
      <c r="Y184" s="78"/>
      <c r="Z184" s="79"/>
      <c r="AA184" s="68"/>
      <c r="AB184" s="77" t="str">
        <f>IF(AG184="","",WORKDAY.INTL(AG184,AE184*-1,1,Holidays[Date]))</f>
        <v/>
      </c>
      <c r="AC184" s="77" t="str">
        <f ca="1">IFERROR(IF(AD184="",WORKDAY.INTL(X184,AA184,1,Holidays[Date]),AD184),"")</f>
        <v/>
      </c>
      <c r="AD184" s="78"/>
      <c r="AE184" s="80"/>
      <c r="AF184" s="68"/>
      <c r="AG184" s="77" t="str">
        <f>IF(AL184="","",WORKDAY.INTL(AL184,AJ184*-1,1,Holidays[Date]))</f>
        <v/>
      </c>
      <c r="AH184" s="77" t="str">
        <f ca="1">IFERROR(IF(AI184="",WORKDAY.INTL(AC184,AF184,1,Holidays[Date]),AI184),"")</f>
        <v/>
      </c>
      <c r="AI184" s="78"/>
      <c r="AJ184" s="80"/>
      <c r="AK184" s="68"/>
      <c r="AL184" s="77" t="str">
        <f>IF(AQ184="","",WORKDAY.INTL(AQ184,AO184*-1,1,Holidays[Date]))</f>
        <v/>
      </c>
      <c r="AM184" s="77" t="str">
        <f ca="1">IFERROR(IF(AN184="",WORKDAY.INTL(AH184,AK184,1,Holidays[Date]),AN184),"")</f>
        <v/>
      </c>
      <c r="AN184" s="78"/>
      <c r="AO184" s="80"/>
      <c r="AP184" s="68"/>
      <c r="AQ184" s="77" t="str">
        <f>IF(AV184="","",WORKDAY.INTL(AV184,AT184*-1,1,Holidays[Date]))</f>
        <v/>
      </c>
      <c r="AR184" s="77" t="str">
        <f ca="1">IFERROR(IF(AS184="",WORKDAY.INTL(AM184,AP184,1,Holidays[Date]),AS184),"")</f>
        <v/>
      </c>
      <c r="AS184" s="78"/>
      <c r="AT184" s="80"/>
      <c r="AU184" s="68"/>
      <c r="AV184" s="77" t="str">
        <f>IF(BA184="","",WORKDAY.INTL(BA184,AY184*-1,1,Holidays[Date]))</f>
        <v/>
      </c>
      <c r="AW184" s="77" t="str">
        <f ca="1">IFERROR(IF(AX184="",WORKDAY.INTL(AR184,AU184,1,Holidays[Date]),AX184),"")</f>
        <v/>
      </c>
      <c r="AX184" s="78"/>
      <c r="AY184" s="80"/>
      <c r="AZ184" s="68"/>
      <c r="BA184" s="77" t="str">
        <f>IF(BF184="","",WORKDAY.INTL(BF184,BD184*-1,1,Holidays[Date]))</f>
        <v/>
      </c>
      <c r="BB184" s="77" t="str">
        <f ca="1">IFERROR(IF(BC184="",WORKDAY.INTL(AW184,AZ184,1,Holidays[Date]),BC184),"")</f>
        <v/>
      </c>
      <c r="BC184" s="78"/>
      <c r="BD184" s="80"/>
      <c r="BE184" s="68"/>
      <c r="BF184" s="77" t="str">
        <f>IF(BK184="","",WORKDAY.INTL(BK184,BI184*-1,1,Holidays[Date]))</f>
        <v/>
      </c>
      <c r="BG184" s="77" t="str">
        <f ca="1">IFERROR(IF(BH184="",WORKDAY.INTL(BB184,BE184,1,Holidays[Date]),BH184),"")</f>
        <v/>
      </c>
      <c r="BH184" s="78"/>
      <c r="BI184" s="80"/>
      <c r="BJ184" s="68"/>
      <c r="BK184" s="77" t="str">
        <f>IF(BP184="","",WORKDAY.INTL(BP184,BN184*-1,1,Holidays[Date]))</f>
        <v/>
      </c>
      <c r="BL184" s="77" t="str">
        <f ca="1">IFERROR(IF(BM184="",WORKDAY.INTL(BG184,BJ184,1,Holidays[Date]),BM184),"")</f>
        <v/>
      </c>
      <c r="BM184" s="78"/>
      <c r="BN184" s="80"/>
      <c r="BO184" s="68"/>
      <c r="BP184" s="77" t="str">
        <f>IF(BU184="","",WORKDAY.INTL(BU184,BS184*-1,1,Holidays[Date]))</f>
        <v/>
      </c>
      <c r="BQ184" s="77" t="str">
        <f ca="1">IFERROR(IF(BR184="",WORKDAY.INTL(BL184,BO184,1,Holidays[Date]),BR184),"")</f>
        <v/>
      </c>
      <c r="BR184" s="78"/>
      <c r="BS184" s="80"/>
      <c r="BT184" s="68"/>
      <c r="BU184" s="77" t="str">
        <f>IF(BZ184="","",WORKDAY.INTL(BZ184,BX184*-1,1,Holidays[Date]))</f>
        <v/>
      </c>
      <c r="BV184" s="77" t="str">
        <f ca="1">IFERROR(IF(BW184="",WORKDAY.INTL(BQ184,BT184,1,Holidays[Date]),BW184),"")</f>
        <v/>
      </c>
      <c r="BW184" s="78"/>
      <c r="BX184" s="80"/>
      <c r="BY184" s="68"/>
      <c r="BZ184" s="81"/>
      <c r="CA184" s="77" t="str">
        <f ca="1">IFERROR(IF(CB184="",WORKDAY.INTL(BV184,BY184,1,Holidays[Date]),CB184),"")</f>
        <v/>
      </c>
      <c r="CB184" s="78"/>
    </row>
    <row r="185" spans="1:80" ht="19" customHeight="1" x14ac:dyDescent="0.35">
      <c r="A185" s="31"/>
      <c r="B185" s="82"/>
      <c r="C185" s="1"/>
      <c r="D185" s="8"/>
      <c r="E185" s="8"/>
      <c r="F185" s="8"/>
      <c r="G185" s="8"/>
      <c r="H185" s="8"/>
      <c r="I185" s="9"/>
      <c r="J185" s="8"/>
      <c r="K185" s="8"/>
      <c r="L185" s="8"/>
      <c r="M185" s="8"/>
      <c r="N185" s="8"/>
      <c r="O185" s="8"/>
      <c r="P185" s="8"/>
      <c r="Q185" s="2"/>
      <c r="R185" s="2"/>
      <c r="S185" s="88" t="str">
        <f>IF(tblProcRegister[[#This Row],[Award]]&lt;&gt;"",tblProcRegister[[#This Row],[Budget]]-tblProcRegister[[#This Row],[Award]],"")</f>
        <v/>
      </c>
      <c r="T185" s="68"/>
      <c r="U185" s="68"/>
      <c r="V185" s="68"/>
      <c r="W185" s="77" t="str">
        <f>IF(AB185="","",WORKDAY.INTL(AB185,Z185*-1,1,Holidays[Date]))</f>
        <v/>
      </c>
      <c r="X185" s="77" t="str">
        <f t="shared" ca="1" si="2"/>
        <v/>
      </c>
      <c r="Y185" s="78"/>
      <c r="Z185" s="79"/>
      <c r="AA185" s="68"/>
      <c r="AB185" s="77" t="str">
        <f>IF(AG185="","",WORKDAY.INTL(AG185,AE185*-1,1,Holidays[Date]))</f>
        <v/>
      </c>
      <c r="AC185" s="77" t="str">
        <f ca="1">IFERROR(IF(AD185="",WORKDAY.INTL(X185,AA185,1,Holidays[Date]),AD185),"")</f>
        <v/>
      </c>
      <c r="AD185" s="78"/>
      <c r="AE185" s="80"/>
      <c r="AF185" s="68"/>
      <c r="AG185" s="77" t="str">
        <f>IF(AL185="","",WORKDAY.INTL(AL185,AJ185*-1,1,Holidays[Date]))</f>
        <v/>
      </c>
      <c r="AH185" s="77" t="str">
        <f ca="1">IFERROR(IF(AI185="",WORKDAY.INTL(AC185,AF185,1,Holidays[Date]),AI185),"")</f>
        <v/>
      </c>
      <c r="AI185" s="78"/>
      <c r="AJ185" s="80"/>
      <c r="AK185" s="68"/>
      <c r="AL185" s="77" t="str">
        <f>IF(AQ185="","",WORKDAY.INTL(AQ185,AO185*-1,1,Holidays[Date]))</f>
        <v/>
      </c>
      <c r="AM185" s="77" t="str">
        <f ca="1">IFERROR(IF(AN185="",WORKDAY.INTL(AH185,AK185,1,Holidays[Date]),AN185),"")</f>
        <v/>
      </c>
      <c r="AN185" s="78"/>
      <c r="AO185" s="80"/>
      <c r="AP185" s="68"/>
      <c r="AQ185" s="77" t="str">
        <f>IF(AV185="","",WORKDAY.INTL(AV185,AT185*-1,1,Holidays[Date]))</f>
        <v/>
      </c>
      <c r="AR185" s="77" t="str">
        <f ca="1">IFERROR(IF(AS185="",WORKDAY.INTL(AM185,AP185,1,Holidays[Date]),AS185),"")</f>
        <v/>
      </c>
      <c r="AS185" s="78"/>
      <c r="AT185" s="80"/>
      <c r="AU185" s="68"/>
      <c r="AV185" s="77" t="str">
        <f>IF(BA185="","",WORKDAY.INTL(BA185,AY185*-1,1,Holidays[Date]))</f>
        <v/>
      </c>
      <c r="AW185" s="77" t="str">
        <f ca="1">IFERROR(IF(AX185="",WORKDAY.INTL(AR185,AU185,1,Holidays[Date]),AX185),"")</f>
        <v/>
      </c>
      <c r="AX185" s="78"/>
      <c r="AY185" s="80"/>
      <c r="AZ185" s="68"/>
      <c r="BA185" s="77" t="str">
        <f>IF(BF185="","",WORKDAY.INTL(BF185,BD185*-1,1,Holidays[Date]))</f>
        <v/>
      </c>
      <c r="BB185" s="77" t="str">
        <f ca="1">IFERROR(IF(BC185="",WORKDAY.INTL(AW185,AZ185,1,Holidays[Date]),BC185),"")</f>
        <v/>
      </c>
      <c r="BC185" s="78"/>
      <c r="BD185" s="80"/>
      <c r="BE185" s="68"/>
      <c r="BF185" s="77" t="str">
        <f>IF(BK185="","",WORKDAY.INTL(BK185,BI185*-1,1,Holidays[Date]))</f>
        <v/>
      </c>
      <c r="BG185" s="77" t="str">
        <f ca="1">IFERROR(IF(BH185="",WORKDAY.INTL(BB185,BE185,1,Holidays[Date]),BH185),"")</f>
        <v/>
      </c>
      <c r="BH185" s="78"/>
      <c r="BI185" s="80"/>
      <c r="BJ185" s="68"/>
      <c r="BK185" s="77" t="str">
        <f>IF(BP185="","",WORKDAY.INTL(BP185,BN185*-1,1,Holidays[Date]))</f>
        <v/>
      </c>
      <c r="BL185" s="77" t="str">
        <f ca="1">IFERROR(IF(BM185="",WORKDAY.INTL(BG185,BJ185,1,Holidays[Date]),BM185),"")</f>
        <v/>
      </c>
      <c r="BM185" s="78"/>
      <c r="BN185" s="80"/>
      <c r="BO185" s="68"/>
      <c r="BP185" s="77" t="str">
        <f>IF(BU185="","",WORKDAY.INTL(BU185,BS185*-1,1,Holidays[Date]))</f>
        <v/>
      </c>
      <c r="BQ185" s="77" t="str">
        <f ca="1">IFERROR(IF(BR185="",WORKDAY.INTL(BL185,BO185,1,Holidays[Date]),BR185),"")</f>
        <v/>
      </c>
      <c r="BR185" s="78"/>
      <c r="BS185" s="80"/>
      <c r="BT185" s="68"/>
      <c r="BU185" s="77" t="str">
        <f>IF(BZ185="","",WORKDAY.INTL(BZ185,BX185*-1,1,Holidays[Date]))</f>
        <v/>
      </c>
      <c r="BV185" s="77" t="str">
        <f ca="1">IFERROR(IF(BW185="",WORKDAY.INTL(BQ185,BT185,1,Holidays[Date]),BW185),"")</f>
        <v/>
      </c>
      <c r="BW185" s="78"/>
      <c r="BX185" s="80"/>
      <c r="BY185" s="68"/>
      <c r="BZ185" s="81"/>
      <c r="CA185" s="77" t="str">
        <f ca="1">IFERROR(IF(CB185="",WORKDAY.INTL(BV185,BY185,1,Holidays[Date]),CB185),"")</f>
        <v/>
      </c>
      <c r="CB185" s="78"/>
    </row>
    <row r="186" spans="1:80" ht="19" customHeight="1" x14ac:dyDescent="0.35">
      <c r="A186" s="31"/>
      <c r="B186" s="82"/>
      <c r="C186" s="1"/>
      <c r="D186" s="8"/>
      <c r="E186" s="8"/>
      <c r="F186" s="8"/>
      <c r="G186" s="8"/>
      <c r="H186" s="8"/>
      <c r="I186" s="9"/>
      <c r="J186" s="8"/>
      <c r="K186" s="8"/>
      <c r="L186" s="8"/>
      <c r="M186" s="8"/>
      <c r="N186" s="8"/>
      <c r="O186" s="8"/>
      <c r="P186" s="8"/>
      <c r="Q186" s="2"/>
      <c r="R186" s="2"/>
      <c r="S186" s="88" t="str">
        <f>IF(tblProcRegister[[#This Row],[Award]]&lt;&gt;"",tblProcRegister[[#This Row],[Budget]]-tblProcRegister[[#This Row],[Award]],"")</f>
        <v/>
      </c>
      <c r="T186" s="68"/>
      <c r="U186" s="68"/>
      <c r="V186" s="68"/>
      <c r="W186" s="77" t="str">
        <f>IF(AB186="","",WORKDAY.INTL(AB186,Z186*-1,1,Holidays[Date]))</f>
        <v/>
      </c>
      <c r="X186" s="77" t="str">
        <f t="shared" ca="1" si="2"/>
        <v/>
      </c>
      <c r="Y186" s="78"/>
      <c r="Z186" s="79"/>
      <c r="AA186" s="68"/>
      <c r="AB186" s="77" t="str">
        <f>IF(AG186="","",WORKDAY.INTL(AG186,AE186*-1,1,Holidays[Date]))</f>
        <v/>
      </c>
      <c r="AC186" s="77" t="str">
        <f ca="1">IFERROR(IF(AD186="",WORKDAY.INTL(X186,AA186,1,Holidays[Date]),AD186),"")</f>
        <v/>
      </c>
      <c r="AD186" s="78"/>
      <c r="AE186" s="80"/>
      <c r="AF186" s="68"/>
      <c r="AG186" s="77" t="str">
        <f>IF(AL186="","",WORKDAY.INTL(AL186,AJ186*-1,1,Holidays[Date]))</f>
        <v/>
      </c>
      <c r="AH186" s="77" t="str">
        <f ca="1">IFERROR(IF(AI186="",WORKDAY.INTL(AC186,AF186,1,Holidays[Date]),AI186),"")</f>
        <v/>
      </c>
      <c r="AI186" s="78"/>
      <c r="AJ186" s="80"/>
      <c r="AK186" s="68"/>
      <c r="AL186" s="77" t="str">
        <f>IF(AQ186="","",WORKDAY.INTL(AQ186,AO186*-1,1,Holidays[Date]))</f>
        <v/>
      </c>
      <c r="AM186" s="77" t="str">
        <f ca="1">IFERROR(IF(AN186="",WORKDAY.INTL(AH186,AK186,1,Holidays[Date]),AN186),"")</f>
        <v/>
      </c>
      <c r="AN186" s="78"/>
      <c r="AO186" s="80"/>
      <c r="AP186" s="68"/>
      <c r="AQ186" s="77" t="str">
        <f>IF(AV186="","",WORKDAY.INTL(AV186,AT186*-1,1,Holidays[Date]))</f>
        <v/>
      </c>
      <c r="AR186" s="77" t="str">
        <f ca="1">IFERROR(IF(AS186="",WORKDAY.INTL(AM186,AP186,1,Holidays[Date]),AS186),"")</f>
        <v/>
      </c>
      <c r="AS186" s="78"/>
      <c r="AT186" s="80"/>
      <c r="AU186" s="68"/>
      <c r="AV186" s="77" t="str">
        <f>IF(BA186="","",WORKDAY.INTL(BA186,AY186*-1,1,Holidays[Date]))</f>
        <v/>
      </c>
      <c r="AW186" s="77" t="str">
        <f ca="1">IFERROR(IF(AX186="",WORKDAY.INTL(AR186,AU186,1,Holidays[Date]),AX186),"")</f>
        <v/>
      </c>
      <c r="AX186" s="78"/>
      <c r="AY186" s="80"/>
      <c r="AZ186" s="68"/>
      <c r="BA186" s="77" t="str">
        <f>IF(BF186="","",WORKDAY.INTL(BF186,BD186*-1,1,Holidays[Date]))</f>
        <v/>
      </c>
      <c r="BB186" s="77" t="str">
        <f ca="1">IFERROR(IF(BC186="",WORKDAY.INTL(AW186,AZ186,1,Holidays[Date]),BC186),"")</f>
        <v/>
      </c>
      <c r="BC186" s="78"/>
      <c r="BD186" s="80"/>
      <c r="BE186" s="68"/>
      <c r="BF186" s="77" t="str">
        <f>IF(BK186="","",WORKDAY.INTL(BK186,BI186*-1,1,Holidays[Date]))</f>
        <v/>
      </c>
      <c r="BG186" s="77" t="str">
        <f ca="1">IFERROR(IF(BH186="",WORKDAY.INTL(BB186,BE186,1,Holidays[Date]),BH186),"")</f>
        <v/>
      </c>
      <c r="BH186" s="78"/>
      <c r="BI186" s="80"/>
      <c r="BJ186" s="68"/>
      <c r="BK186" s="77" t="str">
        <f>IF(BP186="","",WORKDAY.INTL(BP186,BN186*-1,1,Holidays[Date]))</f>
        <v/>
      </c>
      <c r="BL186" s="77" t="str">
        <f ca="1">IFERROR(IF(BM186="",WORKDAY.INTL(BG186,BJ186,1,Holidays[Date]),BM186),"")</f>
        <v/>
      </c>
      <c r="BM186" s="78"/>
      <c r="BN186" s="80"/>
      <c r="BO186" s="68"/>
      <c r="BP186" s="77" t="str">
        <f>IF(BU186="","",WORKDAY.INTL(BU186,BS186*-1,1,Holidays[Date]))</f>
        <v/>
      </c>
      <c r="BQ186" s="77" t="str">
        <f ca="1">IFERROR(IF(BR186="",WORKDAY.INTL(BL186,BO186,1,Holidays[Date]),BR186),"")</f>
        <v/>
      </c>
      <c r="BR186" s="78"/>
      <c r="BS186" s="80"/>
      <c r="BT186" s="68"/>
      <c r="BU186" s="77" t="str">
        <f>IF(BZ186="","",WORKDAY.INTL(BZ186,BX186*-1,1,Holidays[Date]))</f>
        <v/>
      </c>
      <c r="BV186" s="77" t="str">
        <f ca="1">IFERROR(IF(BW186="",WORKDAY.INTL(BQ186,BT186,1,Holidays[Date]),BW186),"")</f>
        <v/>
      </c>
      <c r="BW186" s="78"/>
      <c r="BX186" s="80"/>
      <c r="BY186" s="68"/>
      <c r="BZ186" s="81"/>
      <c r="CA186" s="77" t="str">
        <f ca="1">IFERROR(IF(CB186="",WORKDAY.INTL(BV186,BY186,1,Holidays[Date]),CB186),"")</f>
        <v/>
      </c>
      <c r="CB186" s="78"/>
    </row>
    <row r="187" spans="1:80" ht="19" customHeight="1" x14ac:dyDescent="0.35">
      <c r="A187" s="31"/>
      <c r="B187" s="82"/>
      <c r="C187" s="1"/>
      <c r="D187" s="8"/>
      <c r="E187" s="8"/>
      <c r="F187" s="8"/>
      <c r="G187" s="8"/>
      <c r="H187" s="8"/>
      <c r="I187" s="9"/>
      <c r="J187" s="8"/>
      <c r="K187" s="8"/>
      <c r="L187" s="8"/>
      <c r="M187" s="8"/>
      <c r="N187" s="8"/>
      <c r="O187" s="8"/>
      <c r="P187" s="8"/>
      <c r="Q187" s="2"/>
      <c r="R187" s="2"/>
      <c r="S187" s="88" t="str">
        <f>IF(tblProcRegister[[#This Row],[Award]]&lt;&gt;"",tblProcRegister[[#This Row],[Budget]]-tblProcRegister[[#This Row],[Award]],"")</f>
        <v/>
      </c>
      <c r="T187" s="68"/>
      <c r="U187" s="68"/>
      <c r="V187" s="68"/>
      <c r="W187" s="77" t="str">
        <f>IF(AB187="","",WORKDAY.INTL(AB187,Z187*-1,1,Holidays[Date]))</f>
        <v/>
      </c>
      <c r="X187" s="77" t="str">
        <f t="shared" ca="1" si="2"/>
        <v/>
      </c>
      <c r="Y187" s="78"/>
      <c r="Z187" s="79"/>
      <c r="AA187" s="68"/>
      <c r="AB187" s="77" t="str">
        <f>IF(AG187="","",WORKDAY.INTL(AG187,AE187*-1,1,Holidays[Date]))</f>
        <v/>
      </c>
      <c r="AC187" s="77" t="str">
        <f ca="1">IFERROR(IF(AD187="",WORKDAY.INTL(X187,AA187,1,Holidays[Date]),AD187),"")</f>
        <v/>
      </c>
      <c r="AD187" s="78"/>
      <c r="AE187" s="80"/>
      <c r="AF187" s="68"/>
      <c r="AG187" s="77" t="str">
        <f>IF(AL187="","",WORKDAY.INTL(AL187,AJ187*-1,1,Holidays[Date]))</f>
        <v/>
      </c>
      <c r="AH187" s="77" t="str">
        <f ca="1">IFERROR(IF(AI187="",WORKDAY.INTL(AC187,AF187,1,Holidays[Date]),AI187),"")</f>
        <v/>
      </c>
      <c r="AI187" s="78"/>
      <c r="AJ187" s="80"/>
      <c r="AK187" s="68"/>
      <c r="AL187" s="77" t="str">
        <f>IF(AQ187="","",WORKDAY.INTL(AQ187,AO187*-1,1,Holidays[Date]))</f>
        <v/>
      </c>
      <c r="AM187" s="77" t="str">
        <f ca="1">IFERROR(IF(AN187="",WORKDAY.INTL(AH187,AK187,1,Holidays[Date]),AN187),"")</f>
        <v/>
      </c>
      <c r="AN187" s="78"/>
      <c r="AO187" s="80"/>
      <c r="AP187" s="68"/>
      <c r="AQ187" s="77" t="str">
        <f>IF(AV187="","",WORKDAY.INTL(AV187,AT187*-1,1,Holidays[Date]))</f>
        <v/>
      </c>
      <c r="AR187" s="77" t="str">
        <f ca="1">IFERROR(IF(AS187="",WORKDAY.INTL(AM187,AP187,1,Holidays[Date]),AS187),"")</f>
        <v/>
      </c>
      <c r="AS187" s="78"/>
      <c r="AT187" s="80"/>
      <c r="AU187" s="68"/>
      <c r="AV187" s="77" t="str">
        <f>IF(BA187="","",WORKDAY.INTL(BA187,AY187*-1,1,Holidays[Date]))</f>
        <v/>
      </c>
      <c r="AW187" s="77" t="str">
        <f ca="1">IFERROR(IF(AX187="",WORKDAY.INTL(AR187,AU187,1,Holidays[Date]),AX187),"")</f>
        <v/>
      </c>
      <c r="AX187" s="78"/>
      <c r="AY187" s="80"/>
      <c r="AZ187" s="68"/>
      <c r="BA187" s="77" t="str">
        <f>IF(BF187="","",WORKDAY.INTL(BF187,BD187*-1,1,Holidays[Date]))</f>
        <v/>
      </c>
      <c r="BB187" s="77" t="str">
        <f ca="1">IFERROR(IF(BC187="",WORKDAY.INTL(AW187,AZ187,1,Holidays[Date]),BC187),"")</f>
        <v/>
      </c>
      <c r="BC187" s="78"/>
      <c r="BD187" s="80"/>
      <c r="BE187" s="68"/>
      <c r="BF187" s="77" t="str">
        <f>IF(BK187="","",WORKDAY.INTL(BK187,BI187*-1,1,Holidays[Date]))</f>
        <v/>
      </c>
      <c r="BG187" s="77" t="str">
        <f ca="1">IFERROR(IF(BH187="",WORKDAY.INTL(BB187,BE187,1,Holidays[Date]),BH187),"")</f>
        <v/>
      </c>
      <c r="BH187" s="78"/>
      <c r="BI187" s="80"/>
      <c r="BJ187" s="68"/>
      <c r="BK187" s="77" t="str">
        <f>IF(BP187="","",WORKDAY.INTL(BP187,BN187*-1,1,Holidays[Date]))</f>
        <v/>
      </c>
      <c r="BL187" s="77" t="str">
        <f ca="1">IFERROR(IF(BM187="",WORKDAY.INTL(BG187,BJ187,1,Holidays[Date]),BM187),"")</f>
        <v/>
      </c>
      <c r="BM187" s="78"/>
      <c r="BN187" s="80"/>
      <c r="BO187" s="68"/>
      <c r="BP187" s="77" t="str">
        <f>IF(BU187="","",WORKDAY.INTL(BU187,BS187*-1,1,Holidays[Date]))</f>
        <v/>
      </c>
      <c r="BQ187" s="77" t="str">
        <f ca="1">IFERROR(IF(BR187="",WORKDAY.INTL(BL187,BO187,1,Holidays[Date]),BR187),"")</f>
        <v/>
      </c>
      <c r="BR187" s="78"/>
      <c r="BS187" s="80"/>
      <c r="BT187" s="68"/>
      <c r="BU187" s="77" t="str">
        <f>IF(BZ187="","",WORKDAY.INTL(BZ187,BX187*-1,1,Holidays[Date]))</f>
        <v/>
      </c>
      <c r="BV187" s="77" t="str">
        <f ca="1">IFERROR(IF(BW187="",WORKDAY.INTL(BQ187,BT187,1,Holidays[Date]),BW187),"")</f>
        <v/>
      </c>
      <c r="BW187" s="78"/>
      <c r="BX187" s="80"/>
      <c r="BY187" s="68"/>
      <c r="BZ187" s="81"/>
      <c r="CA187" s="77" t="str">
        <f ca="1">IFERROR(IF(CB187="",WORKDAY.INTL(BV187,BY187,1,Holidays[Date]),CB187),"")</f>
        <v/>
      </c>
      <c r="CB187" s="78"/>
    </row>
    <row r="188" spans="1:80" ht="19" customHeight="1" x14ac:dyDescent="0.35">
      <c r="A188" s="31"/>
      <c r="B188" s="82"/>
      <c r="C188" s="1"/>
      <c r="D188" s="8"/>
      <c r="E188" s="8"/>
      <c r="F188" s="8"/>
      <c r="G188" s="8"/>
      <c r="H188" s="8"/>
      <c r="I188" s="9"/>
      <c r="J188" s="8"/>
      <c r="K188" s="8"/>
      <c r="L188" s="8"/>
      <c r="M188" s="8"/>
      <c r="N188" s="8"/>
      <c r="O188" s="8"/>
      <c r="P188" s="8"/>
      <c r="Q188" s="2"/>
      <c r="R188" s="2"/>
      <c r="S188" s="88" t="str">
        <f>IF(tblProcRegister[[#This Row],[Award]]&lt;&gt;"",tblProcRegister[[#This Row],[Budget]]-tblProcRegister[[#This Row],[Award]],"")</f>
        <v/>
      </c>
      <c r="T188" s="68"/>
      <c r="U188" s="68"/>
      <c r="V188" s="68"/>
      <c r="W188" s="77" t="str">
        <f>IF(AB188="","",WORKDAY.INTL(AB188,Z188*-1,1,Holidays[Date]))</f>
        <v/>
      </c>
      <c r="X188" s="77" t="str">
        <f t="shared" ca="1" si="2"/>
        <v/>
      </c>
      <c r="Y188" s="78"/>
      <c r="Z188" s="79"/>
      <c r="AA188" s="68"/>
      <c r="AB188" s="77" t="str">
        <f>IF(AG188="","",WORKDAY.INTL(AG188,AE188*-1,1,Holidays[Date]))</f>
        <v/>
      </c>
      <c r="AC188" s="77" t="str">
        <f ca="1">IFERROR(IF(AD188="",WORKDAY.INTL(X188,AA188,1,Holidays[Date]),AD188),"")</f>
        <v/>
      </c>
      <c r="AD188" s="78"/>
      <c r="AE188" s="80"/>
      <c r="AF188" s="68"/>
      <c r="AG188" s="77" t="str">
        <f>IF(AL188="","",WORKDAY.INTL(AL188,AJ188*-1,1,Holidays[Date]))</f>
        <v/>
      </c>
      <c r="AH188" s="77" t="str">
        <f ca="1">IFERROR(IF(AI188="",WORKDAY.INTL(AC188,AF188,1,Holidays[Date]),AI188),"")</f>
        <v/>
      </c>
      <c r="AI188" s="78"/>
      <c r="AJ188" s="80"/>
      <c r="AK188" s="68"/>
      <c r="AL188" s="77" t="str">
        <f>IF(AQ188="","",WORKDAY.INTL(AQ188,AO188*-1,1,Holidays[Date]))</f>
        <v/>
      </c>
      <c r="AM188" s="77" t="str">
        <f ca="1">IFERROR(IF(AN188="",WORKDAY.INTL(AH188,AK188,1,Holidays[Date]),AN188),"")</f>
        <v/>
      </c>
      <c r="AN188" s="78"/>
      <c r="AO188" s="80"/>
      <c r="AP188" s="68"/>
      <c r="AQ188" s="77" t="str">
        <f>IF(AV188="","",WORKDAY.INTL(AV188,AT188*-1,1,Holidays[Date]))</f>
        <v/>
      </c>
      <c r="AR188" s="77" t="str">
        <f ca="1">IFERROR(IF(AS188="",WORKDAY.INTL(AM188,AP188,1,Holidays[Date]),AS188),"")</f>
        <v/>
      </c>
      <c r="AS188" s="78"/>
      <c r="AT188" s="80"/>
      <c r="AU188" s="68"/>
      <c r="AV188" s="77" t="str">
        <f>IF(BA188="","",WORKDAY.INTL(BA188,AY188*-1,1,Holidays[Date]))</f>
        <v/>
      </c>
      <c r="AW188" s="77" t="str">
        <f ca="1">IFERROR(IF(AX188="",WORKDAY.INTL(AR188,AU188,1,Holidays[Date]),AX188),"")</f>
        <v/>
      </c>
      <c r="AX188" s="78"/>
      <c r="AY188" s="80"/>
      <c r="AZ188" s="68"/>
      <c r="BA188" s="77" t="str">
        <f>IF(BF188="","",WORKDAY.INTL(BF188,BD188*-1,1,Holidays[Date]))</f>
        <v/>
      </c>
      <c r="BB188" s="77" t="str">
        <f ca="1">IFERROR(IF(BC188="",WORKDAY.INTL(AW188,AZ188,1,Holidays[Date]),BC188),"")</f>
        <v/>
      </c>
      <c r="BC188" s="78"/>
      <c r="BD188" s="80"/>
      <c r="BE188" s="68"/>
      <c r="BF188" s="77" t="str">
        <f>IF(BK188="","",WORKDAY.INTL(BK188,BI188*-1,1,Holidays[Date]))</f>
        <v/>
      </c>
      <c r="BG188" s="77" t="str">
        <f ca="1">IFERROR(IF(BH188="",WORKDAY.INTL(BB188,BE188,1,Holidays[Date]),BH188),"")</f>
        <v/>
      </c>
      <c r="BH188" s="78"/>
      <c r="BI188" s="80"/>
      <c r="BJ188" s="68"/>
      <c r="BK188" s="77" t="str">
        <f>IF(BP188="","",WORKDAY.INTL(BP188,BN188*-1,1,Holidays[Date]))</f>
        <v/>
      </c>
      <c r="BL188" s="77" t="str">
        <f ca="1">IFERROR(IF(BM188="",WORKDAY.INTL(BG188,BJ188,1,Holidays[Date]),BM188),"")</f>
        <v/>
      </c>
      <c r="BM188" s="78"/>
      <c r="BN188" s="80"/>
      <c r="BO188" s="68"/>
      <c r="BP188" s="77" t="str">
        <f>IF(BU188="","",WORKDAY.INTL(BU188,BS188*-1,1,Holidays[Date]))</f>
        <v/>
      </c>
      <c r="BQ188" s="77" t="str">
        <f ca="1">IFERROR(IF(BR188="",WORKDAY.INTL(BL188,BO188,1,Holidays[Date]),BR188),"")</f>
        <v/>
      </c>
      <c r="BR188" s="78"/>
      <c r="BS188" s="80"/>
      <c r="BT188" s="68"/>
      <c r="BU188" s="77" t="str">
        <f>IF(BZ188="","",WORKDAY.INTL(BZ188,BX188*-1,1,Holidays[Date]))</f>
        <v/>
      </c>
      <c r="BV188" s="77" t="str">
        <f ca="1">IFERROR(IF(BW188="",WORKDAY.INTL(BQ188,BT188,1,Holidays[Date]),BW188),"")</f>
        <v/>
      </c>
      <c r="BW188" s="78"/>
      <c r="BX188" s="80"/>
      <c r="BY188" s="68"/>
      <c r="BZ188" s="81"/>
      <c r="CA188" s="77" t="str">
        <f ca="1">IFERROR(IF(CB188="",WORKDAY.INTL(BV188,BY188,1,Holidays[Date]),CB188),"")</f>
        <v/>
      </c>
      <c r="CB188" s="78"/>
    </row>
    <row r="189" spans="1:80" ht="19" customHeight="1" x14ac:dyDescent="0.35">
      <c r="A189" s="31"/>
      <c r="B189" s="82"/>
      <c r="C189" s="1"/>
      <c r="D189" s="8"/>
      <c r="E189" s="8"/>
      <c r="F189" s="8"/>
      <c r="G189" s="8"/>
      <c r="H189" s="8"/>
      <c r="I189" s="9"/>
      <c r="J189" s="8"/>
      <c r="K189" s="8"/>
      <c r="L189" s="8"/>
      <c r="M189" s="8"/>
      <c r="N189" s="8"/>
      <c r="O189" s="8"/>
      <c r="P189" s="8"/>
      <c r="Q189" s="2"/>
      <c r="R189" s="2"/>
      <c r="S189" s="88" t="str">
        <f>IF(tblProcRegister[[#This Row],[Award]]&lt;&gt;"",tblProcRegister[[#This Row],[Budget]]-tblProcRegister[[#This Row],[Award]],"")</f>
        <v/>
      </c>
      <c r="T189" s="68"/>
      <c r="U189" s="68"/>
      <c r="V189" s="68"/>
      <c r="W189" s="77" t="str">
        <f>IF(AB189="","",WORKDAY.INTL(AB189,Z189*-1,1,Holidays[Date]))</f>
        <v/>
      </c>
      <c r="X189" s="77" t="str">
        <f t="shared" ca="1" si="2"/>
        <v/>
      </c>
      <c r="Y189" s="78"/>
      <c r="Z189" s="79"/>
      <c r="AA189" s="68"/>
      <c r="AB189" s="77" t="str">
        <f>IF(AG189="","",WORKDAY.INTL(AG189,AE189*-1,1,Holidays[Date]))</f>
        <v/>
      </c>
      <c r="AC189" s="77" t="str">
        <f ca="1">IFERROR(IF(AD189="",WORKDAY.INTL(X189,AA189,1,Holidays[Date]),AD189),"")</f>
        <v/>
      </c>
      <c r="AD189" s="78"/>
      <c r="AE189" s="80"/>
      <c r="AF189" s="68"/>
      <c r="AG189" s="77" t="str">
        <f>IF(AL189="","",WORKDAY.INTL(AL189,AJ189*-1,1,Holidays[Date]))</f>
        <v/>
      </c>
      <c r="AH189" s="77" t="str">
        <f ca="1">IFERROR(IF(AI189="",WORKDAY.INTL(AC189,AF189,1,Holidays[Date]),AI189),"")</f>
        <v/>
      </c>
      <c r="AI189" s="78"/>
      <c r="AJ189" s="80"/>
      <c r="AK189" s="68"/>
      <c r="AL189" s="77" t="str">
        <f>IF(AQ189="","",WORKDAY.INTL(AQ189,AO189*-1,1,Holidays[Date]))</f>
        <v/>
      </c>
      <c r="AM189" s="77" t="str">
        <f ca="1">IFERROR(IF(AN189="",WORKDAY.INTL(AH189,AK189,1,Holidays[Date]),AN189),"")</f>
        <v/>
      </c>
      <c r="AN189" s="78"/>
      <c r="AO189" s="80"/>
      <c r="AP189" s="68"/>
      <c r="AQ189" s="77" t="str">
        <f>IF(AV189="","",WORKDAY.INTL(AV189,AT189*-1,1,Holidays[Date]))</f>
        <v/>
      </c>
      <c r="AR189" s="77" t="str">
        <f ca="1">IFERROR(IF(AS189="",WORKDAY.INTL(AM189,AP189,1,Holidays[Date]),AS189),"")</f>
        <v/>
      </c>
      <c r="AS189" s="78"/>
      <c r="AT189" s="80"/>
      <c r="AU189" s="68"/>
      <c r="AV189" s="77" t="str">
        <f>IF(BA189="","",WORKDAY.INTL(BA189,AY189*-1,1,Holidays[Date]))</f>
        <v/>
      </c>
      <c r="AW189" s="77" t="str">
        <f ca="1">IFERROR(IF(AX189="",WORKDAY.INTL(AR189,AU189,1,Holidays[Date]),AX189),"")</f>
        <v/>
      </c>
      <c r="AX189" s="78"/>
      <c r="AY189" s="80"/>
      <c r="AZ189" s="68"/>
      <c r="BA189" s="77" t="str">
        <f>IF(BF189="","",WORKDAY.INTL(BF189,BD189*-1,1,Holidays[Date]))</f>
        <v/>
      </c>
      <c r="BB189" s="77" t="str">
        <f ca="1">IFERROR(IF(BC189="",WORKDAY.INTL(AW189,AZ189,1,Holidays[Date]),BC189),"")</f>
        <v/>
      </c>
      <c r="BC189" s="78"/>
      <c r="BD189" s="80"/>
      <c r="BE189" s="68"/>
      <c r="BF189" s="77" t="str">
        <f>IF(BK189="","",WORKDAY.INTL(BK189,BI189*-1,1,Holidays[Date]))</f>
        <v/>
      </c>
      <c r="BG189" s="77" t="str">
        <f ca="1">IFERROR(IF(BH189="",WORKDAY.INTL(BB189,BE189,1,Holidays[Date]),BH189),"")</f>
        <v/>
      </c>
      <c r="BH189" s="78"/>
      <c r="BI189" s="80"/>
      <c r="BJ189" s="68"/>
      <c r="BK189" s="77" t="str">
        <f>IF(BP189="","",WORKDAY.INTL(BP189,BN189*-1,1,Holidays[Date]))</f>
        <v/>
      </c>
      <c r="BL189" s="77" t="str">
        <f ca="1">IFERROR(IF(BM189="",WORKDAY.INTL(BG189,BJ189,1,Holidays[Date]),BM189),"")</f>
        <v/>
      </c>
      <c r="BM189" s="78"/>
      <c r="BN189" s="80"/>
      <c r="BO189" s="68"/>
      <c r="BP189" s="77" t="str">
        <f>IF(BU189="","",WORKDAY.INTL(BU189,BS189*-1,1,Holidays[Date]))</f>
        <v/>
      </c>
      <c r="BQ189" s="77" t="str">
        <f ca="1">IFERROR(IF(BR189="",WORKDAY.INTL(BL189,BO189,1,Holidays[Date]),BR189),"")</f>
        <v/>
      </c>
      <c r="BR189" s="78"/>
      <c r="BS189" s="80"/>
      <c r="BT189" s="68"/>
      <c r="BU189" s="77" t="str">
        <f>IF(BZ189="","",WORKDAY.INTL(BZ189,BX189*-1,1,Holidays[Date]))</f>
        <v/>
      </c>
      <c r="BV189" s="77" t="str">
        <f ca="1">IFERROR(IF(BW189="",WORKDAY.INTL(BQ189,BT189,1,Holidays[Date]),BW189),"")</f>
        <v/>
      </c>
      <c r="BW189" s="78"/>
      <c r="BX189" s="80"/>
      <c r="BY189" s="68"/>
      <c r="BZ189" s="81"/>
      <c r="CA189" s="77" t="str">
        <f ca="1">IFERROR(IF(CB189="",WORKDAY.INTL(BV189,BY189,1,Holidays[Date]),CB189),"")</f>
        <v/>
      </c>
      <c r="CB189" s="78"/>
    </row>
    <row r="190" spans="1:80" ht="19" customHeight="1" x14ac:dyDescent="0.35">
      <c r="A190" s="31"/>
      <c r="B190" s="82"/>
      <c r="C190" s="1"/>
      <c r="D190" s="8"/>
      <c r="E190" s="8"/>
      <c r="F190" s="8"/>
      <c r="G190" s="8"/>
      <c r="H190" s="8"/>
      <c r="I190" s="9"/>
      <c r="J190" s="8"/>
      <c r="K190" s="8"/>
      <c r="L190" s="8"/>
      <c r="M190" s="8"/>
      <c r="N190" s="8"/>
      <c r="O190" s="8"/>
      <c r="P190" s="8"/>
      <c r="Q190" s="2"/>
      <c r="R190" s="2"/>
      <c r="S190" s="88" t="str">
        <f>IF(tblProcRegister[[#This Row],[Award]]&lt;&gt;"",tblProcRegister[[#This Row],[Budget]]-tblProcRegister[[#This Row],[Award]],"")</f>
        <v/>
      </c>
      <c r="T190" s="68"/>
      <c r="U190" s="68"/>
      <c r="V190" s="68"/>
      <c r="W190" s="77" t="str">
        <f>IF(AB190="","",WORKDAY.INTL(AB190,Z190*-1,1,Holidays[Date]))</f>
        <v/>
      </c>
      <c r="X190" s="77" t="str">
        <f t="shared" ca="1" si="2"/>
        <v/>
      </c>
      <c r="Y190" s="78"/>
      <c r="Z190" s="79"/>
      <c r="AA190" s="68"/>
      <c r="AB190" s="77" t="str">
        <f>IF(AG190="","",WORKDAY.INTL(AG190,AE190*-1,1,Holidays[Date]))</f>
        <v/>
      </c>
      <c r="AC190" s="77" t="str">
        <f ca="1">IFERROR(IF(AD190="",WORKDAY.INTL(X190,AA190,1,Holidays[Date]),AD190),"")</f>
        <v/>
      </c>
      <c r="AD190" s="78"/>
      <c r="AE190" s="80"/>
      <c r="AF190" s="68"/>
      <c r="AG190" s="77" t="str">
        <f>IF(AL190="","",WORKDAY.INTL(AL190,AJ190*-1,1,Holidays[Date]))</f>
        <v/>
      </c>
      <c r="AH190" s="77" t="str">
        <f ca="1">IFERROR(IF(AI190="",WORKDAY.INTL(AC190,AF190,1,Holidays[Date]),AI190),"")</f>
        <v/>
      </c>
      <c r="AI190" s="78"/>
      <c r="AJ190" s="80"/>
      <c r="AK190" s="68"/>
      <c r="AL190" s="77" t="str">
        <f>IF(AQ190="","",WORKDAY.INTL(AQ190,AO190*-1,1,Holidays[Date]))</f>
        <v/>
      </c>
      <c r="AM190" s="77" t="str">
        <f ca="1">IFERROR(IF(AN190="",WORKDAY.INTL(AH190,AK190,1,Holidays[Date]),AN190),"")</f>
        <v/>
      </c>
      <c r="AN190" s="78"/>
      <c r="AO190" s="80"/>
      <c r="AP190" s="68"/>
      <c r="AQ190" s="77" t="str">
        <f>IF(AV190="","",WORKDAY.INTL(AV190,AT190*-1,1,Holidays[Date]))</f>
        <v/>
      </c>
      <c r="AR190" s="77" t="str">
        <f ca="1">IFERROR(IF(AS190="",WORKDAY.INTL(AM190,AP190,1,Holidays[Date]),AS190),"")</f>
        <v/>
      </c>
      <c r="AS190" s="78"/>
      <c r="AT190" s="80"/>
      <c r="AU190" s="68"/>
      <c r="AV190" s="77" t="str">
        <f>IF(BA190="","",WORKDAY.INTL(BA190,AY190*-1,1,Holidays[Date]))</f>
        <v/>
      </c>
      <c r="AW190" s="77" t="str">
        <f ca="1">IFERROR(IF(AX190="",WORKDAY.INTL(AR190,AU190,1,Holidays[Date]),AX190),"")</f>
        <v/>
      </c>
      <c r="AX190" s="78"/>
      <c r="AY190" s="80"/>
      <c r="AZ190" s="68"/>
      <c r="BA190" s="77" t="str">
        <f>IF(BF190="","",WORKDAY.INTL(BF190,BD190*-1,1,Holidays[Date]))</f>
        <v/>
      </c>
      <c r="BB190" s="77" t="str">
        <f ca="1">IFERROR(IF(BC190="",WORKDAY.INTL(AW190,AZ190,1,Holidays[Date]),BC190),"")</f>
        <v/>
      </c>
      <c r="BC190" s="78"/>
      <c r="BD190" s="80"/>
      <c r="BE190" s="68"/>
      <c r="BF190" s="77" t="str">
        <f>IF(BK190="","",WORKDAY.INTL(BK190,BI190*-1,1,Holidays[Date]))</f>
        <v/>
      </c>
      <c r="BG190" s="77" t="str">
        <f ca="1">IFERROR(IF(BH190="",WORKDAY.INTL(BB190,BE190,1,Holidays[Date]),BH190),"")</f>
        <v/>
      </c>
      <c r="BH190" s="78"/>
      <c r="BI190" s="80"/>
      <c r="BJ190" s="68"/>
      <c r="BK190" s="77" t="str">
        <f>IF(BP190="","",WORKDAY.INTL(BP190,BN190*-1,1,Holidays[Date]))</f>
        <v/>
      </c>
      <c r="BL190" s="77" t="str">
        <f ca="1">IFERROR(IF(BM190="",WORKDAY.INTL(BG190,BJ190,1,Holidays[Date]),BM190),"")</f>
        <v/>
      </c>
      <c r="BM190" s="78"/>
      <c r="BN190" s="80"/>
      <c r="BO190" s="68"/>
      <c r="BP190" s="77" t="str">
        <f>IF(BU190="","",WORKDAY.INTL(BU190,BS190*-1,1,Holidays[Date]))</f>
        <v/>
      </c>
      <c r="BQ190" s="77" t="str">
        <f ca="1">IFERROR(IF(BR190="",WORKDAY.INTL(BL190,BO190,1,Holidays[Date]),BR190),"")</f>
        <v/>
      </c>
      <c r="BR190" s="78"/>
      <c r="BS190" s="80"/>
      <c r="BT190" s="68"/>
      <c r="BU190" s="77" t="str">
        <f>IF(BZ190="","",WORKDAY.INTL(BZ190,BX190*-1,1,Holidays[Date]))</f>
        <v/>
      </c>
      <c r="BV190" s="77" t="str">
        <f ca="1">IFERROR(IF(BW190="",WORKDAY.INTL(BQ190,BT190,1,Holidays[Date]),BW190),"")</f>
        <v/>
      </c>
      <c r="BW190" s="78"/>
      <c r="BX190" s="80"/>
      <c r="BY190" s="68"/>
      <c r="BZ190" s="81"/>
      <c r="CA190" s="77" t="str">
        <f ca="1">IFERROR(IF(CB190="",WORKDAY.INTL(BV190,BY190,1,Holidays[Date]),CB190),"")</f>
        <v/>
      </c>
      <c r="CB190" s="78"/>
    </row>
    <row r="191" spans="1:80" ht="19" customHeight="1" x14ac:dyDescent="0.35">
      <c r="A191" s="31"/>
      <c r="B191" s="82"/>
      <c r="C191" s="1"/>
      <c r="D191" s="8"/>
      <c r="E191" s="8"/>
      <c r="F191" s="8"/>
      <c r="G191" s="8"/>
      <c r="H191" s="8"/>
      <c r="I191" s="9"/>
      <c r="J191" s="8"/>
      <c r="K191" s="8"/>
      <c r="L191" s="8"/>
      <c r="M191" s="8"/>
      <c r="N191" s="8"/>
      <c r="O191" s="8"/>
      <c r="P191" s="8"/>
      <c r="Q191" s="2"/>
      <c r="R191" s="2"/>
      <c r="S191" s="88" t="str">
        <f>IF(tblProcRegister[[#This Row],[Award]]&lt;&gt;"",tblProcRegister[[#This Row],[Budget]]-tblProcRegister[[#This Row],[Award]],"")</f>
        <v/>
      </c>
      <c r="T191" s="68"/>
      <c r="U191" s="68"/>
      <c r="V191" s="68"/>
      <c r="W191" s="77" t="str">
        <f>IF(AB191="","",WORKDAY.INTL(AB191,Z191*-1,1,Holidays[Date]))</f>
        <v/>
      </c>
      <c r="X191" s="77" t="str">
        <f t="shared" ca="1" si="2"/>
        <v/>
      </c>
      <c r="Y191" s="78"/>
      <c r="Z191" s="79"/>
      <c r="AA191" s="68"/>
      <c r="AB191" s="77" t="str">
        <f>IF(AG191="","",WORKDAY.INTL(AG191,AE191*-1,1,Holidays[Date]))</f>
        <v/>
      </c>
      <c r="AC191" s="77" t="str">
        <f ca="1">IFERROR(IF(AD191="",WORKDAY.INTL(X191,AA191,1,Holidays[Date]),AD191),"")</f>
        <v/>
      </c>
      <c r="AD191" s="78"/>
      <c r="AE191" s="80"/>
      <c r="AF191" s="68"/>
      <c r="AG191" s="77" t="str">
        <f>IF(AL191="","",WORKDAY.INTL(AL191,AJ191*-1,1,Holidays[Date]))</f>
        <v/>
      </c>
      <c r="AH191" s="77" t="str">
        <f ca="1">IFERROR(IF(AI191="",WORKDAY.INTL(AC191,AF191,1,Holidays[Date]),AI191),"")</f>
        <v/>
      </c>
      <c r="AI191" s="78"/>
      <c r="AJ191" s="80"/>
      <c r="AK191" s="68"/>
      <c r="AL191" s="77" t="str">
        <f>IF(AQ191="","",WORKDAY.INTL(AQ191,AO191*-1,1,Holidays[Date]))</f>
        <v/>
      </c>
      <c r="AM191" s="77" t="str">
        <f ca="1">IFERROR(IF(AN191="",WORKDAY.INTL(AH191,AK191,1,Holidays[Date]),AN191),"")</f>
        <v/>
      </c>
      <c r="AN191" s="78"/>
      <c r="AO191" s="80"/>
      <c r="AP191" s="68"/>
      <c r="AQ191" s="77" t="str">
        <f>IF(AV191="","",WORKDAY.INTL(AV191,AT191*-1,1,Holidays[Date]))</f>
        <v/>
      </c>
      <c r="AR191" s="77" t="str">
        <f ca="1">IFERROR(IF(AS191="",WORKDAY.INTL(AM191,AP191,1,Holidays[Date]),AS191),"")</f>
        <v/>
      </c>
      <c r="AS191" s="78"/>
      <c r="AT191" s="80"/>
      <c r="AU191" s="68"/>
      <c r="AV191" s="77" t="str">
        <f>IF(BA191="","",WORKDAY.INTL(BA191,AY191*-1,1,Holidays[Date]))</f>
        <v/>
      </c>
      <c r="AW191" s="77" t="str">
        <f ca="1">IFERROR(IF(AX191="",WORKDAY.INTL(AR191,AU191,1,Holidays[Date]),AX191),"")</f>
        <v/>
      </c>
      <c r="AX191" s="78"/>
      <c r="AY191" s="80"/>
      <c r="AZ191" s="68"/>
      <c r="BA191" s="77" t="str">
        <f>IF(BF191="","",WORKDAY.INTL(BF191,BD191*-1,1,Holidays[Date]))</f>
        <v/>
      </c>
      <c r="BB191" s="77" t="str">
        <f ca="1">IFERROR(IF(BC191="",WORKDAY.INTL(AW191,AZ191,1,Holidays[Date]),BC191),"")</f>
        <v/>
      </c>
      <c r="BC191" s="78"/>
      <c r="BD191" s="80"/>
      <c r="BE191" s="68"/>
      <c r="BF191" s="77" t="str">
        <f>IF(BK191="","",WORKDAY.INTL(BK191,BI191*-1,1,Holidays[Date]))</f>
        <v/>
      </c>
      <c r="BG191" s="77" t="str">
        <f ca="1">IFERROR(IF(BH191="",WORKDAY.INTL(BB191,BE191,1,Holidays[Date]),BH191),"")</f>
        <v/>
      </c>
      <c r="BH191" s="78"/>
      <c r="BI191" s="80"/>
      <c r="BJ191" s="68"/>
      <c r="BK191" s="77" t="str">
        <f>IF(BP191="","",WORKDAY.INTL(BP191,BN191*-1,1,Holidays[Date]))</f>
        <v/>
      </c>
      <c r="BL191" s="77" t="str">
        <f ca="1">IFERROR(IF(BM191="",WORKDAY.INTL(BG191,BJ191,1,Holidays[Date]),BM191),"")</f>
        <v/>
      </c>
      <c r="BM191" s="78"/>
      <c r="BN191" s="80"/>
      <c r="BO191" s="68"/>
      <c r="BP191" s="77" t="str">
        <f>IF(BU191="","",WORKDAY.INTL(BU191,BS191*-1,1,Holidays[Date]))</f>
        <v/>
      </c>
      <c r="BQ191" s="77" t="str">
        <f ca="1">IFERROR(IF(BR191="",WORKDAY.INTL(BL191,BO191,1,Holidays[Date]),BR191),"")</f>
        <v/>
      </c>
      <c r="BR191" s="78"/>
      <c r="BS191" s="80"/>
      <c r="BT191" s="68"/>
      <c r="BU191" s="77" t="str">
        <f>IF(BZ191="","",WORKDAY.INTL(BZ191,BX191*-1,1,Holidays[Date]))</f>
        <v/>
      </c>
      <c r="BV191" s="77" t="str">
        <f ca="1">IFERROR(IF(BW191="",WORKDAY.INTL(BQ191,BT191,1,Holidays[Date]),BW191),"")</f>
        <v/>
      </c>
      <c r="BW191" s="78"/>
      <c r="BX191" s="80"/>
      <c r="BY191" s="68"/>
      <c r="BZ191" s="81"/>
      <c r="CA191" s="77" t="str">
        <f ca="1">IFERROR(IF(CB191="",WORKDAY.INTL(BV191,BY191,1,Holidays[Date]),CB191),"")</f>
        <v/>
      </c>
      <c r="CB191" s="78"/>
    </row>
    <row r="192" spans="1:80" ht="19" customHeight="1" x14ac:dyDescent="0.35">
      <c r="A192" s="31"/>
      <c r="B192" s="82"/>
      <c r="C192" s="1"/>
      <c r="D192" s="8"/>
      <c r="E192" s="8"/>
      <c r="F192" s="8"/>
      <c r="G192" s="8"/>
      <c r="H192" s="8"/>
      <c r="I192" s="9"/>
      <c r="J192" s="8"/>
      <c r="K192" s="8"/>
      <c r="L192" s="8"/>
      <c r="M192" s="8"/>
      <c r="N192" s="8"/>
      <c r="O192" s="8"/>
      <c r="P192" s="8"/>
      <c r="Q192" s="2"/>
      <c r="R192" s="2"/>
      <c r="S192" s="88" t="str">
        <f>IF(tblProcRegister[[#This Row],[Award]]&lt;&gt;"",tblProcRegister[[#This Row],[Budget]]-tblProcRegister[[#This Row],[Award]],"")</f>
        <v/>
      </c>
      <c r="T192" s="68"/>
      <c r="U192" s="68"/>
      <c r="V192" s="68"/>
      <c r="W192" s="77" t="str">
        <f>IF(AB192="","",WORKDAY.INTL(AB192,Z192*-1,1,Holidays[Date]))</f>
        <v/>
      </c>
      <c r="X192" s="77" t="str">
        <f t="shared" ca="1" si="2"/>
        <v/>
      </c>
      <c r="Y192" s="78"/>
      <c r="Z192" s="79"/>
      <c r="AA192" s="68"/>
      <c r="AB192" s="77" t="str">
        <f>IF(AG192="","",WORKDAY.INTL(AG192,AE192*-1,1,Holidays[Date]))</f>
        <v/>
      </c>
      <c r="AC192" s="77" t="str">
        <f ca="1">IFERROR(IF(AD192="",WORKDAY.INTL(X192,AA192,1,Holidays[Date]),AD192),"")</f>
        <v/>
      </c>
      <c r="AD192" s="78"/>
      <c r="AE192" s="80"/>
      <c r="AF192" s="68"/>
      <c r="AG192" s="77" t="str">
        <f>IF(AL192="","",WORKDAY.INTL(AL192,AJ192*-1,1,Holidays[Date]))</f>
        <v/>
      </c>
      <c r="AH192" s="77" t="str">
        <f ca="1">IFERROR(IF(AI192="",WORKDAY.INTL(AC192,AF192,1,Holidays[Date]),AI192),"")</f>
        <v/>
      </c>
      <c r="AI192" s="78"/>
      <c r="AJ192" s="80"/>
      <c r="AK192" s="68"/>
      <c r="AL192" s="77" t="str">
        <f>IF(AQ192="","",WORKDAY.INTL(AQ192,AO192*-1,1,Holidays[Date]))</f>
        <v/>
      </c>
      <c r="AM192" s="77" t="str">
        <f ca="1">IFERROR(IF(AN192="",WORKDAY.INTL(AH192,AK192,1,Holidays[Date]),AN192),"")</f>
        <v/>
      </c>
      <c r="AN192" s="78"/>
      <c r="AO192" s="80"/>
      <c r="AP192" s="68"/>
      <c r="AQ192" s="77" t="str">
        <f>IF(AV192="","",WORKDAY.INTL(AV192,AT192*-1,1,Holidays[Date]))</f>
        <v/>
      </c>
      <c r="AR192" s="77" t="str">
        <f ca="1">IFERROR(IF(AS192="",WORKDAY.INTL(AM192,AP192,1,Holidays[Date]),AS192),"")</f>
        <v/>
      </c>
      <c r="AS192" s="78"/>
      <c r="AT192" s="80"/>
      <c r="AU192" s="68"/>
      <c r="AV192" s="77" t="str">
        <f>IF(BA192="","",WORKDAY.INTL(BA192,AY192*-1,1,Holidays[Date]))</f>
        <v/>
      </c>
      <c r="AW192" s="77" t="str">
        <f ca="1">IFERROR(IF(AX192="",WORKDAY.INTL(AR192,AU192,1,Holidays[Date]),AX192),"")</f>
        <v/>
      </c>
      <c r="AX192" s="78"/>
      <c r="AY192" s="80"/>
      <c r="AZ192" s="68"/>
      <c r="BA192" s="77" t="str">
        <f>IF(BF192="","",WORKDAY.INTL(BF192,BD192*-1,1,Holidays[Date]))</f>
        <v/>
      </c>
      <c r="BB192" s="77" t="str">
        <f ca="1">IFERROR(IF(BC192="",WORKDAY.INTL(AW192,AZ192,1,Holidays[Date]),BC192),"")</f>
        <v/>
      </c>
      <c r="BC192" s="78"/>
      <c r="BD192" s="80"/>
      <c r="BE192" s="68"/>
      <c r="BF192" s="77" t="str">
        <f>IF(BK192="","",WORKDAY.INTL(BK192,BI192*-1,1,Holidays[Date]))</f>
        <v/>
      </c>
      <c r="BG192" s="77" t="str">
        <f ca="1">IFERROR(IF(BH192="",WORKDAY.INTL(BB192,BE192,1,Holidays[Date]),BH192),"")</f>
        <v/>
      </c>
      <c r="BH192" s="78"/>
      <c r="BI192" s="80"/>
      <c r="BJ192" s="68"/>
      <c r="BK192" s="77" t="str">
        <f>IF(BP192="","",WORKDAY.INTL(BP192,BN192*-1,1,Holidays[Date]))</f>
        <v/>
      </c>
      <c r="BL192" s="77" t="str">
        <f ca="1">IFERROR(IF(BM192="",WORKDAY.INTL(BG192,BJ192,1,Holidays[Date]),BM192),"")</f>
        <v/>
      </c>
      <c r="BM192" s="78"/>
      <c r="BN192" s="80"/>
      <c r="BO192" s="68"/>
      <c r="BP192" s="77" t="str">
        <f>IF(BU192="","",WORKDAY.INTL(BU192,BS192*-1,1,Holidays[Date]))</f>
        <v/>
      </c>
      <c r="BQ192" s="77" t="str">
        <f ca="1">IFERROR(IF(BR192="",WORKDAY.INTL(BL192,BO192,1,Holidays[Date]),BR192),"")</f>
        <v/>
      </c>
      <c r="BR192" s="78"/>
      <c r="BS192" s="80"/>
      <c r="BT192" s="68"/>
      <c r="BU192" s="77" t="str">
        <f>IF(BZ192="","",WORKDAY.INTL(BZ192,BX192*-1,1,Holidays[Date]))</f>
        <v/>
      </c>
      <c r="BV192" s="77" t="str">
        <f ca="1">IFERROR(IF(BW192="",WORKDAY.INTL(BQ192,BT192,1,Holidays[Date]),BW192),"")</f>
        <v/>
      </c>
      <c r="BW192" s="78"/>
      <c r="BX192" s="80"/>
      <c r="BY192" s="68"/>
      <c r="BZ192" s="81"/>
      <c r="CA192" s="77" t="str">
        <f ca="1">IFERROR(IF(CB192="",WORKDAY.INTL(BV192,BY192,1,Holidays[Date]),CB192),"")</f>
        <v/>
      </c>
      <c r="CB192" s="78"/>
    </row>
    <row r="193" spans="1:80" ht="19" customHeight="1" x14ac:dyDescent="0.35">
      <c r="A193" s="31"/>
      <c r="B193" s="82"/>
      <c r="C193" s="1"/>
      <c r="D193" s="8"/>
      <c r="E193" s="8"/>
      <c r="F193" s="8"/>
      <c r="G193" s="8"/>
      <c r="H193" s="8"/>
      <c r="I193" s="9"/>
      <c r="J193" s="8"/>
      <c r="K193" s="8"/>
      <c r="L193" s="8"/>
      <c r="M193" s="8"/>
      <c r="N193" s="8"/>
      <c r="O193" s="8"/>
      <c r="P193" s="8"/>
      <c r="Q193" s="2"/>
      <c r="R193" s="2"/>
      <c r="S193" s="88" t="str">
        <f>IF(tblProcRegister[[#This Row],[Award]]&lt;&gt;"",tblProcRegister[[#This Row],[Budget]]-tblProcRegister[[#This Row],[Award]],"")</f>
        <v/>
      </c>
      <c r="T193" s="68"/>
      <c r="U193" s="68"/>
      <c r="V193" s="68"/>
      <c r="W193" s="77" t="str">
        <f>IF(AB193="","",WORKDAY.INTL(AB193,Z193*-1,1,Holidays[Date]))</f>
        <v/>
      </c>
      <c r="X193" s="77" t="str">
        <f t="shared" ca="1" si="2"/>
        <v/>
      </c>
      <c r="Y193" s="78"/>
      <c r="Z193" s="79"/>
      <c r="AA193" s="68"/>
      <c r="AB193" s="77" t="str">
        <f>IF(AG193="","",WORKDAY.INTL(AG193,AE193*-1,1,Holidays[Date]))</f>
        <v/>
      </c>
      <c r="AC193" s="77" t="str">
        <f ca="1">IFERROR(IF(AD193="",WORKDAY.INTL(X193,AA193,1,Holidays[Date]),AD193),"")</f>
        <v/>
      </c>
      <c r="AD193" s="78"/>
      <c r="AE193" s="80"/>
      <c r="AF193" s="68"/>
      <c r="AG193" s="77" t="str">
        <f>IF(AL193="","",WORKDAY.INTL(AL193,AJ193*-1,1,Holidays[Date]))</f>
        <v/>
      </c>
      <c r="AH193" s="77" t="str">
        <f ca="1">IFERROR(IF(AI193="",WORKDAY.INTL(AC193,AF193,1,Holidays[Date]),AI193),"")</f>
        <v/>
      </c>
      <c r="AI193" s="78"/>
      <c r="AJ193" s="80"/>
      <c r="AK193" s="68"/>
      <c r="AL193" s="77" t="str">
        <f>IF(AQ193="","",WORKDAY.INTL(AQ193,AO193*-1,1,Holidays[Date]))</f>
        <v/>
      </c>
      <c r="AM193" s="77" t="str">
        <f ca="1">IFERROR(IF(AN193="",WORKDAY.INTL(AH193,AK193,1,Holidays[Date]),AN193),"")</f>
        <v/>
      </c>
      <c r="AN193" s="78"/>
      <c r="AO193" s="80"/>
      <c r="AP193" s="68"/>
      <c r="AQ193" s="77" t="str">
        <f>IF(AV193="","",WORKDAY.INTL(AV193,AT193*-1,1,Holidays[Date]))</f>
        <v/>
      </c>
      <c r="AR193" s="77" t="str">
        <f ca="1">IFERROR(IF(AS193="",WORKDAY.INTL(AM193,AP193,1,Holidays[Date]),AS193),"")</f>
        <v/>
      </c>
      <c r="AS193" s="78"/>
      <c r="AT193" s="80"/>
      <c r="AU193" s="68"/>
      <c r="AV193" s="77" t="str">
        <f>IF(BA193="","",WORKDAY.INTL(BA193,AY193*-1,1,Holidays[Date]))</f>
        <v/>
      </c>
      <c r="AW193" s="77" t="str">
        <f ca="1">IFERROR(IF(AX193="",WORKDAY.INTL(AR193,AU193,1,Holidays[Date]),AX193),"")</f>
        <v/>
      </c>
      <c r="AX193" s="78"/>
      <c r="AY193" s="80"/>
      <c r="AZ193" s="68"/>
      <c r="BA193" s="77" t="str">
        <f>IF(BF193="","",WORKDAY.INTL(BF193,BD193*-1,1,Holidays[Date]))</f>
        <v/>
      </c>
      <c r="BB193" s="77" t="str">
        <f ca="1">IFERROR(IF(BC193="",WORKDAY.INTL(AW193,AZ193,1,Holidays[Date]),BC193),"")</f>
        <v/>
      </c>
      <c r="BC193" s="78"/>
      <c r="BD193" s="80"/>
      <c r="BE193" s="68"/>
      <c r="BF193" s="77" t="str">
        <f>IF(BK193="","",WORKDAY.INTL(BK193,BI193*-1,1,Holidays[Date]))</f>
        <v/>
      </c>
      <c r="BG193" s="77" t="str">
        <f ca="1">IFERROR(IF(BH193="",WORKDAY.INTL(BB193,BE193,1,Holidays[Date]),BH193),"")</f>
        <v/>
      </c>
      <c r="BH193" s="78"/>
      <c r="BI193" s="80"/>
      <c r="BJ193" s="68"/>
      <c r="BK193" s="77" t="str">
        <f>IF(BP193="","",WORKDAY.INTL(BP193,BN193*-1,1,Holidays[Date]))</f>
        <v/>
      </c>
      <c r="BL193" s="77" t="str">
        <f ca="1">IFERROR(IF(BM193="",WORKDAY.INTL(BG193,BJ193,1,Holidays[Date]),BM193),"")</f>
        <v/>
      </c>
      <c r="BM193" s="78"/>
      <c r="BN193" s="80"/>
      <c r="BO193" s="68"/>
      <c r="BP193" s="77" t="str">
        <f>IF(BU193="","",WORKDAY.INTL(BU193,BS193*-1,1,Holidays[Date]))</f>
        <v/>
      </c>
      <c r="BQ193" s="77" t="str">
        <f ca="1">IFERROR(IF(BR193="",WORKDAY.INTL(BL193,BO193,1,Holidays[Date]),BR193),"")</f>
        <v/>
      </c>
      <c r="BR193" s="78"/>
      <c r="BS193" s="80"/>
      <c r="BT193" s="68"/>
      <c r="BU193" s="77" t="str">
        <f>IF(BZ193="","",WORKDAY.INTL(BZ193,BX193*-1,1,Holidays[Date]))</f>
        <v/>
      </c>
      <c r="BV193" s="77" t="str">
        <f ca="1">IFERROR(IF(BW193="",WORKDAY.INTL(BQ193,BT193,1,Holidays[Date]),BW193),"")</f>
        <v/>
      </c>
      <c r="BW193" s="78"/>
      <c r="BX193" s="80"/>
      <c r="BY193" s="68"/>
      <c r="BZ193" s="81"/>
      <c r="CA193" s="77" t="str">
        <f ca="1">IFERROR(IF(CB193="",WORKDAY.INTL(BV193,BY193,1,Holidays[Date]),CB193),"")</f>
        <v/>
      </c>
      <c r="CB193" s="78"/>
    </row>
    <row r="194" spans="1:80" ht="19" customHeight="1" x14ac:dyDescent="0.35">
      <c r="A194" s="31"/>
      <c r="B194" s="82"/>
      <c r="C194" s="1"/>
      <c r="D194" s="8"/>
      <c r="E194" s="8"/>
      <c r="F194" s="8"/>
      <c r="G194" s="8"/>
      <c r="H194" s="8"/>
      <c r="I194" s="9"/>
      <c r="J194" s="8"/>
      <c r="K194" s="8"/>
      <c r="L194" s="8"/>
      <c r="M194" s="8"/>
      <c r="N194" s="8"/>
      <c r="O194" s="8"/>
      <c r="P194" s="8"/>
      <c r="Q194" s="2"/>
      <c r="R194" s="2"/>
      <c r="S194" s="88" t="str">
        <f>IF(tblProcRegister[[#This Row],[Award]]&lt;&gt;"",tblProcRegister[[#This Row],[Budget]]-tblProcRegister[[#This Row],[Award]],"")</f>
        <v/>
      </c>
      <c r="T194" s="68"/>
      <c r="U194" s="68"/>
      <c r="V194" s="68"/>
      <c r="W194" s="77" t="str">
        <f>IF(AB194="","",WORKDAY.INTL(AB194,Z194*-1,1,Holidays[Date]))</f>
        <v/>
      </c>
      <c r="X194" s="77" t="str">
        <f t="shared" ca="1" si="2"/>
        <v/>
      </c>
      <c r="Y194" s="78"/>
      <c r="Z194" s="79"/>
      <c r="AA194" s="68"/>
      <c r="AB194" s="77" t="str">
        <f>IF(AG194="","",WORKDAY.INTL(AG194,AE194*-1,1,Holidays[Date]))</f>
        <v/>
      </c>
      <c r="AC194" s="77" t="str">
        <f ca="1">IFERROR(IF(AD194="",WORKDAY.INTL(X194,AA194,1,Holidays[Date]),AD194),"")</f>
        <v/>
      </c>
      <c r="AD194" s="78"/>
      <c r="AE194" s="80"/>
      <c r="AF194" s="68"/>
      <c r="AG194" s="77" t="str">
        <f>IF(AL194="","",WORKDAY.INTL(AL194,AJ194*-1,1,Holidays[Date]))</f>
        <v/>
      </c>
      <c r="AH194" s="77" t="str">
        <f ca="1">IFERROR(IF(AI194="",WORKDAY.INTL(AC194,AF194,1,Holidays[Date]),AI194),"")</f>
        <v/>
      </c>
      <c r="AI194" s="78"/>
      <c r="AJ194" s="80"/>
      <c r="AK194" s="68"/>
      <c r="AL194" s="77" t="str">
        <f>IF(AQ194="","",WORKDAY.INTL(AQ194,AO194*-1,1,Holidays[Date]))</f>
        <v/>
      </c>
      <c r="AM194" s="77" t="str">
        <f ca="1">IFERROR(IF(AN194="",WORKDAY.INTL(AH194,AK194,1,Holidays[Date]),AN194),"")</f>
        <v/>
      </c>
      <c r="AN194" s="78"/>
      <c r="AO194" s="80"/>
      <c r="AP194" s="68"/>
      <c r="AQ194" s="77" t="str">
        <f>IF(AV194="","",WORKDAY.INTL(AV194,AT194*-1,1,Holidays[Date]))</f>
        <v/>
      </c>
      <c r="AR194" s="77" t="str">
        <f ca="1">IFERROR(IF(AS194="",WORKDAY.INTL(AM194,AP194,1,Holidays[Date]),AS194),"")</f>
        <v/>
      </c>
      <c r="AS194" s="78"/>
      <c r="AT194" s="80"/>
      <c r="AU194" s="68"/>
      <c r="AV194" s="77" t="str">
        <f>IF(BA194="","",WORKDAY.INTL(BA194,AY194*-1,1,Holidays[Date]))</f>
        <v/>
      </c>
      <c r="AW194" s="77" t="str">
        <f ca="1">IFERROR(IF(AX194="",WORKDAY.INTL(AR194,AU194,1,Holidays[Date]),AX194),"")</f>
        <v/>
      </c>
      <c r="AX194" s="78"/>
      <c r="AY194" s="80"/>
      <c r="AZ194" s="68"/>
      <c r="BA194" s="77" t="str">
        <f>IF(BF194="","",WORKDAY.INTL(BF194,BD194*-1,1,Holidays[Date]))</f>
        <v/>
      </c>
      <c r="BB194" s="77" t="str">
        <f ca="1">IFERROR(IF(BC194="",WORKDAY.INTL(AW194,AZ194,1,Holidays[Date]),BC194),"")</f>
        <v/>
      </c>
      <c r="BC194" s="78"/>
      <c r="BD194" s="80"/>
      <c r="BE194" s="68"/>
      <c r="BF194" s="77" t="str">
        <f>IF(BK194="","",WORKDAY.INTL(BK194,BI194*-1,1,Holidays[Date]))</f>
        <v/>
      </c>
      <c r="BG194" s="77" t="str">
        <f ca="1">IFERROR(IF(BH194="",WORKDAY.INTL(BB194,BE194,1,Holidays[Date]),BH194),"")</f>
        <v/>
      </c>
      <c r="BH194" s="78"/>
      <c r="BI194" s="80"/>
      <c r="BJ194" s="68"/>
      <c r="BK194" s="77" t="str">
        <f>IF(BP194="","",WORKDAY.INTL(BP194,BN194*-1,1,Holidays[Date]))</f>
        <v/>
      </c>
      <c r="BL194" s="77" t="str">
        <f ca="1">IFERROR(IF(BM194="",WORKDAY.INTL(BG194,BJ194,1,Holidays[Date]),BM194),"")</f>
        <v/>
      </c>
      <c r="BM194" s="78"/>
      <c r="BN194" s="80"/>
      <c r="BO194" s="68"/>
      <c r="BP194" s="77" t="str">
        <f>IF(BU194="","",WORKDAY.INTL(BU194,BS194*-1,1,Holidays[Date]))</f>
        <v/>
      </c>
      <c r="BQ194" s="77" t="str">
        <f ca="1">IFERROR(IF(BR194="",WORKDAY.INTL(BL194,BO194,1,Holidays[Date]),BR194),"")</f>
        <v/>
      </c>
      <c r="BR194" s="78"/>
      <c r="BS194" s="80"/>
      <c r="BT194" s="68"/>
      <c r="BU194" s="77" t="str">
        <f>IF(BZ194="","",WORKDAY.INTL(BZ194,BX194*-1,1,Holidays[Date]))</f>
        <v/>
      </c>
      <c r="BV194" s="77" t="str">
        <f ca="1">IFERROR(IF(BW194="",WORKDAY.INTL(BQ194,BT194,1,Holidays[Date]),BW194),"")</f>
        <v/>
      </c>
      <c r="BW194" s="78"/>
      <c r="BX194" s="80"/>
      <c r="BY194" s="68"/>
      <c r="BZ194" s="81"/>
      <c r="CA194" s="77" t="str">
        <f ca="1">IFERROR(IF(CB194="",WORKDAY.INTL(BV194,BY194,1,Holidays[Date]),CB194),"")</f>
        <v/>
      </c>
      <c r="CB194" s="78"/>
    </row>
    <row r="195" spans="1:80" ht="19" customHeight="1" x14ac:dyDescent="0.35">
      <c r="A195" s="31"/>
      <c r="B195" s="82"/>
      <c r="C195" s="1"/>
      <c r="D195" s="8"/>
      <c r="E195" s="8"/>
      <c r="F195" s="8"/>
      <c r="G195" s="8"/>
      <c r="H195" s="8"/>
      <c r="I195" s="9"/>
      <c r="J195" s="8"/>
      <c r="K195" s="8"/>
      <c r="L195" s="8"/>
      <c r="M195" s="8"/>
      <c r="N195" s="8"/>
      <c r="O195" s="8"/>
      <c r="P195" s="8"/>
      <c r="Q195" s="2"/>
      <c r="R195" s="2"/>
      <c r="S195" s="88" t="str">
        <f>IF(tblProcRegister[[#This Row],[Award]]&lt;&gt;"",tblProcRegister[[#This Row],[Budget]]-tblProcRegister[[#This Row],[Award]],"")</f>
        <v/>
      </c>
      <c r="T195" s="68"/>
      <c r="U195" s="68"/>
      <c r="V195" s="68"/>
      <c r="W195" s="77" t="str">
        <f>IF(AB195="","",WORKDAY.INTL(AB195,Z195*-1,1,Holidays[Date]))</f>
        <v/>
      </c>
      <c r="X195" s="77" t="str">
        <f t="shared" ca="1" si="2"/>
        <v/>
      </c>
      <c r="Y195" s="78"/>
      <c r="Z195" s="79"/>
      <c r="AA195" s="68"/>
      <c r="AB195" s="77" t="str">
        <f>IF(AG195="","",WORKDAY.INTL(AG195,AE195*-1,1,Holidays[Date]))</f>
        <v/>
      </c>
      <c r="AC195" s="77" t="str">
        <f ca="1">IFERROR(IF(AD195="",WORKDAY.INTL(X195,AA195,1,Holidays[Date]),AD195),"")</f>
        <v/>
      </c>
      <c r="AD195" s="78"/>
      <c r="AE195" s="80"/>
      <c r="AF195" s="68"/>
      <c r="AG195" s="77" t="str">
        <f>IF(AL195="","",WORKDAY.INTL(AL195,AJ195*-1,1,Holidays[Date]))</f>
        <v/>
      </c>
      <c r="AH195" s="77" t="str">
        <f ca="1">IFERROR(IF(AI195="",WORKDAY.INTL(AC195,AF195,1,Holidays[Date]),AI195),"")</f>
        <v/>
      </c>
      <c r="AI195" s="78"/>
      <c r="AJ195" s="80"/>
      <c r="AK195" s="68"/>
      <c r="AL195" s="77" t="str">
        <f>IF(AQ195="","",WORKDAY.INTL(AQ195,AO195*-1,1,Holidays[Date]))</f>
        <v/>
      </c>
      <c r="AM195" s="77" t="str">
        <f ca="1">IFERROR(IF(AN195="",WORKDAY.INTL(AH195,AK195,1,Holidays[Date]),AN195),"")</f>
        <v/>
      </c>
      <c r="AN195" s="78"/>
      <c r="AO195" s="80"/>
      <c r="AP195" s="68"/>
      <c r="AQ195" s="77" t="str">
        <f>IF(AV195="","",WORKDAY.INTL(AV195,AT195*-1,1,Holidays[Date]))</f>
        <v/>
      </c>
      <c r="AR195" s="77" t="str">
        <f ca="1">IFERROR(IF(AS195="",WORKDAY.INTL(AM195,AP195,1,Holidays[Date]),AS195),"")</f>
        <v/>
      </c>
      <c r="AS195" s="78"/>
      <c r="AT195" s="80"/>
      <c r="AU195" s="68"/>
      <c r="AV195" s="77" t="str">
        <f>IF(BA195="","",WORKDAY.INTL(BA195,AY195*-1,1,Holidays[Date]))</f>
        <v/>
      </c>
      <c r="AW195" s="77" t="str">
        <f ca="1">IFERROR(IF(AX195="",WORKDAY.INTL(AR195,AU195,1,Holidays[Date]),AX195),"")</f>
        <v/>
      </c>
      <c r="AX195" s="78"/>
      <c r="AY195" s="80"/>
      <c r="AZ195" s="68"/>
      <c r="BA195" s="77" t="str">
        <f>IF(BF195="","",WORKDAY.INTL(BF195,BD195*-1,1,Holidays[Date]))</f>
        <v/>
      </c>
      <c r="BB195" s="77" t="str">
        <f ca="1">IFERROR(IF(BC195="",WORKDAY.INTL(AW195,AZ195,1,Holidays[Date]),BC195),"")</f>
        <v/>
      </c>
      <c r="BC195" s="78"/>
      <c r="BD195" s="80"/>
      <c r="BE195" s="68"/>
      <c r="BF195" s="77" t="str">
        <f>IF(BK195="","",WORKDAY.INTL(BK195,BI195*-1,1,Holidays[Date]))</f>
        <v/>
      </c>
      <c r="BG195" s="77" t="str">
        <f ca="1">IFERROR(IF(BH195="",WORKDAY.INTL(BB195,BE195,1,Holidays[Date]),BH195),"")</f>
        <v/>
      </c>
      <c r="BH195" s="78"/>
      <c r="BI195" s="80"/>
      <c r="BJ195" s="68"/>
      <c r="BK195" s="77" t="str">
        <f>IF(BP195="","",WORKDAY.INTL(BP195,BN195*-1,1,Holidays[Date]))</f>
        <v/>
      </c>
      <c r="BL195" s="77" t="str">
        <f ca="1">IFERROR(IF(BM195="",WORKDAY.INTL(BG195,BJ195,1,Holidays[Date]),BM195),"")</f>
        <v/>
      </c>
      <c r="BM195" s="78"/>
      <c r="BN195" s="80"/>
      <c r="BO195" s="68"/>
      <c r="BP195" s="77" t="str">
        <f>IF(BU195="","",WORKDAY.INTL(BU195,BS195*-1,1,Holidays[Date]))</f>
        <v/>
      </c>
      <c r="BQ195" s="77" t="str">
        <f ca="1">IFERROR(IF(BR195="",WORKDAY.INTL(BL195,BO195,1,Holidays[Date]),BR195),"")</f>
        <v/>
      </c>
      <c r="BR195" s="78"/>
      <c r="BS195" s="80"/>
      <c r="BT195" s="68"/>
      <c r="BU195" s="77" t="str">
        <f>IF(BZ195="","",WORKDAY.INTL(BZ195,BX195*-1,1,Holidays[Date]))</f>
        <v/>
      </c>
      <c r="BV195" s="77" t="str">
        <f ca="1">IFERROR(IF(BW195="",WORKDAY.INTL(BQ195,BT195,1,Holidays[Date]),BW195),"")</f>
        <v/>
      </c>
      <c r="BW195" s="78"/>
      <c r="BX195" s="80"/>
      <c r="BY195" s="68"/>
      <c r="BZ195" s="81"/>
      <c r="CA195" s="77" t="str">
        <f ca="1">IFERROR(IF(CB195="",WORKDAY.INTL(BV195,BY195,1,Holidays[Date]),CB195),"")</f>
        <v/>
      </c>
      <c r="CB195" s="78"/>
    </row>
    <row r="196" spans="1:80" ht="19" customHeight="1" x14ac:dyDescent="0.35">
      <c r="A196" s="31"/>
      <c r="B196" s="82"/>
      <c r="C196" s="1"/>
      <c r="D196" s="8"/>
      <c r="E196" s="8"/>
      <c r="F196" s="8"/>
      <c r="G196" s="8"/>
      <c r="H196" s="8"/>
      <c r="I196" s="9"/>
      <c r="J196" s="8"/>
      <c r="K196" s="8"/>
      <c r="L196" s="8"/>
      <c r="M196" s="8"/>
      <c r="N196" s="8"/>
      <c r="O196" s="8"/>
      <c r="P196" s="8"/>
      <c r="Q196" s="2"/>
      <c r="R196" s="2"/>
      <c r="S196" s="88" t="str">
        <f>IF(tblProcRegister[[#This Row],[Award]]&lt;&gt;"",tblProcRegister[[#This Row],[Budget]]-tblProcRegister[[#This Row],[Award]],"")</f>
        <v/>
      </c>
      <c r="T196" s="68"/>
      <c r="U196" s="68"/>
      <c r="V196" s="68"/>
      <c r="W196" s="77" t="str">
        <f>IF(AB196="","",WORKDAY.INTL(AB196,Z196*-1,1,Holidays[Date]))</f>
        <v/>
      </c>
      <c r="X196" s="77" t="str">
        <f t="shared" ca="1" si="2"/>
        <v/>
      </c>
      <c r="Y196" s="78"/>
      <c r="Z196" s="79"/>
      <c r="AA196" s="68"/>
      <c r="AB196" s="77" t="str">
        <f>IF(AG196="","",WORKDAY.INTL(AG196,AE196*-1,1,Holidays[Date]))</f>
        <v/>
      </c>
      <c r="AC196" s="77" t="str">
        <f ca="1">IFERROR(IF(AD196="",WORKDAY.INTL(X196,AA196,1,Holidays[Date]),AD196),"")</f>
        <v/>
      </c>
      <c r="AD196" s="78"/>
      <c r="AE196" s="80"/>
      <c r="AF196" s="68"/>
      <c r="AG196" s="77" t="str">
        <f>IF(AL196="","",WORKDAY.INTL(AL196,AJ196*-1,1,Holidays[Date]))</f>
        <v/>
      </c>
      <c r="AH196" s="77" t="str">
        <f ca="1">IFERROR(IF(AI196="",WORKDAY.INTL(AC196,AF196,1,Holidays[Date]),AI196),"")</f>
        <v/>
      </c>
      <c r="AI196" s="78"/>
      <c r="AJ196" s="80"/>
      <c r="AK196" s="68"/>
      <c r="AL196" s="77" t="str">
        <f>IF(AQ196="","",WORKDAY.INTL(AQ196,AO196*-1,1,Holidays[Date]))</f>
        <v/>
      </c>
      <c r="AM196" s="77" t="str">
        <f ca="1">IFERROR(IF(AN196="",WORKDAY.INTL(AH196,AK196,1,Holidays[Date]),AN196),"")</f>
        <v/>
      </c>
      <c r="AN196" s="78"/>
      <c r="AO196" s="80"/>
      <c r="AP196" s="68"/>
      <c r="AQ196" s="77" t="str">
        <f>IF(AV196="","",WORKDAY.INTL(AV196,AT196*-1,1,Holidays[Date]))</f>
        <v/>
      </c>
      <c r="AR196" s="77" t="str">
        <f ca="1">IFERROR(IF(AS196="",WORKDAY.INTL(AM196,AP196,1,Holidays[Date]),AS196),"")</f>
        <v/>
      </c>
      <c r="AS196" s="78"/>
      <c r="AT196" s="80"/>
      <c r="AU196" s="68"/>
      <c r="AV196" s="77" t="str">
        <f>IF(BA196="","",WORKDAY.INTL(BA196,AY196*-1,1,Holidays[Date]))</f>
        <v/>
      </c>
      <c r="AW196" s="77" t="str">
        <f ca="1">IFERROR(IF(AX196="",WORKDAY.INTL(AR196,AU196,1,Holidays[Date]),AX196),"")</f>
        <v/>
      </c>
      <c r="AX196" s="78"/>
      <c r="AY196" s="80"/>
      <c r="AZ196" s="68"/>
      <c r="BA196" s="77" t="str">
        <f>IF(BF196="","",WORKDAY.INTL(BF196,BD196*-1,1,Holidays[Date]))</f>
        <v/>
      </c>
      <c r="BB196" s="77" t="str">
        <f ca="1">IFERROR(IF(BC196="",WORKDAY.INTL(AW196,AZ196,1,Holidays[Date]),BC196),"")</f>
        <v/>
      </c>
      <c r="BC196" s="78"/>
      <c r="BD196" s="80"/>
      <c r="BE196" s="68"/>
      <c r="BF196" s="77" t="str">
        <f>IF(BK196="","",WORKDAY.INTL(BK196,BI196*-1,1,Holidays[Date]))</f>
        <v/>
      </c>
      <c r="BG196" s="77" t="str">
        <f ca="1">IFERROR(IF(BH196="",WORKDAY.INTL(BB196,BE196,1,Holidays[Date]),BH196),"")</f>
        <v/>
      </c>
      <c r="BH196" s="78"/>
      <c r="BI196" s="80"/>
      <c r="BJ196" s="68"/>
      <c r="BK196" s="77" t="str">
        <f>IF(BP196="","",WORKDAY.INTL(BP196,BN196*-1,1,Holidays[Date]))</f>
        <v/>
      </c>
      <c r="BL196" s="77" t="str">
        <f ca="1">IFERROR(IF(BM196="",WORKDAY.INTL(BG196,BJ196,1,Holidays[Date]),BM196),"")</f>
        <v/>
      </c>
      <c r="BM196" s="78"/>
      <c r="BN196" s="80"/>
      <c r="BO196" s="68"/>
      <c r="BP196" s="77" t="str">
        <f>IF(BU196="","",WORKDAY.INTL(BU196,BS196*-1,1,Holidays[Date]))</f>
        <v/>
      </c>
      <c r="BQ196" s="77" t="str">
        <f ca="1">IFERROR(IF(BR196="",WORKDAY.INTL(BL196,BO196,1,Holidays[Date]),BR196),"")</f>
        <v/>
      </c>
      <c r="BR196" s="78"/>
      <c r="BS196" s="80"/>
      <c r="BT196" s="68"/>
      <c r="BU196" s="77" t="str">
        <f>IF(BZ196="","",WORKDAY.INTL(BZ196,BX196*-1,1,Holidays[Date]))</f>
        <v/>
      </c>
      <c r="BV196" s="77" t="str">
        <f ca="1">IFERROR(IF(BW196="",WORKDAY.INTL(BQ196,BT196,1,Holidays[Date]),BW196),"")</f>
        <v/>
      </c>
      <c r="BW196" s="78"/>
      <c r="BX196" s="80"/>
      <c r="BY196" s="68"/>
      <c r="BZ196" s="81"/>
      <c r="CA196" s="77" t="str">
        <f ca="1">IFERROR(IF(CB196="",WORKDAY.INTL(BV196,BY196,1,Holidays[Date]),CB196),"")</f>
        <v/>
      </c>
      <c r="CB196" s="78"/>
    </row>
    <row r="197" spans="1:80" ht="19" customHeight="1" x14ac:dyDescent="0.35">
      <c r="A197" s="31"/>
      <c r="B197" s="82"/>
      <c r="C197" s="1"/>
      <c r="D197" s="8"/>
      <c r="E197" s="8"/>
      <c r="F197" s="8"/>
      <c r="G197" s="8"/>
      <c r="H197" s="8"/>
      <c r="I197" s="9"/>
      <c r="J197" s="8"/>
      <c r="K197" s="8"/>
      <c r="L197" s="8"/>
      <c r="M197" s="8"/>
      <c r="N197" s="8"/>
      <c r="O197" s="8"/>
      <c r="P197" s="8"/>
      <c r="Q197" s="2"/>
      <c r="R197" s="2"/>
      <c r="S197" s="88" t="str">
        <f>IF(tblProcRegister[[#This Row],[Award]]&lt;&gt;"",tblProcRegister[[#This Row],[Budget]]-tblProcRegister[[#This Row],[Award]],"")</f>
        <v/>
      </c>
      <c r="T197" s="68"/>
      <c r="U197" s="68"/>
      <c r="V197" s="68"/>
      <c r="W197" s="77" t="str">
        <f>IF(AB197="","",WORKDAY.INTL(AB197,Z197*-1,1,Holidays[Date]))</f>
        <v/>
      </c>
      <c r="X197" s="77" t="str">
        <f t="shared" ca="1" si="2"/>
        <v/>
      </c>
      <c r="Y197" s="78"/>
      <c r="Z197" s="79"/>
      <c r="AA197" s="68"/>
      <c r="AB197" s="77" t="str">
        <f>IF(AG197="","",WORKDAY.INTL(AG197,AE197*-1,1,Holidays[Date]))</f>
        <v/>
      </c>
      <c r="AC197" s="77" t="str">
        <f ca="1">IFERROR(IF(AD197="",WORKDAY.INTL(X197,AA197,1,Holidays[Date]),AD197),"")</f>
        <v/>
      </c>
      <c r="AD197" s="78"/>
      <c r="AE197" s="80"/>
      <c r="AF197" s="68"/>
      <c r="AG197" s="77" t="str">
        <f>IF(AL197="","",WORKDAY.INTL(AL197,AJ197*-1,1,Holidays[Date]))</f>
        <v/>
      </c>
      <c r="AH197" s="77" t="str">
        <f ca="1">IFERROR(IF(AI197="",WORKDAY.INTL(AC197,AF197,1,Holidays[Date]),AI197),"")</f>
        <v/>
      </c>
      <c r="AI197" s="78"/>
      <c r="AJ197" s="80"/>
      <c r="AK197" s="68"/>
      <c r="AL197" s="77" t="str">
        <f>IF(AQ197="","",WORKDAY.INTL(AQ197,AO197*-1,1,Holidays[Date]))</f>
        <v/>
      </c>
      <c r="AM197" s="77" t="str">
        <f ca="1">IFERROR(IF(AN197="",WORKDAY.INTL(AH197,AK197,1,Holidays[Date]),AN197),"")</f>
        <v/>
      </c>
      <c r="AN197" s="78"/>
      <c r="AO197" s="80"/>
      <c r="AP197" s="68"/>
      <c r="AQ197" s="77" t="str">
        <f>IF(AV197="","",WORKDAY.INTL(AV197,AT197*-1,1,Holidays[Date]))</f>
        <v/>
      </c>
      <c r="AR197" s="77" t="str">
        <f ca="1">IFERROR(IF(AS197="",WORKDAY.INTL(AM197,AP197,1,Holidays[Date]),AS197),"")</f>
        <v/>
      </c>
      <c r="AS197" s="78"/>
      <c r="AT197" s="80"/>
      <c r="AU197" s="68"/>
      <c r="AV197" s="77" t="str">
        <f>IF(BA197="","",WORKDAY.INTL(BA197,AY197*-1,1,Holidays[Date]))</f>
        <v/>
      </c>
      <c r="AW197" s="77" t="str">
        <f ca="1">IFERROR(IF(AX197="",WORKDAY.INTL(AR197,AU197,1,Holidays[Date]),AX197),"")</f>
        <v/>
      </c>
      <c r="AX197" s="78"/>
      <c r="AY197" s="80"/>
      <c r="AZ197" s="68"/>
      <c r="BA197" s="77" t="str">
        <f>IF(BF197="","",WORKDAY.INTL(BF197,BD197*-1,1,Holidays[Date]))</f>
        <v/>
      </c>
      <c r="BB197" s="77" t="str">
        <f ca="1">IFERROR(IF(BC197="",WORKDAY.INTL(AW197,AZ197,1,Holidays[Date]),BC197),"")</f>
        <v/>
      </c>
      <c r="BC197" s="78"/>
      <c r="BD197" s="80"/>
      <c r="BE197" s="68"/>
      <c r="BF197" s="77" t="str">
        <f>IF(BK197="","",WORKDAY.INTL(BK197,BI197*-1,1,Holidays[Date]))</f>
        <v/>
      </c>
      <c r="BG197" s="77" t="str">
        <f ca="1">IFERROR(IF(BH197="",WORKDAY.INTL(BB197,BE197,1,Holidays[Date]),BH197),"")</f>
        <v/>
      </c>
      <c r="BH197" s="78"/>
      <c r="BI197" s="80"/>
      <c r="BJ197" s="68"/>
      <c r="BK197" s="77" t="str">
        <f>IF(BP197="","",WORKDAY.INTL(BP197,BN197*-1,1,Holidays[Date]))</f>
        <v/>
      </c>
      <c r="BL197" s="77" t="str">
        <f ca="1">IFERROR(IF(BM197="",WORKDAY.INTL(BG197,BJ197,1,Holidays[Date]),BM197),"")</f>
        <v/>
      </c>
      <c r="BM197" s="78"/>
      <c r="BN197" s="80"/>
      <c r="BO197" s="68"/>
      <c r="BP197" s="77" t="str">
        <f>IF(BU197="","",WORKDAY.INTL(BU197,BS197*-1,1,Holidays[Date]))</f>
        <v/>
      </c>
      <c r="BQ197" s="77" t="str">
        <f ca="1">IFERROR(IF(BR197="",WORKDAY.INTL(BL197,BO197,1,Holidays[Date]),BR197),"")</f>
        <v/>
      </c>
      <c r="BR197" s="78"/>
      <c r="BS197" s="80"/>
      <c r="BT197" s="68"/>
      <c r="BU197" s="77" t="str">
        <f>IF(BZ197="","",WORKDAY.INTL(BZ197,BX197*-1,1,Holidays[Date]))</f>
        <v/>
      </c>
      <c r="BV197" s="77" t="str">
        <f ca="1">IFERROR(IF(BW197="",WORKDAY.INTL(BQ197,BT197,1,Holidays[Date]),BW197),"")</f>
        <v/>
      </c>
      <c r="BW197" s="78"/>
      <c r="BX197" s="80"/>
      <c r="BY197" s="68"/>
      <c r="BZ197" s="81"/>
      <c r="CA197" s="77" t="str">
        <f ca="1">IFERROR(IF(CB197="",WORKDAY.INTL(BV197,BY197,1,Holidays[Date]),CB197),"")</f>
        <v/>
      </c>
      <c r="CB197" s="78"/>
    </row>
    <row r="198" spans="1:80" ht="19" customHeight="1" x14ac:dyDescent="0.35">
      <c r="A198" s="31"/>
      <c r="B198" s="82"/>
      <c r="C198" s="1"/>
      <c r="D198" s="8"/>
      <c r="E198" s="8"/>
      <c r="F198" s="8"/>
      <c r="G198" s="8"/>
      <c r="H198" s="8"/>
      <c r="I198" s="9"/>
      <c r="J198" s="8"/>
      <c r="K198" s="8"/>
      <c r="L198" s="8"/>
      <c r="M198" s="8"/>
      <c r="N198" s="8"/>
      <c r="O198" s="8"/>
      <c r="P198" s="8"/>
      <c r="Q198" s="2"/>
      <c r="R198" s="2"/>
      <c r="S198" s="88" t="str">
        <f>IF(tblProcRegister[[#This Row],[Award]]&lt;&gt;"",tblProcRegister[[#This Row],[Budget]]-tblProcRegister[[#This Row],[Award]],"")</f>
        <v/>
      </c>
      <c r="T198" s="68"/>
      <c r="U198" s="68"/>
      <c r="V198" s="68"/>
      <c r="W198" s="77" t="str">
        <f>IF(AB198="","",WORKDAY.INTL(AB198,Z198*-1,1,Holidays[Date]))</f>
        <v/>
      </c>
      <c r="X198" s="77" t="str">
        <f t="shared" ca="1" si="2"/>
        <v/>
      </c>
      <c r="Y198" s="78"/>
      <c r="Z198" s="79"/>
      <c r="AA198" s="68"/>
      <c r="AB198" s="77" t="str">
        <f>IF(AG198="","",WORKDAY.INTL(AG198,AE198*-1,1,Holidays[Date]))</f>
        <v/>
      </c>
      <c r="AC198" s="77" t="str">
        <f ca="1">IFERROR(IF(AD198="",WORKDAY.INTL(X198,AA198,1,Holidays[Date]),AD198),"")</f>
        <v/>
      </c>
      <c r="AD198" s="78"/>
      <c r="AE198" s="80"/>
      <c r="AF198" s="68"/>
      <c r="AG198" s="77" t="str">
        <f>IF(AL198="","",WORKDAY.INTL(AL198,AJ198*-1,1,Holidays[Date]))</f>
        <v/>
      </c>
      <c r="AH198" s="77" t="str">
        <f ca="1">IFERROR(IF(AI198="",WORKDAY.INTL(AC198,AF198,1,Holidays[Date]),AI198),"")</f>
        <v/>
      </c>
      <c r="AI198" s="78"/>
      <c r="AJ198" s="80"/>
      <c r="AK198" s="68"/>
      <c r="AL198" s="77" t="str">
        <f>IF(AQ198="","",WORKDAY.INTL(AQ198,AO198*-1,1,Holidays[Date]))</f>
        <v/>
      </c>
      <c r="AM198" s="77" t="str">
        <f ca="1">IFERROR(IF(AN198="",WORKDAY.INTL(AH198,AK198,1,Holidays[Date]),AN198),"")</f>
        <v/>
      </c>
      <c r="AN198" s="78"/>
      <c r="AO198" s="80"/>
      <c r="AP198" s="68"/>
      <c r="AQ198" s="77" t="str">
        <f>IF(AV198="","",WORKDAY.INTL(AV198,AT198*-1,1,Holidays[Date]))</f>
        <v/>
      </c>
      <c r="AR198" s="77" t="str">
        <f ca="1">IFERROR(IF(AS198="",WORKDAY.INTL(AM198,AP198,1,Holidays[Date]),AS198),"")</f>
        <v/>
      </c>
      <c r="AS198" s="78"/>
      <c r="AT198" s="80"/>
      <c r="AU198" s="68"/>
      <c r="AV198" s="77" t="str">
        <f>IF(BA198="","",WORKDAY.INTL(BA198,AY198*-1,1,Holidays[Date]))</f>
        <v/>
      </c>
      <c r="AW198" s="77" t="str">
        <f ca="1">IFERROR(IF(AX198="",WORKDAY.INTL(AR198,AU198,1,Holidays[Date]),AX198),"")</f>
        <v/>
      </c>
      <c r="AX198" s="78"/>
      <c r="AY198" s="80"/>
      <c r="AZ198" s="68"/>
      <c r="BA198" s="77" t="str">
        <f>IF(BF198="","",WORKDAY.INTL(BF198,BD198*-1,1,Holidays[Date]))</f>
        <v/>
      </c>
      <c r="BB198" s="77" t="str">
        <f ca="1">IFERROR(IF(BC198="",WORKDAY.INTL(AW198,AZ198,1,Holidays[Date]),BC198),"")</f>
        <v/>
      </c>
      <c r="BC198" s="78"/>
      <c r="BD198" s="80"/>
      <c r="BE198" s="68"/>
      <c r="BF198" s="77" t="str">
        <f>IF(BK198="","",WORKDAY.INTL(BK198,BI198*-1,1,Holidays[Date]))</f>
        <v/>
      </c>
      <c r="BG198" s="77" t="str">
        <f ca="1">IFERROR(IF(BH198="",WORKDAY.INTL(BB198,BE198,1,Holidays[Date]),BH198),"")</f>
        <v/>
      </c>
      <c r="BH198" s="78"/>
      <c r="BI198" s="80"/>
      <c r="BJ198" s="68"/>
      <c r="BK198" s="77" t="str">
        <f>IF(BP198="","",WORKDAY.INTL(BP198,BN198*-1,1,Holidays[Date]))</f>
        <v/>
      </c>
      <c r="BL198" s="77" t="str">
        <f ca="1">IFERROR(IF(BM198="",WORKDAY.INTL(BG198,BJ198,1,Holidays[Date]),BM198),"")</f>
        <v/>
      </c>
      <c r="BM198" s="78"/>
      <c r="BN198" s="80"/>
      <c r="BO198" s="68"/>
      <c r="BP198" s="77" t="str">
        <f>IF(BU198="","",WORKDAY.INTL(BU198,BS198*-1,1,Holidays[Date]))</f>
        <v/>
      </c>
      <c r="BQ198" s="77" t="str">
        <f ca="1">IFERROR(IF(BR198="",WORKDAY.INTL(BL198,BO198,1,Holidays[Date]),BR198),"")</f>
        <v/>
      </c>
      <c r="BR198" s="78"/>
      <c r="BS198" s="80"/>
      <c r="BT198" s="68"/>
      <c r="BU198" s="77" t="str">
        <f>IF(BZ198="","",WORKDAY.INTL(BZ198,BX198*-1,1,Holidays[Date]))</f>
        <v/>
      </c>
      <c r="BV198" s="77" t="str">
        <f ca="1">IFERROR(IF(BW198="",WORKDAY.INTL(BQ198,BT198,1,Holidays[Date]),BW198),"")</f>
        <v/>
      </c>
      <c r="BW198" s="78"/>
      <c r="BX198" s="80"/>
      <c r="BY198" s="68"/>
      <c r="BZ198" s="81"/>
      <c r="CA198" s="77" t="str">
        <f ca="1">IFERROR(IF(CB198="",WORKDAY.INTL(BV198,BY198,1,Holidays[Date]),CB198),"")</f>
        <v/>
      </c>
      <c r="CB198" s="78"/>
    </row>
    <row r="199" spans="1:80" ht="19" customHeight="1" x14ac:dyDescent="0.35">
      <c r="A199" s="31"/>
      <c r="B199" s="82"/>
      <c r="C199" s="1"/>
      <c r="D199" s="8"/>
      <c r="E199" s="8"/>
      <c r="F199" s="8"/>
      <c r="G199" s="8"/>
      <c r="H199" s="8"/>
      <c r="I199" s="9"/>
      <c r="J199" s="8"/>
      <c r="K199" s="8"/>
      <c r="L199" s="8"/>
      <c r="M199" s="8"/>
      <c r="N199" s="8"/>
      <c r="O199" s="8"/>
      <c r="P199" s="8"/>
      <c r="Q199" s="2"/>
      <c r="R199" s="2"/>
      <c r="S199" s="88" t="str">
        <f>IF(tblProcRegister[[#This Row],[Award]]&lt;&gt;"",tblProcRegister[[#This Row],[Budget]]-tblProcRegister[[#This Row],[Award]],"")</f>
        <v/>
      </c>
      <c r="T199" s="68"/>
      <c r="U199" s="68"/>
      <c r="V199" s="68"/>
      <c r="W199" s="77" t="str">
        <f>IF(AB199="","",WORKDAY.INTL(AB199,Z199*-1,1,Holidays[Date]))</f>
        <v/>
      </c>
      <c r="X199" s="77" t="str">
        <f t="shared" ca="1" si="2"/>
        <v/>
      </c>
      <c r="Y199" s="78"/>
      <c r="Z199" s="79"/>
      <c r="AA199" s="68"/>
      <c r="AB199" s="77" t="str">
        <f>IF(AG199="","",WORKDAY.INTL(AG199,AE199*-1,1,Holidays[Date]))</f>
        <v/>
      </c>
      <c r="AC199" s="77" t="str">
        <f ca="1">IFERROR(IF(AD199="",WORKDAY.INTL(X199,AA199,1,Holidays[Date]),AD199),"")</f>
        <v/>
      </c>
      <c r="AD199" s="78"/>
      <c r="AE199" s="80"/>
      <c r="AF199" s="68"/>
      <c r="AG199" s="77" t="str">
        <f>IF(AL199="","",WORKDAY.INTL(AL199,AJ199*-1,1,Holidays[Date]))</f>
        <v/>
      </c>
      <c r="AH199" s="77" t="str">
        <f ca="1">IFERROR(IF(AI199="",WORKDAY.INTL(AC199,AF199,1,Holidays[Date]),AI199),"")</f>
        <v/>
      </c>
      <c r="AI199" s="78"/>
      <c r="AJ199" s="80"/>
      <c r="AK199" s="68"/>
      <c r="AL199" s="77" t="str">
        <f>IF(AQ199="","",WORKDAY.INTL(AQ199,AO199*-1,1,Holidays[Date]))</f>
        <v/>
      </c>
      <c r="AM199" s="77" t="str">
        <f ca="1">IFERROR(IF(AN199="",WORKDAY.INTL(AH199,AK199,1,Holidays[Date]),AN199),"")</f>
        <v/>
      </c>
      <c r="AN199" s="78"/>
      <c r="AO199" s="80"/>
      <c r="AP199" s="68"/>
      <c r="AQ199" s="77" t="str">
        <f>IF(AV199="","",WORKDAY.INTL(AV199,AT199*-1,1,Holidays[Date]))</f>
        <v/>
      </c>
      <c r="AR199" s="77" t="str">
        <f ca="1">IFERROR(IF(AS199="",WORKDAY.INTL(AM199,AP199,1,Holidays[Date]),AS199),"")</f>
        <v/>
      </c>
      <c r="AS199" s="78"/>
      <c r="AT199" s="80"/>
      <c r="AU199" s="68"/>
      <c r="AV199" s="77" t="str">
        <f>IF(BA199="","",WORKDAY.INTL(BA199,AY199*-1,1,Holidays[Date]))</f>
        <v/>
      </c>
      <c r="AW199" s="77" t="str">
        <f ca="1">IFERROR(IF(AX199="",WORKDAY.INTL(AR199,AU199,1,Holidays[Date]),AX199),"")</f>
        <v/>
      </c>
      <c r="AX199" s="78"/>
      <c r="AY199" s="80"/>
      <c r="AZ199" s="68"/>
      <c r="BA199" s="77" t="str">
        <f>IF(BF199="","",WORKDAY.INTL(BF199,BD199*-1,1,Holidays[Date]))</f>
        <v/>
      </c>
      <c r="BB199" s="77" t="str">
        <f ca="1">IFERROR(IF(BC199="",WORKDAY.INTL(AW199,AZ199,1,Holidays[Date]),BC199),"")</f>
        <v/>
      </c>
      <c r="BC199" s="78"/>
      <c r="BD199" s="80"/>
      <c r="BE199" s="68"/>
      <c r="BF199" s="77" t="str">
        <f>IF(BK199="","",WORKDAY.INTL(BK199,BI199*-1,1,Holidays[Date]))</f>
        <v/>
      </c>
      <c r="BG199" s="77" t="str">
        <f ca="1">IFERROR(IF(BH199="",WORKDAY.INTL(BB199,BE199,1,Holidays[Date]),BH199),"")</f>
        <v/>
      </c>
      <c r="BH199" s="78"/>
      <c r="BI199" s="80"/>
      <c r="BJ199" s="68"/>
      <c r="BK199" s="77" t="str">
        <f>IF(BP199="","",WORKDAY.INTL(BP199,BN199*-1,1,Holidays[Date]))</f>
        <v/>
      </c>
      <c r="BL199" s="77" t="str">
        <f ca="1">IFERROR(IF(BM199="",WORKDAY.INTL(BG199,BJ199,1,Holidays[Date]),BM199),"")</f>
        <v/>
      </c>
      <c r="BM199" s="78"/>
      <c r="BN199" s="80"/>
      <c r="BO199" s="68"/>
      <c r="BP199" s="77" t="str">
        <f>IF(BU199="","",WORKDAY.INTL(BU199,BS199*-1,1,Holidays[Date]))</f>
        <v/>
      </c>
      <c r="BQ199" s="77" t="str">
        <f ca="1">IFERROR(IF(BR199="",WORKDAY.INTL(BL199,BO199,1,Holidays[Date]),BR199),"")</f>
        <v/>
      </c>
      <c r="BR199" s="78"/>
      <c r="BS199" s="80"/>
      <c r="BT199" s="68"/>
      <c r="BU199" s="77" t="str">
        <f>IF(BZ199="","",WORKDAY.INTL(BZ199,BX199*-1,1,Holidays[Date]))</f>
        <v/>
      </c>
      <c r="BV199" s="77" t="str">
        <f ca="1">IFERROR(IF(BW199="",WORKDAY.INTL(BQ199,BT199,1,Holidays[Date]),BW199),"")</f>
        <v/>
      </c>
      <c r="BW199" s="78"/>
      <c r="BX199" s="80"/>
      <c r="BY199" s="68"/>
      <c r="BZ199" s="81"/>
      <c r="CA199" s="77" t="str">
        <f ca="1">IFERROR(IF(CB199="",WORKDAY.INTL(BV199,BY199,1,Holidays[Date]),CB199),"")</f>
        <v/>
      </c>
      <c r="CB199" s="78"/>
    </row>
    <row r="200" spans="1:80" ht="19" customHeight="1" x14ac:dyDescent="0.35">
      <c r="A200" s="31"/>
      <c r="B200" s="82"/>
      <c r="C200" s="1"/>
      <c r="D200" s="8"/>
      <c r="E200" s="8"/>
      <c r="F200" s="8"/>
      <c r="G200" s="8"/>
      <c r="H200" s="8"/>
      <c r="I200" s="9"/>
      <c r="J200" s="8"/>
      <c r="K200" s="8"/>
      <c r="L200" s="8"/>
      <c r="M200" s="8"/>
      <c r="N200" s="8"/>
      <c r="O200" s="8"/>
      <c r="P200" s="8"/>
      <c r="Q200" s="2"/>
      <c r="R200" s="2"/>
      <c r="S200" s="88" t="str">
        <f>IF(tblProcRegister[[#This Row],[Award]]&lt;&gt;"",tblProcRegister[[#This Row],[Budget]]-tblProcRegister[[#This Row],[Award]],"")</f>
        <v/>
      </c>
      <c r="T200" s="68"/>
      <c r="U200" s="68"/>
      <c r="V200" s="68"/>
      <c r="W200" s="77" t="str">
        <f>IF(AB200="","",WORKDAY.INTL(AB200,Z200*-1,1,Holidays[Date]))</f>
        <v/>
      </c>
      <c r="X200" s="77" t="str">
        <f t="shared" ca="1" si="2"/>
        <v/>
      </c>
      <c r="Y200" s="78"/>
      <c r="Z200" s="79"/>
      <c r="AA200" s="68"/>
      <c r="AB200" s="77" t="str">
        <f>IF(AG200="","",WORKDAY.INTL(AG200,AE200*-1,1,Holidays[Date]))</f>
        <v/>
      </c>
      <c r="AC200" s="77" t="str">
        <f ca="1">IFERROR(IF(AD200="",WORKDAY.INTL(X200,AA200,1,Holidays[Date]),AD200),"")</f>
        <v/>
      </c>
      <c r="AD200" s="78"/>
      <c r="AE200" s="80"/>
      <c r="AF200" s="68"/>
      <c r="AG200" s="77" t="str">
        <f>IF(AL200="","",WORKDAY.INTL(AL200,AJ200*-1,1,Holidays[Date]))</f>
        <v/>
      </c>
      <c r="AH200" s="77" t="str">
        <f ca="1">IFERROR(IF(AI200="",WORKDAY.INTL(AC200,AF200,1,Holidays[Date]),AI200),"")</f>
        <v/>
      </c>
      <c r="AI200" s="78"/>
      <c r="AJ200" s="80"/>
      <c r="AK200" s="68"/>
      <c r="AL200" s="77" t="str">
        <f>IF(AQ200="","",WORKDAY.INTL(AQ200,AO200*-1,1,Holidays[Date]))</f>
        <v/>
      </c>
      <c r="AM200" s="77" t="str">
        <f ca="1">IFERROR(IF(AN200="",WORKDAY.INTL(AH200,AK200,1,Holidays[Date]),AN200),"")</f>
        <v/>
      </c>
      <c r="AN200" s="78"/>
      <c r="AO200" s="80"/>
      <c r="AP200" s="68"/>
      <c r="AQ200" s="77" t="str">
        <f>IF(AV200="","",WORKDAY.INTL(AV200,AT200*-1,1,Holidays[Date]))</f>
        <v/>
      </c>
      <c r="AR200" s="77" t="str">
        <f ca="1">IFERROR(IF(AS200="",WORKDAY.INTL(AM200,AP200,1,Holidays[Date]),AS200),"")</f>
        <v/>
      </c>
      <c r="AS200" s="78"/>
      <c r="AT200" s="80"/>
      <c r="AU200" s="68"/>
      <c r="AV200" s="77" t="str">
        <f>IF(BA200="","",WORKDAY.INTL(BA200,AY200*-1,1,Holidays[Date]))</f>
        <v/>
      </c>
      <c r="AW200" s="77" t="str">
        <f ca="1">IFERROR(IF(AX200="",WORKDAY.INTL(AR200,AU200,1,Holidays[Date]),AX200),"")</f>
        <v/>
      </c>
      <c r="AX200" s="78"/>
      <c r="AY200" s="80"/>
      <c r="AZ200" s="68"/>
      <c r="BA200" s="77" t="str">
        <f>IF(BF200="","",WORKDAY.INTL(BF200,BD200*-1,1,Holidays[Date]))</f>
        <v/>
      </c>
      <c r="BB200" s="77" t="str">
        <f ca="1">IFERROR(IF(BC200="",WORKDAY.INTL(AW200,AZ200,1,Holidays[Date]),BC200),"")</f>
        <v/>
      </c>
      <c r="BC200" s="78"/>
      <c r="BD200" s="80"/>
      <c r="BE200" s="68"/>
      <c r="BF200" s="77" t="str">
        <f>IF(BK200="","",WORKDAY.INTL(BK200,BI200*-1,1,Holidays[Date]))</f>
        <v/>
      </c>
      <c r="BG200" s="77" t="str">
        <f ca="1">IFERROR(IF(BH200="",WORKDAY.INTL(BB200,BE200,1,Holidays[Date]),BH200),"")</f>
        <v/>
      </c>
      <c r="BH200" s="78"/>
      <c r="BI200" s="80"/>
      <c r="BJ200" s="68"/>
      <c r="BK200" s="77" t="str">
        <f>IF(BP200="","",WORKDAY.INTL(BP200,BN200*-1,1,Holidays[Date]))</f>
        <v/>
      </c>
      <c r="BL200" s="77" t="str">
        <f ca="1">IFERROR(IF(BM200="",WORKDAY.INTL(BG200,BJ200,1,Holidays[Date]),BM200),"")</f>
        <v/>
      </c>
      <c r="BM200" s="78"/>
      <c r="BN200" s="80"/>
      <c r="BO200" s="68"/>
      <c r="BP200" s="77" t="str">
        <f>IF(BU200="","",WORKDAY.INTL(BU200,BS200*-1,1,Holidays[Date]))</f>
        <v/>
      </c>
      <c r="BQ200" s="77" t="str">
        <f ca="1">IFERROR(IF(BR200="",WORKDAY.INTL(BL200,BO200,1,Holidays[Date]),BR200),"")</f>
        <v/>
      </c>
      <c r="BR200" s="78"/>
      <c r="BS200" s="80"/>
      <c r="BT200" s="68"/>
      <c r="BU200" s="77" t="str">
        <f>IF(BZ200="","",WORKDAY.INTL(BZ200,BX200*-1,1,Holidays[Date]))</f>
        <v/>
      </c>
      <c r="BV200" s="77" t="str">
        <f ca="1">IFERROR(IF(BW200="",WORKDAY.INTL(BQ200,BT200,1,Holidays[Date]),BW200),"")</f>
        <v/>
      </c>
      <c r="BW200" s="78"/>
      <c r="BX200" s="80"/>
      <c r="BY200" s="68"/>
      <c r="BZ200" s="81"/>
      <c r="CA200" s="77" t="str">
        <f ca="1">IFERROR(IF(CB200="",WORKDAY.INTL(BV200,BY200,1,Holidays[Date]),CB200),"")</f>
        <v/>
      </c>
      <c r="CB200" s="78"/>
    </row>
    <row r="201" spans="1:80" ht="19" customHeight="1" x14ac:dyDescent="0.35">
      <c r="A201" s="31"/>
      <c r="B201" s="82"/>
      <c r="C201" s="1"/>
      <c r="D201" s="8"/>
      <c r="E201" s="8"/>
      <c r="F201" s="8"/>
      <c r="G201" s="8"/>
      <c r="H201" s="8"/>
      <c r="I201" s="9"/>
      <c r="J201" s="8"/>
      <c r="K201" s="8"/>
      <c r="L201" s="8"/>
      <c r="M201" s="8"/>
      <c r="N201" s="8"/>
      <c r="O201" s="8"/>
      <c r="P201" s="8"/>
      <c r="Q201" s="2"/>
      <c r="R201" s="2"/>
      <c r="S201" s="88" t="str">
        <f>IF(tblProcRegister[[#This Row],[Award]]&lt;&gt;"",tblProcRegister[[#This Row],[Budget]]-tblProcRegister[[#This Row],[Award]],"")</f>
        <v/>
      </c>
      <c r="T201" s="68"/>
      <c r="U201" s="68"/>
      <c r="V201" s="68"/>
      <c r="W201" s="77" t="str">
        <f>IF(AB201="","",WORKDAY.INTL(AB201,Z201*-1,1,Holidays[Date]))</f>
        <v/>
      </c>
      <c r="X201" s="77" t="str">
        <f t="shared" ca="1" si="2"/>
        <v/>
      </c>
      <c r="Y201" s="78"/>
      <c r="Z201" s="79"/>
      <c r="AA201" s="68"/>
      <c r="AB201" s="77" t="str">
        <f>IF(AG201="","",WORKDAY.INTL(AG201,AE201*-1,1,Holidays[Date]))</f>
        <v/>
      </c>
      <c r="AC201" s="77" t="str">
        <f ca="1">IFERROR(IF(AD201="",WORKDAY.INTL(X201,AA201,1,Holidays[Date]),AD201),"")</f>
        <v/>
      </c>
      <c r="AD201" s="78"/>
      <c r="AE201" s="80"/>
      <c r="AF201" s="68"/>
      <c r="AG201" s="77" t="str">
        <f>IF(AL201="","",WORKDAY.INTL(AL201,AJ201*-1,1,Holidays[Date]))</f>
        <v/>
      </c>
      <c r="AH201" s="77" t="str">
        <f ca="1">IFERROR(IF(AI201="",WORKDAY.INTL(AC201,AF201,1,Holidays[Date]),AI201),"")</f>
        <v/>
      </c>
      <c r="AI201" s="78"/>
      <c r="AJ201" s="80"/>
      <c r="AK201" s="68"/>
      <c r="AL201" s="77" t="str">
        <f>IF(AQ201="","",WORKDAY.INTL(AQ201,AO201*-1,1,Holidays[Date]))</f>
        <v/>
      </c>
      <c r="AM201" s="77" t="str">
        <f ca="1">IFERROR(IF(AN201="",WORKDAY.INTL(AH201,AK201,1,Holidays[Date]),AN201),"")</f>
        <v/>
      </c>
      <c r="AN201" s="78"/>
      <c r="AO201" s="80"/>
      <c r="AP201" s="68"/>
      <c r="AQ201" s="77" t="str">
        <f>IF(AV201="","",WORKDAY.INTL(AV201,AT201*-1,1,Holidays[Date]))</f>
        <v/>
      </c>
      <c r="AR201" s="77" t="str">
        <f ca="1">IFERROR(IF(AS201="",WORKDAY.INTL(AM201,AP201,1,Holidays[Date]),AS201),"")</f>
        <v/>
      </c>
      <c r="AS201" s="78"/>
      <c r="AT201" s="80"/>
      <c r="AU201" s="68"/>
      <c r="AV201" s="77" t="str">
        <f>IF(BA201="","",WORKDAY.INTL(BA201,AY201*-1,1,Holidays[Date]))</f>
        <v/>
      </c>
      <c r="AW201" s="77" t="str">
        <f ca="1">IFERROR(IF(AX201="",WORKDAY.INTL(AR201,AU201,1,Holidays[Date]),AX201),"")</f>
        <v/>
      </c>
      <c r="AX201" s="78"/>
      <c r="AY201" s="80"/>
      <c r="AZ201" s="68"/>
      <c r="BA201" s="77" t="str">
        <f>IF(BF201="","",WORKDAY.INTL(BF201,BD201*-1,1,Holidays[Date]))</f>
        <v/>
      </c>
      <c r="BB201" s="77" t="str">
        <f ca="1">IFERROR(IF(BC201="",WORKDAY.INTL(AW201,AZ201,1,Holidays[Date]),BC201),"")</f>
        <v/>
      </c>
      <c r="BC201" s="78"/>
      <c r="BD201" s="80"/>
      <c r="BE201" s="68"/>
      <c r="BF201" s="77" t="str">
        <f>IF(BK201="","",WORKDAY.INTL(BK201,BI201*-1,1,Holidays[Date]))</f>
        <v/>
      </c>
      <c r="BG201" s="77" t="str">
        <f ca="1">IFERROR(IF(BH201="",WORKDAY.INTL(BB201,BE201,1,Holidays[Date]),BH201),"")</f>
        <v/>
      </c>
      <c r="BH201" s="78"/>
      <c r="BI201" s="80"/>
      <c r="BJ201" s="68"/>
      <c r="BK201" s="77" t="str">
        <f>IF(BP201="","",WORKDAY.INTL(BP201,BN201*-1,1,Holidays[Date]))</f>
        <v/>
      </c>
      <c r="BL201" s="77" t="str">
        <f ca="1">IFERROR(IF(BM201="",WORKDAY.INTL(BG201,BJ201,1,Holidays[Date]),BM201),"")</f>
        <v/>
      </c>
      <c r="BM201" s="78"/>
      <c r="BN201" s="80"/>
      <c r="BO201" s="68"/>
      <c r="BP201" s="77" t="str">
        <f>IF(BU201="","",WORKDAY.INTL(BU201,BS201*-1,1,Holidays[Date]))</f>
        <v/>
      </c>
      <c r="BQ201" s="77" t="str">
        <f ca="1">IFERROR(IF(BR201="",WORKDAY.INTL(BL201,BO201,1,Holidays[Date]),BR201),"")</f>
        <v/>
      </c>
      <c r="BR201" s="78"/>
      <c r="BS201" s="80"/>
      <c r="BT201" s="68"/>
      <c r="BU201" s="77" t="str">
        <f>IF(BZ201="","",WORKDAY.INTL(BZ201,BX201*-1,1,Holidays[Date]))</f>
        <v/>
      </c>
      <c r="BV201" s="77" t="str">
        <f ca="1">IFERROR(IF(BW201="",WORKDAY.INTL(BQ201,BT201,1,Holidays[Date]),BW201),"")</f>
        <v/>
      </c>
      <c r="BW201" s="78"/>
      <c r="BX201" s="80"/>
      <c r="BY201" s="68"/>
      <c r="BZ201" s="81"/>
      <c r="CA201" s="77" t="str">
        <f ca="1">IFERROR(IF(CB201="",WORKDAY.INTL(BV201,BY201,1,Holidays[Date]),CB201),"")</f>
        <v/>
      </c>
      <c r="CB201" s="78"/>
    </row>
    <row r="202" spans="1:80" ht="19" customHeight="1" x14ac:dyDescent="0.35">
      <c r="A202" s="31"/>
      <c r="B202" s="82"/>
      <c r="C202" s="1"/>
      <c r="D202" s="8"/>
      <c r="E202" s="8"/>
      <c r="F202" s="8"/>
      <c r="G202" s="8"/>
      <c r="H202" s="8"/>
      <c r="I202" s="9"/>
      <c r="J202" s="8"/>
      <c r="K202" s="8"/>
      <c r="L202" s="8"/>
      <c r="M202" s="8"/>
      <c r="N202" s="8"/>
      <c r="O202" s="8"/>
      <c r="P202" s="8"/>
      <c r="Q202" s="2"/>
      <c r="R202" s="2"/>
      <c r="S202" s="88" t="str">
        <f>IF(tblProcRegister[[#This Row],[Award]]&lt;&gt;"",tblProcRegister[[#This Row],[Budget]]-tblProcRegister[[#This Row],[Award]],"")</f>
        <v/>
      </c>
      <c r="T202" s="68"/>
      <c r="U202" s="68"/>
      <c r="V202" s="68"/>
      <c r="W202" s="77" t="str">
        <f>IF(AB202="","",WORKDAY.INTL(AB202,Z202*-1,1,Holidays[Date]))</f>
        <v/>
      </c>
      <c r="X202" s="77" t="str">
        <f t="shared" ca="1" si="2"/>
        <v/>
      </c>
      <c r="Y202" s="78"/>
      <c r="Z202" s="79"/>
      <c r="AA202" s="68"/>
      <c r="AB202" s="77" t="str">
        <f>IF(AG202="","",WORKDAY.INTL(AG202,AE202*-1,1,Holidays[Date]))</f>
        <v/>
      </c>
      <c r="AC202" s="77" t="str">
        <f ca="1">IFERROR(IF(AD202="",WORKDAY.INTL(X202,AA202,1,Holidays[Date]),AD202),"")</f>
        <v/>
      </c>
      <c r="AD202" s="78"/>
      <c r="AE202" s="80"/>
      <c r="AF202" s="68"/>
      <c r="AG202" s="77" t="str">
        <f>IF(AL202="","",WORKDAY.INTL(AL202,AJ202*-1,1,Holidays[Date]))</f>
        <v/>
      </c>
      <c r="AH202" s="77" t="str">
        <f ca="1">IFERROR(IF(AI202="",WORKDAY.INTL(AC202,AF202,1,Holidays[Date]),AI202),"")</f>
        <v/>
      </c>
      <c r="AI202" s="78"/>
      <c r="AJ202" s="80"/>
      <c r="AK202" s="68"/>
      <c r="AL202" s="77" t="str">
        <f>IF(AQ202="","",WORKDAY.INTL(AQ202,AO202*-1,1,Holidays[Date]))</f>
        <v/>
      </c>
      <c r="AM202" s="77" t="str">
        <f ca="1">IFERROR(IF(AN202="",WORKDAY.INTL(AH202,AK202,1,Holidays[Date]),AN202),"")</f>
        <v/>
      </c>
      <c r="AN202" s="78"/>
      <c r="AO202" s="80"/>
      <c r="AP202" s="68"/>
      <c r="AQ202" s="77" t="str">
        <f>IF(AV202="","",WORKDAY.INTL(AV202,AT202*-1,1,Holidays[Date]))</f>
        <v/>
      </c>
      <c r="AR202" s="77" t="str">
        <f ca="1">IFERROR(IF(AS202="",WORKDAY.INTL(AM202,AP202,1,Holidays[Date]),AS202),"")</f>
        <v/>
      </c>
      <c r="AS202" s="78"/>
      <c r="AT202" s="80"/>
      <c r="AU202" s="68"/>
      <c r="AV202" s="77" t="str">
        <f>IF(BA202="","",WORKDAY.INTL(BA202,AY202*-1,1,Holidays[Date]))</f>
        <v/>
      </c>
      <c r="AW202" s="77" t="str">
        <f ca="1">IFERROR(IF(AX202="",WORKDAY.INTL(AR202,AU202,1,Holidays[Date]),AX202),"")</f>
        <v/>
      </c>
      <c r="AX202" s="78"/>
      <c r="AY202" s="80"/>
      <c r="AZ202" s="68"/>
      <c r="BA202" s="77" t="str">
        <f>IF(BF202="","",WORKDAY.INTL(BF202,BD202*-1,1,Holidays[Date]))</f>
        <v/>
      </c>
      <c r="BB202" s="77" t="str">
        <f ca="1">IFERROR(IF(BC202="",WORKDAY.INTL(AW202,AZ202,1,Holidays[Date]),BC202),"")</f>
        <v/>
      </c>
      <c r="BC202" s="78"/>
      <c r="BD202" s="80"/>
      <c r="BE202" s="68"/>
      <c r="BF202" s="77" t="str">
        <f>IF(BK202="","",WORKDAY.INTL(BK202,BI202*-1,1,Holidays[Date]))</f>
        <v/>
      </c>
      <c r="BG202" s="77" t="str">
        <f ca="1">IFERROR(IF(BH202="",WORKDAY.INTL(BB202,BE202,1,Holidays[Date]),BH202),"")</f>
        <v/>
      </c>
      <c r="BH202" s="78"/>
      <c r="BI202" s="80"/>
      <c r="BJ202" s="68"/>
      <c r="BK202" s="77" t="str">
        <f>IF(BP202="","",WORKDAY.INTL(BP202,BN202*-1,1,Holidays[Date]))</f>
        <v/>
      </c>
      <c r="BL202" s="77" t="str">
        <f ca="1">IFERROR(IF(BM202="",WORKDAY.INTL(BG202,BJ202,1,Holidays[Date]),BM202),"")</f>
        <v/>
      </c>
      <c r="BM202" s="78"/>
      <c r="BN202" s="80"/>
      <c r="BO202" s="68"/>
      <c r="BP202" s="77" t="str">
        <f>IF(BU202="","",WORKDAY.INTL(BU202,BS202*-1,1,Holidays[Date]))</f>
        <v/>
      </c>
      <c r="BQ202" s="77" t="str">
        <f ca="1">IFERROR(IF(BR202="",WORKDAY.INTL(BL202,BO202,1,Holidays[Date]),BR202),"")</f>
        <v/>
      </c>
      <c r="BR202" s="78"/>
      <c r="BS202" s="80"/>
      <c r="BT202" s="68"/>
      <c r="BU202" s="77" t="str">
        <f>IF(BZ202="","",WORKDAY.INTL(BZ202,BX202*-1,1,Holidays[Date]))</f>
        <v/>
      </c>
      <c r="BV202" s="77" t="str">
        <f ca="1">IFERROR(IF(BW202="",WORKDAY.INTL(BQ202,BT202,1,Holidays[Date]),BW202),"")</f>
        <v/>
      </c>
      <c r="BW202" s="78"/>
      <c r="BX202" s="80"/>
      <c r="BY202" s="68"/>
      <c r="BZ202" s="81"/>
      <c r="CA202" s="77" t="str">
        <f ca="1">IFERROR(IF(CB202="",WORKDAY.INTL(BV202,BY202,1,Holidays[Date]),CB202),"")</f>
        <v/>
      </c>
      <c r="CB202" s="78"/>
    </row>
    <row r="203" spans="1:80" ht="19" customHeight="1" x14ac:dyDescent="0.35">
      <c r="A203" s="31"/>
      <c r="B203" s="82"/>
      <c r="C203" s="1"/>
      <c r="D203" s="8"/>
      <c r="E203" s="8"/>
      <c r="F203" s="8"/>
      <c r="G203" s="8"/>
      <c r="H203" s="8"/>
      <c r="I203" s="9"/>
      <c r="J203" s="8"/>
      <c r="K203" s="8"/>
      <c r="L203" s="8"/>
      <c r="M203" s="8"/>
      <c r="N203" s="8"/>
      <c r="O203" s="8"/>
      <c r="P203" s="8"/>
      <c r="Q203" s="2"/>
      <c r="R203" s="2"/>
      <c r="S203" s="88" t="str">
        <f>IF(tblProcRegister[[#This Row],[Award]]&lt;&gt;"",tblProcRegister[[#This Row],[Budget]]-tblProcRegister[[#This Row],[Award]],"")</f>
        <v/>
      </c>
      <c r="T203" s="68"/>
      <c r="U203" s="68"/>
      <c r="V203" s="68"/>
      <c r="W203" s="77" t="str">
        <f>IF(AB203="","",WORKDAY.INTL(AB203,Z203*-1,1,Holidays[Date]))</f>
        <v/>
      </c>
      <c r="X203" s="77" t="str">
        <f t="shared" ca="1" si="2"/>
        <v/>
      </c>
      <c r="Y203" s="78"/>
      <c r="Z203" s="79"/>
      <c r="AA203" s="68"/>
      <c r="AB203" s="77" t="str">
        <f>IF(AG203="","",WORKDAY.INTL(AG203,AE203*-1,1,Holidays[Date]))</f>
        <v/>
      </c>
      <c r="AC203" s="77" t="str">
        <f ca="1">IFERROR(IF(AD203="",WORKDAY.INTL(X203,AA203,1,Holidays[Date]),AD203),"")</f>
        <v/>
      </c>
      <c r="AD203" s="78"/>
      <c r="AE203" s="80"/>
      <c r="AF203" s="68"/>
      <c r="AG203" s="77" t="str">
        <f>IF(AL203="","",WORKDAY.INTL(AL203,AJ203*-1,1,Holidays[Date]))</f>
        <v/>
      </c>
      <c r="AH203" s="77" t="str">
        <f ca="1">IFERROR(IF(AI203="",WORKDAY.INTL(AC203,AF203,1,Holidays[Date]),AI203),"")</f>
        <v/>
      </c>
      <c r="AI203" s="78"/>
      <c r="AJ203" s="80"/>
      <c r="AK203" s="68"/>
      <c r="AL203" s="77" t="str">
        <f>IF(AQ203="","",WORKDAY.INTL(AQ203,AO203*-1,1,Holidays[Date]))</f>
        <v/>
      </c>
      <c r="AM203" s="77" t="str">
        <f ca="1">IFERROR(IF(AN203="",WORKDAY.INTL(AH203,AK203,1,Holidays[Date]),AN203),"")</f>
        <v/>
      </c>
      <c r="AN203" s="78"/>
      <c r="AO203" s="80"/>
      <c r="AP203" s="68"/>
      <c r="AQ203" s="77" t="str">
        <f>IF(AV203="","",WORKDAY.INTL(AV203,AT203*-1,1,Holidays[Date]))</f>
        <v/>
      </c>
      <c r="AR203" s="77" t="str">
        <f ca="1">IFERROR(IF(AS203="",WORKDAY.INTL(AM203,AP203,1,Holidays[Date]),AS203),"")</f>
        <v/>
      </c>
      <c r="AS203" s="78"/>
      <c r="AT203" s="80"/>
      <c r="AU203" s="68"/>
      <c r="AV203" s="77" t="str">
        <f>IF(BA203="","",WORKDAY.INTL(BA203,AY203*-1,1,Holidays[Date]))</f>
        <v/>
      </c>
      <c r="AW203" s="77" t="str">
        <f ca="1">IFERROR(IF(AX203="",WORKDAY.INTL(AR203,AU203,1,Holidays[Date]),AX203),"")</f>
        <v/>
      </c>
      <c r="AX203" s="78"/>
      <c r="AY203" s="80"/>
      <c r="AZ203" s="68"/>
      <c r="BA203" s="77" t="str">
        <f>IF(BF203="","",WORKDAY.INTL(BF203,BD203*-1,1,Holidays[Date]))</f>
        <v/>
      </c>
      <c r="BB203" s="77" t="str">
        <f ca="1">IFERROR(IF(BC203="",WORKDAY.INTL(AW203,AZ203,1,Holidays[Date]),BC203),"")</f>
        <v/>
      </c>
      <c r="BC203" s="78"/>
      <c r="BD203" s="80"/>
      <c r="BE203" s="68"/>
      <c r="BF203" s="77" t="str">
        <f>IF(BK203="","",WORKDAY.INTL(BK203,BI203*-1,1,Holidays[Date]))</f>
        <v/>
      </c>
      <c r="BG203" s="77" t="str">
        <f ca="1">IFERROR(IF(BH203="",WORKDAY.INTL(BB203,BE203,1,Holidays[Date]),BH203),"")</f>
        <v/>
      </c>
      <c r="BH203" s="78"/>
      <c r="BI203" s="80"/>
      <c r="BJ203" s="68"/>
      <c r="BK203" s="77" t="str">
        <f>IF(BP203="","",WORKDAY.INTL(BP203,BN203*-1,1,Holidays[Date]))</f>
        <v/>
      </c>
      <c r="BL203" s="77" t="str">
        <f ca="1">IFERROR(IF(BM203="",WORKDAY.INTL(BG203,BJ203,1,Holidays[Date]),BM203),"")</f>
        <v/>
      </c>
      <c r="BM203" s="78"/>
      <c r="BN203" s="80"/>
      <c r="BO203" s="68"/>
      <c r="BP203" s="77" t="str">
        <f>IF(BU203="","",WORKDAY.INTL(BU203,BS203*-1,1,Holidays[Date]))</f>
        <v/>
      </c>
      <c r="BQ203" s="77" t="str">
        <f ca="1">IFERROR(IF(BR203="",WORKDAY.INTL(BL203,BO203,1,Holidays[Date]),BR203),"")</f>
        <v/>
      </c>
      <c r="BR203" s="78"/>
      <c r="BS203" s="80"/>
      <c r="BT203" s="68"/>
      <c r="BU203" s="77" t="str">
        <f>IF(BZ203="","",WORKDAY.INTL(BZ203,BX203*-1,1,Holidays[Date]))</f>
        <v/>
      </c>
      <c r="BV203" s="77" t="str">
        <f ca="1">IFERROR(IF(BW203="",WORKDAY.INTL(BQ203,BT203,1,Holidays[Date]),BW203),"")</f>
        <v/>
      </c>
      <c r="BW203" s="78"/>
      <c r="BX203" s="80"/>
      <c r="BY203" s="68"/>
      <c r="BZ203" s="81"/>
      <c r="CA203" s="77" t="str">
        <f ca="1">IFERROR(IF(CB203="",WORKDAY.INTL(BV203,BY203,1,Holidays[Date]),CB203),"")</f>
        <v/>
      </c>
      <c r="CB203" s="78"/>
    </row>
    <row r="204" spans="1:80" ht="19" customHeight="1" x14ac:dyDescent="0.35">
      <c r="A204" s="31"/>
      <c r="B204" s="82"/>
      <c r="C204" s="1"/>
      <c r="D204" s="8"/>
      <c r="E204" s="8"/>
      <c r="F204" s="8"/>
      <c r="G204" s="8"/>
      <c r="H204" s="8"/>
      <c r="I204" s="9"/>
      <c r="J204" s="8"/>
      <c r="K204" s="8"/>
      <c r="L204" s="8"/>
      <c r="M204" s="8"/>
      <c r="N204" s="8"/>
      <c r="O204" s="8"/>
      <c r="P204" s="8"/>
      <c r="Q204" s="2"/>
      <c r="R204" s="2"/>
      <c r="S204" s="88" t="str">
        <f>IF(tblProcRegister[[#This Row],[Award]]&lt;&gt;"",tblProcRegister[[#This Row],[Budget]]-tblProcRegister[[#This Row],[Award]],"")</f>
        <v/>
      </c>
      <c r="T204" s="68"/>
      <c r="U204" s="68"/>
      <c r="V204" s="68"/>
      <c r="W204" s="77" t="str">
        <f>IF(AB204="","",WORKDAY.INTL(AB204,Z204*-1,1,Holidays[Date]))</f>
        <v/>
      </c>
      <c r="X204" s="77" t="str">
        <f t="shared" ref="X204:X267" ca="1" si="3">IF(Y204="",IF(W204&gt;$C$8,W204,$C$8),Y204)</f>
        <v/>
      </c>
      <c r="Y204" s="78"/>
      <c r="Z204" s="79"/>
      <c r="AA204" s="68"/>
      <c r="AB204" s="77" t="str">
        <f>IF(AG204="","",WORKDAY.INTL(AG204,AE204*-1,1,Holidays[Date]))</f>
        <v/>
      </c>
      <c r="AC204" s="77" t="str">
        <f ca="1">IFERROR(IF(AD204="",WORKDAY.INTL(X204,AA204,1,Holidays[Date]),AD204),"")</f>
        <v/>
      </c>
      <c r="AD204" s="78"/>
      <c r="AE204" s="80"/>
      <c r="AF204" s="68"/>
      <c r="AG204" s="77" t="str">
        <f>IF(AL204="","",WORKDAY.INTL(AL204,AJ204*-1,1,Holidays[Date]))</f>
        <v/>
      </c>
      <c r="AH204" s="77" t="str">
        <f ca="1">IFERROR(IF(AI204="",WORKDAY.INTL(AC204,AF204,1,Holidays[Date]),AI204),"")</f>
        <v/>
      </c>
      <c r="AI204" s="78"/>
      <c r="AJ204" s="80"/>
      <c r="AK204" s="68"/>
      <c r="AL204" s="77" t="str">
        <f>IF(AQ204="","",WORKDAY.INTL(AQ204,AO204*-1,1,Holidays[Date]))</f>
        <v/>
      </c>
      <c r="AM204" s="77" t="str">
        <f ca="1">IFERROR(IF(AN204="",WORKDAY.INTL(AH204,AK204,1,Holidays[Date]),AN204),"")</f>
        <v/>
      </c>
      <c r="AN204" s="78"/>
      <c r="AO204" s="80"/>
      <c r="AP204" s="68"/>
      <c r="AQ204" s="77" t="str">
        <f>IF(AV204="","",WORKDAY.INTL(AV204,AT204*-1,1,Holidays[Date]))</f>
        <v/>
      </c>
      <c r="AR204" s="77" t="str">
        <f ca="1">IFERROR(IF(AS204="",WORKDAY.INTL(AM204,AP204,1,Holidays[Date]),AS204),"")</f>
        <v/>
      </c>
      <c r="AS204" s="78"/>
      <c r="AT204" s="80"/>
      <c r="AU204" s="68"/>
      <c r="AV204" s="77" t="str">
        <f>IF(BA204="","",WORKDAY.INTL(BA204,AY204*-1,1,Holidays[Date]))</f>
        <v/>
      </c>
      <c r="AW204" s="77" t="str">
        <f ca="1">IFERROR(IF(AX204="",WORKDAY.INTL(AR204,AU204,1,Holidays[Date]),AX204),"")</f>
        <v/>
      </c>
      <c r="AX204" s="78"/>
      <c r="AY204" s="80"/>
      <c r="AZ204" s="68"/>
      <c r="BA204" s="77" t="str">
        <f>IF(BF204="","",WORKDAY.INTL(BF204,BD204*-1,1,Holidays[Date]))</f>
        <v/>
      </c>
      <c r="BB204" s="77" t="str">
        <f ca="1">IFERROR(IF(BC204="",WORKDAY.INTL(AW204,AZ204,1,Holidays[Date]),BC204),"")</f>
        <v/>
      </c>
      <c r="BC204" s="78"/>
      <c r="BD204" s="80"/>
      <c r="BE204" s="68"/>
      <c r="BF204" s="77" t="str">
        <f>IF(BK204="","",WORKDAY.INTL(BK204,BI204*-1,1,Holidays[Date]))</f>
        <v/>
      </c>
      <c r="BG204" s="77" t="str">
        <f ca="1">IFERROR(IF(BH204="",WORKDAY.INTL(BB204,BE204,1,Holidays[Date]),BH204),"")</f>
        <v/>
      </c>
      <c r="BH204" s="78"/>
      <c r="BI204" s="80"/>
      <c r="BJ204" s="68"/>
      <c r="BK204" s="77" t="str">
        <f>IF(BP204="","",WORKDAY.INTL(BP204,BN204*-1,1,Holidays[Date]))</f>
        <v/>
      </c>
      <c r="BL204" s="77" t="str">
        <f ca="1">IFERROR(IF(BM204="",WORKDAY.INTL(BG204,BJ204,1,Holidays[Date]),BM204),"")</f>
        <v/>
      </c>
      <c r="BM204" s="78"/>
      <c r="BN204" s="80"/>
      <c r="BO204" s="68"/>
      <c r="BP204" s="77" t="str">
        <f>IF(BU204="","",WORKDAY.INTL(BU204,BS204*-1,1,Holidays[Date]))</f>
        <v/>
      </c>
      <c r="BQ204" s="77" t="str">
        <f ca="1">IFERROR(IF(BR204="",WORKDAY.INTL(BL204,BO204,1,Holidays[Date]),BR204),"")</f>
        <v/>
      </c>
      <c r="BR204" s="78"/>
      <c r="BS204" s="80"/>
      <c r="BT204" s="68"/>
      <c r="BU204" s="77" t="str">
        <f>IF(BZ204="","",WORKDAY.INTL(BZ204,BX204*-1,1,Holidays[Date]))</f>
        <v/>
      </c>
      <c r="BV204" s="77" t="str">
        <f ca="1">IFERROR(IF(BW204="",WORKDAY.INTL(BQ204,BT204,1,Holidays[Date]),BW204),"")</f>
        <v/>
      </c>
      <c r="BW204" s="78"/>
      <c r="BX204" s="80"/>
      <c r="BY204" s="68"/>
      <c r="BZ204" s="81"/>
      <c r="CA204" s="77" t="str">
        <f ca="1">IFERROR(IF(CB204="",WORKDAY.INTL(BV204,BY204,1,Holidays[Date]),CB204),"")</f>
        <v/>
      </c>
      <c r="CB204" s="78"/>
    </row>
    <row r="205" spans="1:80" ht="19" customHeight="1" x14ac:dyDescent="0.35">
      <c r="A205" s="31"/>
      <c r="B205" s="82"/>
      <c r="C205" s="1"/>
      <c r="D205" s="8"/>
      <c r="E205" s="8"/>
      <c r="F205" s="8"/>
      <c r="G205" s="8"/>
      <c r="H205" s="8"/>
      <c r="I205" s="9"/>
      <c r="J205" s="8"/>
      <c r="K205" s="8"/>
      <c r="L205" s="8"/>
      <c r="M205" s="8"/>
      <c r="N205" s="8"/>
      <c r="O205" s="8"/>
      <c r="P205" s="8"/>
      <c r="Q205" s="2"/>
      <c r="R205" s="2"/>
      <c r="S205" s="88" t="str">
        <f>IF(tblProcRegister[[#This Row],[Award]]&lt;&gt;"",tblProcRegister[[#This Row],[Budget]]-tblProcRegister[[#This Row],[Award]],"")</f>
        <v/>
      </c>
      <c r="T205" s="68"/>
      <c r="U205" s="68"/>
      <c r="V205" s="68"/>
      <c r="W205" s="77" t="str">
        <f>IF(AB205="","",WORKDAY.INTL(AB205,Z205*-1,1,Holidays[Date]))</f>
        <v/>
      </c>
      <c r="X205" s="77" t="str">
        <f t="shared" ca="1" si="3"/>
        <v/>
      </c>
      <c r="Y205" s="78"/>
      <c r="Z205" s="79"/>
      <c r="AA205" s="68"/>
      <c r="AB205" s="77" t="str">
        <f>IF(AG205="","",WORKDAY.INTL(AG205,AE205*-1,1,Holidays[Date]))</f>
        <v/>
      </c>
      <c r="AC205" s="77" t="str">
        <f ca="1">IFERROR(IF(AD205="",WORKDAY.INTL(X205,AA205,1,Holidays[Date]),AD205),"")</f>
        <v/>
      </c>
      <c r="AD205" s="78"/>
      <c r="AE205" s="80"/>
      <c r="AF205" s="68"/>
      <c r="AG205" s="77" t="str">
        <f>IF(AL205="","",WORKDAY.INTL(AL205,AJ205*-1,1,Holidays[Date]))</f>
        <v/>
      </c>
      <c r="AH205" s="77" t="str">
        <f ca="1">IFERROR(IF(AI205="",WORKDAY.INTL(AC205,AF205,1,Holidays[Date]),AI205),"")</f>
        <v/>
      </c>
      <c r="AI205" s="78"/>
      <c r="AJ205" s="80"/>
      <c r="AK205" s="68"/>
      <c r="AL205" s="77" t="str">
        <f>IF(AQ205="","",WORKDAY.INTL(AQ205,AO205*-1,1,Holidays[Date]))</f>
        <v/>
      </c>
      <c r="AM205" s="77" t="str">
        <f ca="1">IFERROR(IF(AN205="",WORKDAY.INTL(AH205,AK205,1,Holidays[Date]),AN205),"")</f>
        <v/>
      </c>
      <c r="AN205" s="78"/>
      <c r="AO205" s="80"/>
      <c r="AP205" s="68"/>
      <c r="AQ205" s="77" t="str">
        <f>IF(AV205="","",WORKDAY.INTL(AV205,AT205*-1,1,Holidays[Date]))</f>
        <v/>
      </c>
      <c r="AR205" s="77" t="str">
        <f ca="1">IFERROR(IF(AS205="",WORKDAY.INTL(AM205,AP205,1,Holidays[Date]),AS205),"")</f>
        <v/>
      </c>
      <c r="AS205" s="78"/>
      <c r="AT205" s="80"/>
      <c r="AU205" s="68"/>
      <c r="AV205" s="77" t="str">
        <f>IF(BA205="","",WORKDAY.INTL(BA205,AY205*-1,1,Holidays[Date]))</f>
        <v/>
      </c>
      <c r="AW205" s="77" t="str">
        <f ca="1">IFERROR(IF(AX205="",WORKDAY.INTL(AR205,AU205,1,Holidays[Date]),AX205),"")</f>
        <v/>
      </c>
      <c r="AX205" s="78"/>
      <c r="AY205" s="80"/>
      <c r="AZ205" s="68"/>
      <c r="BA205" s="77" t="str">
        <f>IF(BF205="","",WORKDAY.INTL(BF205,BD205*-1,1,Holidays[Date]))</f>
        <v/>
      </c>
      <c r="BB205" s="77" t="str">
        <f ca="1">IFERROR(IF(BC205="",WORKDAY.INTL(AW205,AZ205,1,Holidays[Date]),BC205),"")</f>
        <v/>
      </c>
      <c r="BC205" s="78"/>
      <c r="BD205" s="80"/>
      <c r="BE205" s="68"/>
      <c r="BF205" s="77" t="str">
        <f>IF(BK205="","",WORKDAY.INTL(BK205,BI205*-1,1,Holidays[Date]))</f>
        <v/>
      </c>
      <c r="BG205" s="77" t="str">
        <f ca="1">IFERROR(IF(BH205="",WORKDAY.INTL(BB205,BE205,1,Holidays[Date]),BH205),"")</f>
        <v/>
      </c>
      <c r="BH205" s="78"/>
      <c r="BI205" s="80"/>
      <c r="BJ205" s="68"/>
      <c r="BK205" s="77" t="str">
        <f>IF(BP205="","",WORKDAY.INTL(BP205,BN205*-1,1,Holidays[Date]))</f>
        <v/>
      </c>
      <c r="BL205" s="77" t="str">
        <f ca="1">IFERROR(IF(BM205="",WORKDAY.INTL(BG205,BJ205,1,Holidays[Date]),BM205),"")</f>
        <v/>
      </c>
      <c r="BM205" s="78"/>
      <c r="BN205" s="80"/>
      <c r="BO205" s="68"/>
      <c r="BP205" s="77" t="str">
        <f>IF(BU205="","",WORKDAY.INTL(BU205,BS205*-1,1,Holidays[Date]))</f>
        <v/>
      </c>
      <c r="BQ205" s="77" t="str">
        <f ca="1">IFERROR(IF(BR205="",WORKDAY.INTL(BL205,BO205,1,Holidays[Date]),BR205),"")</f>
        <v/>
      </c>
      <c r="BR205" s="78"/>
      <c r="BS205" s="80"/>
      <c r="BT205" s="68"/>
      <c r="BU205" s="77" t="str">
        <f>IF(BZ205="","",WORKDAY.INTL(BZ205,BX205*-1,1,Holidays[Date]))</f>
        <v/>
      </c>
      <c r="BV205" s="77" t="str">
        <f ca="1">IFERROR(IF(BW205="",WORKDAY.INTL(BQ205,BT205,1,Holidays[Date]),BW205),"")</f>
        <v/>
      </c>
      <c r="BW205" s="78"/>
      <c r="BX205" s="80"/>
      <c r="BY205" s="68"/>
      <c r="BZ205" s="81"/>
      <c r="CA205" s="77" t="str">
        <f ca="1">IFERROR(IF(CB205="",WORKDAY.INTL(BV205,BY205,1,Holidays[Date]),CB205),"")</f>
        <v/>
      </c>
      <c r="CB205" s="78"/>
    </row>
    <row r="206" spans="1:80" ht="19" customHeight="1" x14ac:dyDescent="0.35">
      <c r="A206" s="31"/>
      <c r="B206" s="82"/>
      <c r="C206" s="1"/>
      <c r="D206" s="8"/>
      <c r="E206" s="8"/>
      <c r="F206" s="8"/>
      <c r="G206" s="8"/>
      <c r="H206" s="8"/>
      <c r="I206" s="9"/>
      <c r="J206" s="8"/>
      <c r="K206" s="8"/>
      <c r="L206" s="8"/>
      <c r="M206" s="8"/>
      <c r="N206" s="8"/>
      <c r="O206" s="8"/>
      <c r="P206" s="8"/>
      <c r="Q206" s="2"/>
      <c r="R206" s="2"/>
      <c r="S206" s="88" t="str">
        <f>IF(tblProcRegister[[#This Row],[Award]]&lt;&gt;"",tblProcRegister[[#This Row],[Budget]]-tblProcRegister[[#This Row],[Award]],"")</f>
        <v/>
      </c>
      <c r="T206" s="68"/>
      <c r="U206" s="68"/>
      <c r="V206" s="68"/>
      <c r="W206" s="77" t="str">
        <f>IF(AB206="","",WORKDAY.INTL(AB206,Z206*-1,1,Holidays[Date]))</f>
        <v/>
      </c>
      <c r="X206" s="77" t="str">
        <f t="shared" ca="1" si="3"/>
        <v/>
      </c>
      <c r="Y206" s="78"/>
      <c r="Z206" s="79"/>
      <c r="AA206" s="68"/>
      <c r="AB206" s="77" t="str">
        <f>IF(AG206="","",WORKDAY.INTL(AG206,AE206*-1,1,Holidays[Date]))</f>
        <v/>
      </c>
      <c r="AC206" s="77" t="str">
        <f ca="1">IFERROR(IF(AD206="",WORKDAY.INTL(X206,AA206,1,Holidays[Date]),AD206),"")</f>
        <v/>
      </c>
      <c r="AD206" s="78"/>
      <c r="AE206" s="80"/>
      <c r="AF206" s="68"/>
      <c r="AG206" s="77" t="str">
        <f>IF(AL206="","",WORKDAY.INTL(AL206,AJ206*-1,1,Holidays[Date]))</f>
        <v/>
      </c>
      <c r="AH206" s="77" t="str">
        <f ca="1">IFERROR(IF(AI206="",WORKDAY.INTL(AC206,AF206,1,Holidays[Date]),AI206),"")</f>
        <v/>
      </c>
      <c r="AI206" s="78"/>
      <c r="AJ206" s="80"/>
      <c r="AK206" s="68"/>
      <c r="AL206" s="77" t="str">
        <f>IF(AQ206="","",WORKDAY.INTL(AQ206,AO206*-1,1,Holidays[Date]))</f>
        <v/>
      </c>
      <c r="AM206" s="77" t="str">
        <f ca="1">IFERROR(IF(AN206="",WORKDAY.INTL(AH206,AK206,1,Holidays[Date]),AN206),"")</f>
        <v/>
      </c>
      <c r="AN206" s="78"/>
      <c r="AO206" s="80"/>
      <c r="AP206" s="68"/>
      <c r="AQ206" s="77" t="str">
        <f>IF(AV206="","",WORKDAY.INTL(AV206,AT206*-1,1,Holidays[Date]))</f>
        <v/>
      </c>
      <c r="AR206" s="77" t="str">
        <f ca="1">IFERROR(IF(AS206="",WORKDAY.INTL(AM206,AP206,1,Holidays[Date]),AS206),"")</f>
        <v/>
      </c>
      <c r="AS206" s="78"/>
      <c r="AT206" s="80"/>
      <c r="AU206" s="68"/>
      <c r="AV206" s="77" t="str">
        <f>IF(BA206="","",WORKDAY.INTL(BA206,AY206*-1,1,Holidays[Date]))</f>
        <v/>
      </c>
      <c r="AW206" s="77" t="str">
        <f ca="1">IFERROR(IF(AX206="",WORKDAY.INTL(AR206,AU206,1,Holidays[Date]),AX206),"")</f>
        <v/>
      </c>
      <c r="AX206" s="78"/>
      <c r="AY206" s="80"/>
      <c r="AZ206" s="68"/>
      <c r="BA206" s="77" t="str">
        <f>IF(BF206="","",WORKDAY.INTL(BF206,BD206*-1,1,Holidays[Date]))</f>
        <v/>
      </c>
      <c r="BB206" s="77" t="str">
        <f ca="1">IFERROR(IF(BC206="",WORKDAY.INTL(AW206,AZ206,1,Holidays[Date]),BC206),"")</f>
        <v/>
      </c>
      <c r="BC206" s="78"/>
      <c r="BD206" s="80"/>
      <c r="BE206" s="68"/>
      <c r="BF206" s="77" t="str">
        <f>IF(BK206="","",WORKDAY.INTL(BK206,BI206*-1,1,Holidays[Date]))</f>
        <v/>
      </c>
      <c r="BG206" s="77" t="str">
        <f ca="1">IFERROR(IF(BH206="",WORKDAY.INTL(BB206,BE206,1,Holidays[Date]),BH206),"")</f>
        <v/>
      </c>
      <c r="BH206" s="78"/>
      <c r="BI206" s="80"/>
      <c r="BJ206" s="68"/>
      <c r="BK206" s="77" t="str">
        <f>IF(BP206="","",WORKDAY.INTL(BP206,BN206*-1,1,Holidays[Date]))</f>
        <v/>
      </c>
      <c r="BL206" s="77" t="str">
        <f ca="1">IFERROR(IF(BM206="",WORKDAY.INTL(BG206,BJ206,1,Holidays[Date]),BM206),"")</f>
        <v/>
      </c>
      <c r="BM206" s="78"/>
      <c r="BN206" s="80"/>
      <c r="BO206" s="68"/>
      <c r="BP206" s="77" t="str">
        <f>IF(BU206="","",WORKDAY.INTL(BU206,BS206*-1,1,Holidays[Date]))</f>
        <v/>
      </c>
      <c r="BQ206" s="77" t="str">
        <f ca="1">IFERROR(IF(BR206="",WORKDAY.INTL(BL206,BO206,1,Holidays[Date]),BR206),"")</f>
        <v/>
      </c>
      <c r="BR206" s="78"/>
      <c r="BS206" s="80"/>
      <c r="BT206" s="68"/>
      <c r="BU206" s="77" t="str">
        <f>IF(BZ206="","",WORKDAY.INTL(BZ206,BX206*-1,1,Holidays[Date]))</f>
        <v/>
      </c>
      <c r="BV206" s="77" t="str">
        <f ca="1">IFERROR(IF(BW206="",WORKDAY.INTL(BQ206,BT206,1,Holidays[Date]),BW206),"")</f>
        <v/>
      </c>
      <c r="BW206" s="78"/>
      <c r="BX206" s="80"/>
      <c r="BY206" s="68"/>
      <c r="BZ206" s="81"/>
      <c r="CA206" s="77" t="str">
        <f ca="1">IFERROR(IF(CB206="",WORKDAY.INTL(BV206,BY206,1,Holidays[Date]),CB206),"")</f>
        <v/>
      </c>
      <c r="CB206" s="78"/>
    </row>
    <row r="207" spans="1:80" ht="19" customHeight="1" x14ac:dyDescent="0.35">
      <c r="A207" s="31"/>
      <c r="B207" s="82"/>
      <c r="C207" s="1"/>
      <c r="D207" s="8"/>
      <c r="E207" s="8"/>
      <c r="F207" s="8"/>
      <c r="G207" s="8"/>
      <c r="H207" s="8"/>
      <c r="I207" s="9"/>
      <c r="J207" s="8"/>
      <c r="K207" s="8"/>
      <c r="L207" s="8"/>
      <c r="M207" s="8"/>
      <c r="N207" s="8"/>
      <c r="O207" s="8"/>
      <c r="P207" s="8"/>
      <c r="Q207" s="2"/>
      <c r="R207" s="2"/>
      <c r="S207" s="88" t="str">
        <f>IF(tblProcRegister[[#This Row],[Award]]&lt;&gt;"",tblProcRegister[[#This Row],[Budget]]-tblProcRegister[[#This Row],[Award]],"")</f>
        <v/>
      </c>
      <c r="T207" s="68"/>
      <c r="U207" s="68"/>
      <c r="V207" s="68"/>
      <c r="W207" s="77" t="str">
        <f>IF(AB207="","",WORKDAY.INTL(AB207,Z207*-1,1,Holidays[Date]))</f>
        <v/>
      </c>
      <c r="X207" s="77" t="str">
        <f t="shared" ca="1" si="3"/>
        <v/>
      </c>
      <c r="Y207" s="78"/>
      <c r="Z207" s="79"/>
      <c r="AA207" s="68"/>
      <c r="AB207" s="77" t="str">
        <f>IF(AG207="","",WORKDAY.INTL(AG207,AE207*-1,1,Holidays[Date]))</f>
        <v/>
      </c>
      <c r="AC207" s="77" t="str">
        <f ca="1">IFERROR(IF(AD207="",WORKDAY.INTL(X207,AA207,1,Holidays[Date]),AD207),"")</f>
        <v/>
      </c>
      <c r="AD207" s="78"/>
      <c r="AE207" s="80"/>
      <c r="AF207" s="68"/>
      <c r="AG207" s="77" t="str">
        <f>IF(AL207="","",WORKDAY.INTL(AL207,AJ207*-1,1,Holidays[Date]))</f>
        <v/>
      </c>
      <c r="AH207" s="77" t="str">
        <f ca="1">IFERROR(IF(AI207="",WORKDAY.INTL(AC207,AF207,1,Holidays[Date]),AI207),"")</f>
        <v/>
      </c>
      <c r="AI207" s="78"/>
      <c r="AJ207" s="80"/>
      <c r="AK207" s="68"/>
      <c r="AL207" s="77" t="str">
        <f>IF(AQ207="","",WORKDAY.INTL(AQ207,AO207*-1,1,Holidays[Date]))</f>
        <v/>
      </c>
      <c r="AM207" s="77" t="str">
        <f ca="1">IFERROR(IF(AN207="",WORKDAY.INTL(AH207,AK207,1,Holidays[Date]),AN207),"")</f>
        <v/>
      </c>
      <c r="AN207" s="78"/>
      <c r="AO207" s="80"/>
      <c r="AP207" s="68"/>
      <c r="AQ207" s="77" t="str">
        <f>IF(AV207="","",WORKDAY.INTL(AV207,AT207*-1,1,Holidays[Date]))</f>
        <v/>
      </c>
      <c r="AR207" s="77" t="str">
        <f ca="1">IFERROR(IF(AS207="",WORKDAY.INTL(AM207,AP207,1,Holidays[Date]),AS207),"")</f>
        <v/>
      </c>
      <c r="AS207" s="78"/>
      <c r="AT207" s="80"/>
      <c r="AU207" s="68"/>
      <c r="AV207" s="77" t="str">
        <f>IF(BA207="","",WORKDAY.INTL(BA207,AY207*-1,1,Holidays[Date]))</f>
        <v/>
      </c>
      <c r="AW207" s="77" t="str">
        <f ca="1">IFERROR(IF(AX207="",WORKDAY.INTL(AR207,AU207,1,Holidays[Date]),AX207),"")</f>
        <v/>
      </c>
      <c r="AX207" s="78"/>
      <c r="AY207" s="80"/>
      <c r="AZ207" s="68"/>
      <c r="BA207" s="77" t="str">
        <f>IF(BF207="","",WORKDAY.INTL(BF207,BD207*-1,1,Holidays[Date]))</f>
        <v/>
      </c>
      <c r="BB207" s="77" t="str">
        <f ca="1">IFERROR(IF(BC207="",WORKDAY.INTL(AW207,AZ207,1,Holidays[Date]),BC207),"")</f>
        <v/>
      </c>
      <c r="BC207" s="78"/>
      <c r="BD207" s="80"/>
      <c r="BE207" s="68"/>
      <c r="BF207" s="77" t="str">
        <f>IF(BK207="","",WORKDAY.INTL(BK207,BI207*-1,1,Holidays[Date]))</f>
        <v/>
      </c>
      <c r="BG207" s="77" t="str">
        <f ca="1">IFERROR(IF(BH207="",WORKDAY.INTL(BB207,BE207,1,Holidays[Date]),BH207),"")</f>
        <v/>
      </c>
      <c r="BH207" s="78"/>
      <c r="BI207" s="80"/>
      <c r="BJ207" s="68"/>
      <c r="BK207" s="77" t="str">
        <f>IF(BP207="","",WORKDAY.INTL(BP207,BN207*-1,1,Holidays[Date]))</f>
        <v/>
      </c>
      <c r="BL207" s="77" t="str">
        <f ca="1">IFERROR(IF(BM207="",WORKDAY.INTL(BG207,BJ207,1,Holidays[Date]),BM207),"")</f>
        <v/>
      </c>
      <c r="BM207" s="78"/>
      <c r="BN207" s="80"/>
      <c r="BO207" s="68"/>
      <c r="BP207" s="77" t="str">
        <f>IF(BU207="","",WORKDAY.INTL(BU207,BS207*-1,1,Holidays[Date]))</f>
        <v/>
      </c>
      <c r="BQ207" s="77" t="str">
        <f ca="1">IFERROR(IF(BR207="",WORKDAY.INTL(BL207,BO207,1,Holidays[Date]),BR207),"")</f>
        <v/>
      </c>
      <c r="BR207" s="78"/>
      <c r="BS207" s="80"/>
      <c r="BT207" s="68"/>
      <c r="BU207" s="77" t="str">
        <f>IF(BZ207="","",WORKDAY.INTL(BZ207,BX207*-1,1,Holidays[Date]))</f>
        <v/>
      </c>
      <c r="BV207" s="77" t="str">
        <f ca="1">IFERROR(IF(BW207="",WORKDAY.INTL(BQ207,BT207,1,Holidays[Date]),BW207),"")</f>
        <v/>
      </c>
      <c r="BW207" s="78"/>
      <c r="BX207" s="80"/>
      <c r="BY207" s="68"/>
      <c r="BZ207" s="81"/>
      <c r="CA207" s="77" t="str">
        <f ca="1">IFERROR(IF(CB207="",WORKDAY.INTL(BV207,BY207,1,Holidays[Date]),CB207),"")</f>
        <v/>
      </c>
      <c r="CB207" s="78"/>
    </row>
    <row r="208" spans="1:80" ht="19" customHeight="1" x14ac:dyDescent="0.35">
      <c r="A208" s="31"/>
      <c r="B208" s="82"/>
      <c r="C208" s="1"/>
      <c r="D208" s="8"/>
      <c r="E208" s="8"/>
      <c r="F208" s="8"/>
      <c r="G208" s="8"/>
      <c r="H208" s="8"/>
      <c r="I208" s="9"/>
      <c r="J208" s="8"/>
      <c r="K208" s="8"/>
      <c r="L208" s="8"/>
      <c r="M208" s="8"/>
      <c r="N208" s="8"/>
      <c r="O208" s="8"/>
      <c r="P208" s="8"/>
      <c r="Q208" s="2"/>
      <c r="R208" s="2"/>
      <c r="S208" s="88" t="str">
        <f>IF(tblProcRegister[[#This Row],[Award]]&lt;&gt;"",tblProcRegister[[#This Row],[Budget]]-tblProcRegister[[#This Row],[Award]],"")</f>
        <v/>
      </c>
      <c r="T208" s="68"/>
      <c r="U208" s="68"/>
      <c r="V208" s="68"/>
      <c r="W208" s="77" t="str">
        <f>IF(AB208="","",WORKDAY.INTL(AB208,Z208*-1,1,Holidays[Date]))</f>
        <v/>
      </c>
      <c r="X208" s="77" t="str">
        <f t="shared" ca="1" si="3"/>
        <v/>
      </c>
      <c r="Y208" s="78"/>
      <c r="Z208" s="79"/>
      <c r="AA208" s="68"/>
      <c r="AB208" s="77" t="str">
        <f>IF(AG208="","",WORKDAY.INTL(AG208,AE208*-1,1,Holidays[Date]))</f>
        <v/>
      </c>
      <c r="AC208" s="77" t="str">
        <f ca="1">IFERROR(IF(AD208="",WORKDAY.INTL(X208,AA208,1,Holidays[Date]),AD208),"")</f>
        <v/>
      </c>
      <c r="AD208" s="78"/>
      <c r="AE208" s="80"/>
      <c r="AF208" s="68"/>
      <c r="AG208" s="77" t="str">
        <f>IF(AL208="","",WORKDAY.INTL(AL208,AJ208*-1,1,Holidays[Date]))</f>
        <v/>
      </c>
      <c r="AH208" s="77" t="str">
        <f ca="1">IFERROR(IF(AI208="",WORKDAY.INTL(AC208,AF208,1,Holidays[Date]),AI208),"")</f>
        <v/>
      </c>
      <c r="AI208" s="78"/>
      <c r="AJ208" s="80"/>
      <c r="AK208" s="68"/>
      <c r="AL208" s="77" t="str">
        <f>IF(AQ208="","",WORKDAY.INTL(AQ208,AO208*-1,1,Holidays[Date]))</f>
        <v/>
      </c>
      <c r="AM208" s="77" t="str">
        <f ca="1">IFERROR(IF(AN208="",WORKDAY.INTL(AH208,AK208,1,Holidays[Date]),AN208),"")</f>
        <v/>
      </c>
      <c r="AN208" s="78"/>
      <c r="AO208" s="80"/>
      <c r="AP208" s="68"/>
      <c r="AQ208" s="77" t="str">
        <f>IF(AV208="","",WORKDAY.INTL(AV208,AT208*-1,1,Holidays[Date]))</f>
        <v/>
      </c>
      <c r="AR208" s="77" t="str">
        <f ca="1">IFERROR(IF(AS208="",WORKDAY.INTL(AM208,AP208,1,Holidays[Date]),AS208),"")</f>
        <v/>
      </c>
      <c r="AS208" s="78"/>
      <c r="AT208" s="80"/>
      <c r="AU208" s="68"/>
      <c r="AV208" s="77" t="str">
        <f>IF(BA208="","",WORKDAY.INTL(BA208,AY208*-1,1,Holidays[Date]))</f>
        <v/>
      </c>
      <c r="AW208" s="77" t="str">
        <f ca="1">IFERROR(IF(AX208="",WORKDAY.INTL(AR208,AU208,1,Holidays[Date]),AX208),"")</f>
        <v/>
      </c>
      <c r="AX208" s="78"/>
      <c r="AY208" s="80"/>
      <c r="AZ208" s="68"/>
      <c r="BA208" s="77" t="str">
        <f>IF(BF208="","",WORKDAY.INTL(BF208,BD208*-1,1,Holidays[Date]))</f>
        <v/>
      </c>
      <c r="BB208" s="77" t="str">
        <f ca="1">IFERROR(IF(BC208="",WORKDAY.INTL(AW208,AZ208,1,Holidays[Date]),BC208),"")</f>
        <v/>
      </c>
      <c r="BC208" s="78"/>
      <c r="BD208" s="80"/>
      <c r="BE208" s="68"/>
      <c r="BF208" s="77" t="str">
        <f>IF(BK208="","",WORKDAY.INTL(BK208,BI208*-1,1,Holidays[Date]))</f>
        <v/>
      </c>
      <c r="BG208" s="77" t="str">
        <f ca="1">IFERROR(IF(BH208="",WORKDAY.INTL(BB208,BE208,1,Holidays[Date]),BH208),"")</f>
        <v/>
      </c>
      <c r="BH208" s="78"/>
      <c r="BI208" s="80"/>
      <c r="BJ208" s="68"/>
      <c r="BK208" s="77" t="str">
        <f>IF(BP208="","",WORKDAY.INTL(BP208,BN208*-1,1,Holidays[Date]))</f>
        <v/>
      </c>
      <c r="BL208" s="77" t="str">
        <f ca="1">IFERROR(IF(BM208="",WORKDAY.INTL(BG208,BJ208,1,Holidays[Date]),BM208),"")</f>
        <v/>
      </c>
      <c r="BM208" s="78"/>
      <c r="BN208" s="80"/>
      <c r="BO208" s="68"/>
      <c r="BP208" s="77" t="str">
        <f>IF(BU208="","",WORKDAY.INTL(BU208,BS208*-1,1,Holidays[Date]))</f>
        <v/>
      </c>
      <c r="BQ208" s="77" t="str">
        <f ca="1">IFERROR(IF(BR208="",WORKDAY.INTL(BL208,BO208,1,Holidays[Date]),BR208),"")</f>
        <v/>
      </c>
      <c r="BR208" s="78"/>
      <c r="BS208" s="80"/>
      <c r="BT208" s="68"/>
      <c r="BU208" s="77" t="str">
        <f>IF(BZ208="","",WORKDAY.INTL(BZ208,BX208*-1,1,Holidays[Date]))</f>
        <v/>
      </c>
      <c r="BV208" s="77" t="str">
        <f ca="1">IFERROR(IF(BW208="",WORKDAY.INTL(BQ208,BT208,1,Holidays[Date]),BW208),"")</f>
        <v/>
      </c>
      <c r="BW208" s="78"/>
      <c r="BX208" s="80"/>
      <c r="BY208" s="68"/>
      <c r="BZ208" s="81"/>
      <c r="CA208" s="77" t="str">
        <f ca="1">IFERROR(IF(CB208="",WORKDAY.INTL(BV208,BY208,1,Holidays[Date]),CB208),"")</f>
        <v/>
      </c>
      <c r="CB208" s="78"/>
    </row>
    <row r="209" spans="1:80" ht="19" customHeight="1" x14ac:dyDescent="0.35">
      <c r="A209" s="31"/>
      <c r="B209" s="82"/>
      <c r="C209" s="1"/>
      <c r="D209" s="8"/>
      <c r="E209" s="8"/>
      <c r="F209" s="8"/>
      <c r="G209" s="8"/>
      <c r="H209" s="8"/>
      <c r="I209" s="9"/>
      <c r="J209" s="8"/>
      <c r="K209" s="8"/>
      <c r="L209" s="8"/>
      <c r="M209" s="8"/>
      <c r="N209" s="8"/>
      <c r="O209" s="8"/>
      <c r="P209" s="8"/>
      <c r="Q209" s="2"/>
      <c r="R209" s="2"/>
      <c r="S209" s="88" t="str">
        <f>IF(tblProcRegister[[#This Row],[Award]]&lt;&gt;"",tblProcRegister[[#This Row],[Budget]]-tblProcRegister[[#This Row],[Award]],"")</f>
        <v/>
      </c>
      <c r="T209" s="68"/>
      <c r="U209" s="68"/>
      <c r="V209" s="68"/>
      <c r="W209" s="77" t="str">
        <f>IF(AB209="","",WORKDAY.INTL(AB209,Z209*-1,1,Holidays[Date]))</f>
        <v/>
      </c>
      <c r="X209" s="77" t="str">
        <f t="shared" ca="1" si="3"/>
        <v/>
      </c>
      <c r="Y209" s="78"/>
      <c r="Z209" s="79"/>
      <c r="AA209" s="68"/>
      <c r="AB209" s="77" t="str">
        <f>IF(AG209="","",WORKDAY.INTL(AG209,AE209*-1,1,Holidays[Date]))</f>
        <v/>
      </c>
      <c r="AC209" s="77" t="str">
        <f ca="1">IFERROR(IF(AD209="",WORKDAY.INTL(X209,AA209,1,Holidays[Date]),AD209),"")</f>
        <v/>
      </c>
      <c r="AD209" s="78"/>
      <c r="AE209" s="80"/>
      <c r="AF209" s="68"/>
      <c r="AG209" s="77" t="str">
        <f>IF(AL209="","",WORKDAY.INTL(AL209,AJ209*-1,1,Holidays[Date]))</f>
        <v/>
      </c>
      <c r="AH209" s="77" t="str">
        <f ca="1">IFERROR(IF(AI209="",WORKDAY.INTL(AC209,AF209,1,Holidays[Date]),AI209),"")</f>
        <v/>
      </c>
      <c r="AI209" s="78"/>
      <c r="AJ209" s="80"/>
      <c r="AK209" s="68"/>
      <c r="AL209" s="77" t="str">
        <f>IF(AQ209="","",WORKDAY.INTL(AQ209,AO209*-1,1,Holidays[Date]))</f>
        <v/>
      </c>
      <c r="AM209" s="77" t="str">
        <f ca="1">IFERROR(IF(AN209="",WORKDAY.INTL(AH209,AK209,1,Holidays[Date]),AN209),"")</f>
        <v/>
      </c>
      <c r="AN209" s="78"/>
      <c r="AO209" s="80"/>
      <c r="AP209" s="68"/>
      <c r="AQ209" s="77" t="str">
        <f>IF(AV209="","",WORKDAY.INTL(AV209,AT209*-1,1,Holidays[Date]))</f>
        <v/>
      </c>
      <c r="AR209" s="77" t="str">
        <f ca="1">IFERROR(IF(AS209="",WORKDAY.INTL(AM209,AP209,1,Holidays[Date]),AS209),"")</f>
        <v/>
      </c>
      <c r="AS209" s="78"/>
      <c r="AT209" s="80"/>
      <c r="AU209" s="68"/>
      <c r="AV209" s="77" t="str">
        <f>IF(BA209="","",WORKDAY.INTL(BA209,AY209*-1,1,Holidays[Date]))</f>
        <v/>
      </c>
      <c r="AW209" s="77" t="str">
        <f ca="1">IFERROR(IF(AX209="",WORKDAY.INTL(AR209,AU209,1,Holidays[Date]),AX209),"")</f>
        <v/>
      </c>
      <c r="AX209" s="78"/>
      <c r="AY209" s="80"/>
      <c r="AZ209" s="68"/>
      <c r="BA209" s="77" t="str">
        <f>IF(BF209="","",WORKDAY.INTL(BF209,BD209*-1,1,Holidays[Date]))</f>
        <v/>
      </c>
      <c r="BB209" s="77" t="str">
        <f ca="1">IFERROR(IF(BC209="",WORKDAY.INTL(AW209,AZ209,1,Holidays[Date]),BC209),"")</f>
        <v/>
      </c>
      <c r="BC209" s="78"/>
      <c r="BD209" s="80"/>
      <c r="BE209" s="68"/>
      <c r="BF209" s="77" t="str">
        <f>IF(BK209="","",WORKDAY.INTL(BK209,BI209*-1,1,Holidays[Date]))</f>
        <v/>
      </c>
      <c r="BG209" s="77" t="str">
        <f ca="1">IFERROR(IF(BH209="",WORKDAY.INTL(BB209,BE209,1,Holidays[Date]),BH209),"")</f>
        <v/>
      </c>
      <c r="BH209" s="78"/>
      <c r="BI209" s="80"/>
      <c r="BJ209" s="68"/>
      <c r="BK209" s="77" t="str">
        <f>IF(BP209="","",WORKDAY.INTL(BP209,BN209*-1,1,Holidays[Date]))</f>
        <v/>
      </c>
      <c r="BL209" s="77" t="str">
        <f ca="1">IFERROR(IF(BM209="",WORKDAY.INTL(BG209,BJ209,1,Holidays[Date]),BM209),"")</f>
        <v/>
      </c>
      <c r="BM209" s="78"/>
      <c r="BN209" s="80"/>
      <c r="BO209" s="68"/>
      <c r="BP209" s="77" t="str">
        <f>IF(BU209="","",WORKDAY.INTL(BU209,BS209*-1,1,Holidays[Date]))</f>
        <v/>
      </c>
      <c r="BQ209" s="77" t="str">
        <f ca="1">IFERROR(IF(BR209="",WORKDAY.INTL(BL209,BO209,1,Holidays[Date]),BR209),"")</f>
        <v/>
      </c>
      <c r="BR209" s="78"/>
      <c r="BS209" s="80"/>
      <c r="BT209" s="68"/>
      <c r="BU209" s="77" t="str">
        <f>IF(BZ209="","",WORKDAY.INTL(BZ209,BX209*-1,1,Holidays[Date]))</f>
        <v/>
      </c>
      <c r="BV209" s="77" t="str">
        <f ca="1">IFERROR(IF(BW209="",WORKDAY.INTL(BQ209,BT209,1,Holidays[Date]),BW209),"")</f>
        <v/>
      </c>
      <c r="BW209" s="78"/>
      <c r="BX209" s="80"/>
      <c r="BY209" s="68"/>
      <c r="BZ209" s="81"/>
      <c r="CA209" s="77" t="str">
        <f ca="1">IFERROR(IF(CB209="",WORKDAY.INTL(BV209,BY209,1,Holidays[Date]),CB209),"")</f>
        <v/>
      </c>
      <c r="CB209" s="78"/>
    </row>
    <row r="210" spans="1:80" ht="19" customHeight="1" x14ac:dyDescent="0.35">
      <c r="A210" s="31"/>
      <c r="B210" s="82"/>
      <c r="C210" s="1"/>
      <c r="D210" s="8"/>
      <c r="E210" s="8"/>
      <c r="F210" s="8"/>
      <c r="G210" s="8"/>
      <c r="H210" s="8"/>
      <c r="I210" s="9"/>
      <c r="J210" s="8"/>
      <c r="K210" s="8"/>
      <c r="L210" s="8"/>
      <c r="M210" s="8"/>
      <c r="N210" s="8"/>
      <c r="O210" s="8"/>
      <c r="P210" s="8"/>
      <c r="Q210" s="2"/>
      <c r="R210" s="2"/>
      <c r="S210" s="88" t="str">
        <f>IF(tblProcRegister[[#This Row],[Award]]&lt;&gt;"",tblProcRegister[[#This Row],[Budget]]-tblProcRegister[[#This Row],[Award]],"")</f>
        <v/>
      </c>
      <c r="T210" s="68"/>
      <c r="U210" s="68"/>
      <c r="V210" s="68"/>
      <c r="W210" s="77" t="str">
        <f>IF(AB210="","",WORKDAY.INTL(AB210,Z210*-1,1,Holidays[Date]))</f>
        <v/>
      </c>
      <c r="X210" s="77" t="str">
        <f t="shared" ca="1" si="3"/>
        <v/>
      </c>
      <c r="Y210" s="78"/>
      <c r="Z210" s="79"/>
      <c r="AA210" s="68"/>
      <c r="AB210" s="77" t="str">
        <f>IF(AG210="","",WORKDAY.INTL(AG210,AE210*-1,1,Holidays[Date]))</f>
        <v/>
      </c>
      <c r="AC210" s="77" t="str">
        <f ca="1">IFERROR(IF(AD210="",WORKDAY.INTL(X210,AA210,1,Holidays[Date]),AD210),"")</f>
        <v/>
      </c>
      <c r="AD210" s="78"/>
      <c r="AE210" s="80"/>
      <c r="AF210" s="68"/>
      <c r="AG210" s="77" t="str">
        <f>IF(AL210="","",WORKDAY.INTL(AL210,AJ210*-1,1,Holidays[Date]))</f>
        <v/>
      </c>
      <c r="AH210" s="77" t="str">
        <f ca="1">IFERROR(IF(AI210="",WORKDAY.INTL(AC210,AF210,1,Holidays[Date]),AI210),"")</f>
        <v/>
      </c>
      <c r="AI210" s="78"/>
      <c r="AJ210" s="80"/>
      <c r="AK210" s="68"/>
      <c r="AL210" s="77" t="str">
        <f>IF(AQ210="","",WORKDAY.INTL(AQ210,AO210*-1,1,Holidays[Date]))</f>
        <v/>
      </c>
      <c r="AM210" s="77" t="str">
        <f ca="1">IFERROR(IF(AN210="",WORKDAY.INTL(AH210,AK210,1,Holidays[Date]),AN210),"")</f>
        <v/>
      </c>
      <c r="AN210" s="78"/>
      <c r="AO210" s="80"/>
      <c r="AP210" s="68"/>
      <c r="AQ210" s="77" t="str">
        <f>IF(AV210="","",WORKDAY.INTL(AV210,AT210*-1,1,Holidays[Date]))</f>
        <v/>
      </c>
      <c r="AR210" s="77" t="str">
        <f ca="1">IFERROR(IF(AS210="",WORKDAY.INTL(AM210,AP210,1,Holidays[Date]),AS210),"")</f>
        <v/>
      </c>
      <c r="AS210" s="78"/>
      <c r="AT210" s="80"/>
      <c r="AU210" s="68"/>
      <c r="AV210" s="77" t="str">
        <f>IF(BA210="","",WORKDAY.INTL(BA210,AY210*-1,1,Holidays[Date]))</f>
        <v/>
      </c>
      <c r="AW210" s="77" t="str">
        <f ca="1">IFERROR(IF(AX210="",WORKDAY.INTL(AR210,AU210,1,Holidays[Date]),AX210),"")</f>
        <v/>
      </c>
      <c r="AX210" s="78"/>
      <c r="AY210" s="80"/>
      <c r="AZ210" s="68"/>
      <c r="BA210" s="77" t="str">
        <f>IF(BF210="","",WORKDAY.INTL(BF210,BD210*-1,1,Holidays[Date]))</f>
        <v/>
      </c>
      <c r="BB210" s="77" t="str">
        <f ca="1">IFERROR(IF(BC210="",WORKDAY.INTL(AW210,AZ210,1,Holidays[Date]),BC210),"")</f>
        <v/>
      </c>
      <c r="BC210" s="78"/>
      <c r="BD210" s="80"/>
      <c r="BE210" s="68"/>
      <c r="BF210" s="77" t="str">
        <f>IF(BK210="","",WORKDAY.INTL(BK210,BI210*-1,1,Holidays[Date]))</f>
        <v/>
      </c>
      <c r="BG210" s="77" t="str">
        <f ca="1">IFERROR(IF(BH210="",WORKDAY.INTL(BB210,BE210,1,Holidays[Date]),BH210),"")</f>
        <v/>
      </c>
      <c r="BH210" s="78"/>
      <c r="BI210" s="80"/>
      <c r="BJ210" s="68"/>
      <c r="BK210" s="77" t="str">
        <f>IF(BP210="","",WORKDAY.INTL(BP210,BN210*-1,1,Holidays[Date]))</f>
        <v/>
      </c>
      <c r="BL210" s="77" t="str">
        <f ca="1">IFERROR(IF(BM210="",WORKDAY.INTL(BG210,BJ210,1,Holidays[Date]),BM210),"")</f>
        <v/>
      </c>
      <c r="BM210" s="78"/>
      <c r="BN210" s="80"/>
      <c r="BO210" s="68"/>
      <c r="BP210" s="77" t="str">
        <f>IF(BU210="","",WORKDAY.INTL(BU210,BS210*-1,1,Holidays[Date]))</f>
        <v/>
      </c>
      <c r="BQ210" s="77" t="str">
        <f ca="1">IFERROR(IF(BR210="",WORKDAY.INTL(BL210,BO210,1,Holidays[Date]),BR210),"")</f>
        <v/>
      </c>
      <c r="BR210" s="78"/>
      <c r="BS210" s="80"/>
      <c r="BT210" s="68"/>
      <c r="BU210" s="77" t="str">
        <f>IF(BZ210="","",WORKDAY.INTL(BZ210,BX210*-1,1,Holidays[Date]))</f>
        <v/>
      </c>
      <c r="BV210" s="77" t="str">
        <f ca="1">IFERROR(IF(BW210="",WORKDAY.INTL(BQ210,BT210,1,Holidays[Date]),BW210),"")</f>
        <v/>
      </c>
      <c r="BW210" s="78"/>
      <c r="BX210" s="80"/>
      <c r="BY210" s="68"/>
      <c r="BZ210" s="81"/>
      <c r="CA210" s="77" t="str">
        <f ca="1">IFERROR(IF(CB210="",WORKDAY.INTL(BV210,BY210,1,Holidays[Date]),CB210),"")</f>
        <v/>
      </c>
      <c r="CB210" s="78"/>
    </row>
    <row r="211" spans="1:80" ht="19" customHeight="1" x14ac:dyDescent="0.35">
      <c r="A211" s="31"/>
      <c r="B211" s="82"/>
      <c r="C211" s="1"/>
      <c r="D211" s="8"/>
      <c r="E211" s="8"/>
      <c r="F211" s="8"/>
      <c r="G211" s="8"/>
      <c r="H211" s="8"/>
      <c r="I211" s="9"/>
      <c r="J211" s="8"/>
      <c r="K211" s="8"/>
      <c r="L211" s="8"/>
      <c r="M211" s="8"/>
      <c r="N211" s="8"/>
      <c r="O211" s="8"/>
      <c r="P211" s="8"/>
      <c r="Q211" s="2"/>
      <c r="R211" s="2"/>
      <c r="S211" s="88" t="str">
        <f>IF(tblProcRegister[[#This Row],[Award]]&lt;&gt;"",tblProcRegister[[#This Row],[Budget]]-tblProcRegister[[#This Row],[Award]],"")</f>
        <v/>
      </c>
      <c r="T211" s="68"/>
      <c r="U211" s="68"/>
      <c r="V211" s="68"/>
      <c r="W211" s="77" t="str">
        <f>IF(AB211="","",WORKDAY.INTL(AB211,Z211*-1,1,Holidays[Date]))</f>
        <v/>
      </c>
      <c r="X211" s="77" t="str">
        <f t="shared" ca="1" si="3"/>
        <v/>
      </c>
      <c r="Y211" s="78"/>
      <c r="Z211" s="79"/>
      <c r="AA211" s="68"/>
      <c r="AB211" s="77" t="str">
        <f>IF(AG211="","",WORKDAY.INTL(AG211,AE211*-1,1,Holidays[Date]))</f>
        <v/>
      </c>
      <c r="AC211" s="77" t="str">
        <f ca="1">IFERROR(IF(AD211="",WORKDAY.INTL(X211,AA211,1,Holidays[Date]),AD211),"")</f>
        <v/>
      </c>
      <c r="AD211" s="78"/>
      <c r="AE211" s="80"/>
      <c r="AF211" s="68"/>
      <c r="AG211" s="77" t="str">
        <f>IF(AL211="","",WORKDAY.INTL(AL211,AJ211*-1,1,Holidays[Date]))</f>
        <v/>
      </c>
      <c r="AH211" s="77" t="str">
        <f ca="1">IFERROR(IF(AI211="",WORKDAY.INTL(AC211,AF211,1,Holidays[Date]),AI211),"")</f>
        <v/>
      </c>
      <c r="AI211" s="78"/>
      <c r="AJ211" s="80"/>
      <c r="AK211" s="68"/>
      <c r="AL211" s="77" t="str">
        <f>IF(AQ211="","",WORKDAY.INTL(AQ211,AO211*-1,1,Holidays[Date]))</f>
        <v/>
      </c>
      <c r="AM211" s="77" t="str">
        <f ca="1">IFERROR(IF(AN211="",WORKDAY.INTL(AH211,AK211,1,Holidays[Date]),AN211),"")</f>
        <v/>
      </c>
      <c r="AN211" s="78"/>
      <c r="AO211" s="80"/>
      <c r="AP211" s="68"/>
      <c r="AQ211" s="77" t="str">
        <f>IF(AV211="","",WORKDAY.INTL(AV211,AT211*-1,1,Holidays[Date]))</f>
        <v/>
      </c>
      <c r="AR211" s="77" t="str">
        <f ca="1">IFERROR(IF(AS211="",WORKDAY.INTL(AM211,AP211,1,Holidays[Date]),AS211),"")</f>
        <v/>
      </c>
      <c r="AS211" s="78"/>
      <c r="AT211" s="80"/>
      <c r="AU211" s="68"/>
      <c r="AV211" s="77" t="str">
        <f>IF(BA211="","",WORKDAY.INTL(BA211,AY211*-1,1,Holidays[Date]))</f>
        <v/>
      </c>
      <c r="AW211" s="77" t="str">
        <f ca="1">IFERROR(IF(AX211="",WORKDAY.INTL(AR211,AU211,1,Holidays[Date]),AX211),"")</f>
        <v/>
      </c>
      <c r="AX211" s="78"/>
      <c r="AY211" s="80"/>
      <c r="AZ211" s="68"/>
      <c r="BA211" s="77" t="str">
        <f>IF(BF211="","",WORKDAY.INTL(BF211,BD211*-1,1,Holidays[Date]))</f>
        <v/>
      </c>
      <c r="BB211" s="77" t="str">
        <f ca="1">IFERROR(IF(BC211="",WORKDAY.INTL(AW211,AZ211,1,Holidays[Date]),BC211),"")</f>
        <v/>
      </c>
      <c r="BC211" s="78"/>
      <c r="BD211" s="80"/>
      <c r="BE211" s="68"/>
      <c r="BF211" s="77" t="str">
        <f>IF(BK211="","",WORKDAY.INTL(BK211,BI211*-1,1,Holidays[Date]))</f>
        <v/>
      </c>
      <c r="BG211" s="77" t="str">
        <f ca="1">IFERROR(IF(BH211="",WORKDAY.INTL(BB211,BE211,1,Holidays[Date]),BH211),"")</f>
        <v/>
      </c>
      <c r="BH211" s="78"/>
      <c r="BI211" s="80"/>
      <c r="BJ211" s="68"/>
      <c r="BK211" s="77" t="str">
        <f>IF(BP211="","",WORKDAY.INTL(BP211,BN211*-1,1,Holidays[Date]))</f>
        <v/>
      </c>
      <c r="BL211" s="77" t="str">
        <f ca="1">IFERROR(IF(BM211="",WORKDAY.INTL(BG211,BJ211,1,Holidays[Date]),BM211),"")</f>
        <v/>
      </c>
      <c r="BM211" s="78"/>
      <c r="BN211" s="80"/>
      <c r="BO211" s="68"/>
      <c r="BP211" s="77" t="str">
        <f>IF(BU211="","",WORKDAY.INTL(BU211,BS211*-1,1,Holidays[Date]))</f>
        <v/>
      </c>
      <c r="BQ211" s="77" t="str">
        <f ca="1">IFERROR(IF(BR211="",WORKDAY.INTL(BL211,BO211,1,Holidays[Date]),BR211),"")</f>
        <v/>
      </c>
      <c r="BR211" s="78"/>
      <c r="BS211" s="80"/>
      <c r="BT211" s="68"/>
      <c r="BU211" s="77" t="str">
        <f>IF(BZ211="","",WORKDAY.INTL(BZ211,BX211*-1,1,Holidays[Date]))</f>
        <v/>
      </c>
      <c r="BV211" s="77" t="str">
        <f ca="1">IFERROR(IF(BW211="",WORKDAY.INTL(BQ211,BT211,1,Holidays[Date]),BW211),"")</f>
        <v/>
      </c>
      <c r="BW211" s="78"/>
      <c r="BX211" s="80"/>
      <c r="BY211" s="68"/>
      <c r="BZ211" s="81"/>
      <c r="CA211" s="77" t="str">
        <f ca="1">IFERROR(IF(CB211="",WORKDAY.INTL(BV211,BY211,1,Holidays[Date]),CB211),"")</f>
        <v/>
      </c>
      <c r="CB211" s="78"/>
    </row>
    <row r="212" spans="1:80" ht="19" customHeight="1" x14ac:dyDescent="0.35">
      <c r="A212" s="31"/>
      <c r="B212" s="82"/>
      <c r="C212" s="1"/>
      <c r="D212" s="8"/>
      <c r="E212" s="8"/>
      <c r="F212" s="8"/>
      <c r="G212" s="8"/>
      <c r="H212" s="8"/>
      <c r="I212" s="9"/>
      <c r="J212" s="8"/>
      <c r="K212" s="8"/>
      <c r="L212" s="8"/>
      <c r="M212" s="8"/>
      <c r="N212" s="8"/>
      <c r="O212" s="8"/>
      <c r="P212" s="8"/>
      <c r="Q212" s="2"/>
      <c r="R212" s="2"/>
      <c r="S212" s="88" t="str">
        <f>IF(tblProcRegister[[#This Row],[Award]]&lt;&gt;"",tblProcRegister[[#This Row],[Budget]]-tblProcRegister[[#This Row],[Award]],"")</f>
        <v/>
      </c>
      <c r="T212" s="68"/>
      <c r="U212" s="68"/>
      <c r="V212" s="68"/>
      <c r="W212" s="77" t="str">
        <f>IF(AB212="","",WORKDAY.INTL(AB212,Z212*-1,1,Holidays[Date]))</f>
        <v/>
      </c>
      <c r="X212" s="77" t="str">
        <f t="shared" ca="1" si="3"/>
        <v/>
      </c>
      <c r="Y212" s="78"/>
      <c r="Z212" s="79"/>
      <c r="AA212" s="68"/>
      <c r="AB212" s="77" t="str">
        <f>IF(AG212="","",WORKDAY.INTL(AG212,AE212*-1,1,Holidays[Date]))</f>
        <v/>
      </c>
      <c r="AC212" s="77" t="str">
        <f ca="1">IFERROR(IF(AD212="",WORKDAY.INTL(X212,AA212,1,Holidays[Date]),AD212),"")</f>
        <v/>
      </c>
      <c r="AD212" s="78"/>
      <c r="AE212" s="80"/>
      <c r="AF212" s="68"/>
      <c r="AG212" s="77" t="str">
        <f>IF(AL212="","",WORKDAY.INTL(AL212,AJ212*-1,1,Holidays[Date]))</f>
        <v/>
      </c>
      <c r="AH212" s="77" t="str">
        <f ca="1">IFERROR(IF(AI212="",WORKDAY.INTL(AC212,AF212,1,Holidays[Date]),AI212),"")</f>
        <v/>
      </c>
      <c r="AI212" s="78"/>
      <c r="AJ212" s="80"/>
      <c r="AK212" s="68"/>
      <c r="AL212" s="77" t="str">
        <f>IF(AQ212="","",WORKDAY.INTL(AQ212,AO212*-1,1,Holidays[Date]))</f>
        <v/>
      </c>
      <c r="AM212" s="77" t="str">
        <f ca="1">IFERROR(IF(AN212="",WORKDAY.INTL(AH212,AK212,1,Holidays[Date]),AN212),"")</f>
        <v/>
      </c>
      <c r="AN212" s="78"/>
      <c r="AO212" s="80"/>
      <c r="AP212" s="68"/>
      <c r="AQ212" s="77" t="str">
        <f>IF(AV212="","",WORKDAY.INTL(AV212,AT212*-1,1,Holidays[Date]))</f>
        <v/>
      </c>
      <c r="AR212" s="77" t="str">
        <f ca="1">IFERROR(IF(AS212="",WORKDAY.INTL(AM212,AP212,1,Holidays[Date]),AS212),"")</f>
        <v/>
      </c>
      <c r="AS212" s="78"/>
      <c r="AT212" s="80"/>
      <c r="AU212" s="68"/>
      <c r="AV212" s="77" t="str">
        <f>IF(BA212="","",WORKDAY.INTL(BA212,AY212*-1,1,Holidays[Date]))</f>
        <v/>
      </c>
      <c r="AW212" s="77" t="str">
        <f ca="1">IFERROR(IF(AX212="",WORKDAY.INTL(AR212,AU212,1,Holidays[Date]),AX212),"")</f>
        <v/>
      </c>
      <c r="AX212" s="78"/>
      <c r="AY212" s="80"/>
      <c r="AZ212" s="68"/>
      <c r="BA212" s="77" t="str">
        <f>IF(BF212="","",WORKDAY.INTL(BF212,BD212*-1,1,Holidays[Date]))</f>
        <v/>
      </c>
      <c r="BB212" s="77" t="str">
        <f ca="1">IFERROR(IF(BC212="",WORKDAY.INTL(AW212,AZ212,1,Holidays[Date]),BC212),"")</f>
        <v/>
      </c>
      <c r="BC212" s="78"/>
      <c r="BD212" s="80"/>
      <c r="BE212" s="68"/>
      <c r="BF212" s="77" t="str">
        <f>IF(BK212="","",WORKDAY.INTL(BK212,BI212*-1,1,Holidays[Date]))</f>
        <v/>
      </c>
      <c r="BG212" s="77" t="str">
        <f ca="1">IFERROR(IF(BH212="",WORKDAY.INTL(BB212,BE212,1,Holidays[Date]),BH212),"")</f>
        <v/>
      </c>
      <c r="BH212" s="78"/>
      <c r="BI212" s="80"/>
      <c r="BJ212" s="68"/>
      <c r="BK212" s="77" t="str">
        <f>IF(BP212="","",WORKDAY.INTL(BP212,BN212*-1,1,Holidays[Date]))</f>
        <v/>
      </c>
      <c r="BL212" s="77" t="str">
        <f ca="1">IFERROR(IF(BM212="",WORKDAY.INTL(BG212,BJ212,1,Holidays[Date]),BM212),"")</f>
        <v/>
      </c>
      <c r="BM212" s="78"/>
      <c r="BN212" s="80"/>
      <c r="BO212" s="68"/>
      <c r="BP212" s="77" t="str">
        <f>IF(BU212="","",WORKDAY.INTL(BU212,BS212*-1,1,Holidays[Date]))</f>
        <v/>
      </c>
      <c r="BQ212" s="77" t="str">
        <f ca="1">IFERROR(IF(BR212="",WORKDAY.INTL(BL212,BO212,1,Holidays[Date]),BR212),"")</f>
        <v/>
      </c>
      <c r="BR212" s="78"/>
      <c r="BS212" s="80"/>
      <c r="BT212" s="68"/>
      <c r="BU212" s="77" t="str">
        <f>IF(BZ212="","",WORKDAY.INTL(BZ212,BX212*-1,1,Holidays[Date]))</f>
        <v/>
      </c>
      <c r="BV212" s="77" t="str">
        <f ca="1">IFERROR(IF(BW212="",WORKDAY.INTL(BQ212,BT212,1,Holidays[Date]),BW212),"")</f>
        <v/>
      </c>
      <c r="BW212" s="78"/>
      <c r="BX212" s="80"/>
      <c r="BY212" s="68"/>
      <c r="BZ212" s="81"/>
      <c r="CA212" s="77" t="str">
        <f ca="1">IFERROR(IF(CB212="",WORKDAY.INTL(BV212,BY212,1,Holidays[Date]),CB212),"")</f>
        <v/>
      </c>
      <c r="CB212" s="78"/>
    </row>
    <row r="213" spans="1:80" ht="19" customHeight="1" x14ac:dyDescent="0.35">
      <c r="A213" s="31"/>
      <c r="B213" s="82"/>
      <c r="C213" s="1"/>
      <c r="D213" s="8"/>
      <c r="E213" s="8"/>
      <c r="F213" s="8"/>
      <c r="G213" s="8"/>
      <c r="H213" s="8"/>
      <c r="I213" s="9"/>
      <c r="J213" s="8"/>
      <c r="K213" s="8"/>
      <c r="L213" s="8"/>
      <c r="M213" s="8"/>
      <c r="N213" s="8"/>
      <c r="O213" s="8"/>
      <c r="P213" s="8"/>
      <c r="Q213" s="2"/>
      <c r="R213" s="2"/>
      <c r="S213" s="88" t="str">
        <f>IF(tblProcRegister[[#This Row],[Award]]&lt;&gt;"",tblProcRegister[[#This Row],[Budget]]-tblProcRegister[[#This Row],[Award]],"")</f>
        <v/>
      </c>
      <c r="T213" s="68"/>
      <c r="U213" s="68"/>
      <c r="V213" s="68"/>
      <c r="W213" s="77" t="str">
        <f>IF(AB213="","",WORKDAY.INTL(AB213,Z213*-1,1,Holidays[Date]))</f>
        <v/>
      </c>
      <c r="X213" s="77" t="str">
        <f t="shared" ca="1" si="3"/>
        <v/>
      </c>
      <c r="Y213" s="78"/>
      <c r="Z213" s="79"/>
      <c r="AA213" s="68"/>
      <c r="AB213" s="77" t="str">
        <f>IF(AG213="","",WORKDAY.INTL(AG213,AE213*-1,1,Holidays[Date]))</f>
        <v/>
      </c>
      <c r="AC213" s="77" t="str">
        <f ca="1">IFERROR(IF(AD213="",WORKDAY.INTL(X213,AA213,1,Holidays[Date]),AD213),"")</f>
        <v/>
      </c>
      <c r="AD213" s="78"/>
      <c r="AE213" s="80"/>
      <c r="AF213" s="68"/>
      <c r="AG213" s="77" t="str">
        <f>IF(AL213="","",WORKDAY.INTL(AL213,AJ213*-1,1,Holidays[Date]))</f>
        <v/>
      </c>
      <c r="AH213" s="77" t="str">
        <f ca="1">IFERROR(IF(AI213="",WORKDAY.INTL(AC213,AF213,1,Holidays[Date]),AI213),"")</f>
        <v/>
      </c>
      <c r="AI213" s="78"/>
      <c r="AJ213" s="80"/>
      <c r="AK213" s="68"/>
      <c r="AL213" s="77" t="str">
        <f>IF(AQ213="","",WORKDAY.INTL(AQ213,AO213*-1,1,Holidays[Date]))</f>
        <v/>
      </c>
      <c r="AM213" s="77" t="str">
        <f ca="1">IFERROR(IF(AN213="",WORKDAY.INTL(AH213,AK213,1,Holidays[Date]),AN213),"")</f>
        <v/>
      </c>
      <c r="AN213" s="78"/>
      <c r="AO213" s="80"/>
      <c r="AP213" s="68"/>
      <c r="AQ213" s="77" t="str">
        <f>IF(AV213="","",WORKDAY.INTL(AV213,AT213*-1,1,Holidays[Date]))</f>
        <v/>
      </c>
      <c r="AR213" s="77" t="str">
        <f ca="1">IFERROR(IF(AS213="",WORKDAY.INTL(AM213,AP213,1,Holidays[Date]),AS213),"")</f>
        <v/>
      </c>
      <c r="AS213" s="78"/>
      <c r="AT213" s="80"/>
      <c r="AU213" s="68"/>
      <c r="AV213" s="77" t="str">
        <f>IF(BA213="","",WORKDAY.INTL(BA213,AY213*-1,1,Holidays[Date]))</f>
        <v/>
      </c>
      <c r="AW213" s="77" t="str">
        <f ca="1">IFERROR(IF(AX213="",WORKDAY.INTL(AR213,AU213,1,Holidays[Date]),AX213),"")</f>
        <v/>
      </c>
      <c r="AX213" s="78"/>
      <c r="AY213" s="80"/>
      <c r="AZ213" s="68"/>
      <c r="BA213" s="77" t="str">
        <f>IF(BF213="","",WORKDAY.INTL(BF213,BD213*-1,1,Holidays[Date]))</f>
        <v/>
      </c>
      <c r="BB213" s="77" t="str">
        <f ca="1">IFERROR(IF(BC213="",WORKDAY.INTL(AW213,AZ213,1,Holidays[Date]),BC213),"")</f>
        <v/>
      </c>
      <c r="BC213" s="78"/>
      <c r="BD213" s="80"/>
      <c r="BE213" s="68"/>
      <c r="BF213" s="77" t="str">
        <f>IF(BK213="","",WORKDAY.INTL(BK213,BI213*-1,1,Holidays[Date]))</f>
        <v/>
      </c>
      <c r="BG213" s="77" t="str">
        <f ca="1">IFERROR(IF(BH213="",WORKDAY.INTL(BB213,BE213,1,Holidays[Date]),BH213),"")</f>
        <v/>
      </c>
      <c r="BH213" s="78"/>
      <c r="BI213" s="80"/>
      <c r="BJ213" s="68"/>
      <c r="BK213" s="77" t="str">
        <f>IF(BP213="","",WORKDAY.INTL(BP213,BN213*-1,1,Holidays[Date]))</f>
        <v/>
      </c>
      <c r="BL213" s="77" t="str">
        <f ca="1">IFERROR(IF(BM213="",WORKDAY.INTL(BG213,BJ213,1,Holidays[Date]),BM213),"")</f>
        <v/>
      </c>
      <c r="BM213" s="78"/>
      <c r="BN213" s="80"/>
      <c r="BO213" s="68"/>
      <c r="BP213" s="77" t="str">
        <f>IF(BU213="","",WORKDAY.INTL(BU213,BS213*-1,1,Holidays[Date]))</f>
        <v/>
      </c>
      <c r="BQ213" s="77" t="str">
        <f ca="1">IFERROR(IF(BR213="",WORKDAY.INTL(BL213,BO213,1,Holidays[Date]),BR213),"")</f>
        <v/>
      </c>
      <c r="BR213" s="78"/>
      <c r="BS213" s="80"/>
      <c r="BT213" s="68"/>
      <c r="BU213" s="77" t="str">
        <f>IF(BZ213="","",WORKDAY.INTL(BZ213,BX213*-1,1,Holidays[Date]))</f>
        <v/>
      </c>
      <c r="BV213" s="77" t="str">
        <f ca="1">IFERROR(IF(BW213="",WORKDAY.INTL(BQ213,BT213,1,Holidays[Date]),BW213),"")</f>
        <v/>
      </c>
      <c r="BW213" s="78"/>
      <c r="BX213" s="80"/>
      <c r="BY213" s="68"/>
      <c r="BZ213" s="81"/>
      <c r="CA213" s="77" t="str">
        <f ca="1">IFERROR(IF(CB213="",WORKDAY.INTL(BV213,BY213,1,Holidays[Date]),CB213),"")</f>
        <v/>
      </c>
      <c r="CB213" s="78"/>
    </row>
    <row r="214" spans="1:80" ht="19" customHeight="1" x14ac:dyDescent="0.35">
      <c r="A214" s="31"/>
      <c r="B214" s="82"/>
      <c r="C214" s="1"/>
      <c r="D214" s="8"/>
      <c r="E214" s="8"/>
      <c r="F214" s="8"/>
      <c r="G214" s="8"/>
      <c r="H214" s="8"/>
      <c r="I214" s="9"/>
      <c r="J214" s="8"/>
      <c r="K214" s="8"/>
      <c r="L214" s="8"/>
      <c r="M214" s="8"/>
      <c r="N214" s="8"/>
      <c r="O214" s="8"/>
      <c r="P214" s="8"/>
      <c r="Q214" s="2"/>
      <c r="R214" s="2"/>
      <c r="S214" s="88" t="str">
        <f>IF(tblProcRegister[[#This Row],[Award]]&lt;&gt;"",tblProcRegister[[#This Row],[Budget]]-tblProcRegister[[#This Row],[Award]],"")</f>
        <v/>
      </c>
      <c r="T214" s="68"/>
      <c r="U214" s="68"/>
      <c r="V214" s="68"/>
      <c r="W214" s="77" t="str">
        <f>IF(AB214="","",WORKDAY.INTL(AB214,Z214*-1,1,Holidays[Date]))</f>
        <v/>
      </c>
      <c r="X214" s="77" t="str">
        <f t="shared" ca="1" si="3"/>
        <v/>
      </c>
      <c r="Y214" s="78"/>
      <c r="Z214" s="79"/>
      <c r="AA214" s="68"/>
      <c r="AB214" s="77" t="str">
        <f>IF(AG214="","",WORKDAY.INTL(AG214,AE214*-1,1,Holidays[Date]))</f>
        <v/>
      </c>
      <c r="AC214" s="77" t="str">
        <f ca="1">IFERROR(IF(AD214="",WORKDAY.INTL(X214,AA214,1,Holidays[Date]),AD214),"")</f>
        <v/>
      </c>
      <c r="AD214" s="78"/>
      <c r="AE214" s="80"/>
      <c r="AF214" s="68"/>
      <c r="AG214" s="77" t="str">
        <f>IF(AL214="","",WORKDAY.INTL(AL214,AJ214*-1,1,Holidays[Date]))</f>
        <v/>
      </c>
      <c r="AH214" s="77" t="str">
        <f ca="1">IFERROR(IF(AI214="",WORKDAY.INTL(AC214,AF214,1,Holidays[Date]),AI214),"")</f>
        <v/>
      </c>
      <c r="AI214" s="78"/>
      <c r="AJ214" s="80"/>
      <c r="AK214" s="68"/>
      <c r="AL214" s="77" t="str">
        <f>IF(AQ214="","",WORKDAY.INTL(AQ214,AO214*-1,1,Holidays[Date]))</f>
        <v/>
      </c>
      <c r="AM214" s="77" t="str">
        <f ca="1">IFERROR(IF(AN214="",WORKDAY.INTL(AH214,AK214,1,Holidays[Date]),AN214),"")</f>
        <v/>
      </c>
      <c r="AN214" s="78"/>
      <c r="AO214" s="80"/>
      <c r="AP214" s="68"/>
      <c r="AQ214" s="77" t="str">
        <f>IF(AV214="","",WORKDAY.INTL(AV214,AT214*-1,1,Holidays[Date]))</f>
        <v/>
      </c>
      <c r="AR214" s="77" t="str">
        <f ca="1">IFERROR(IF(AS214="",WORKDAY.INTL(AM214,AP214,1,Holidays[Date]),AS214),"")</f>
        <v/>
      </c>
      <c r="AS214" s="78"/>
      <c r="AT214" s="80"/>
      <c r="AU214" s="68"/>
      <c r="AV214" s="77" t="str">
        <f>IF(BA214="","",WORKDAY.INTL(BA214,AY214*-1,1,Holidays[Date]))</f>
        <v/>
      </c>
      <c r="AW214" s="77" t="str">
        <f ca="1">IFERROR(IF(AX214="",WORKDAY.INTL(AR214,AU214,1,Holidays[Date]),AX214),"")</f>
        <v/>
      </c>
      <c r="AX214" s="78"/>
      <c r="AY214" s="80"/>
      <c r="AZ214" s="68"/>
      <c r="BA214" s="77" t="str">
        <f>IF(BF214="","",WORKDAY.INTL(BF214,BD214*-1,1,Holidays[Date]))</f>
        <v/>
      </c>
      <c r="BB214" s="77" t="str">
        <f ca="1">IFERROR(IF(BC214="",WORKDAY.INTL(AW214,AZ214,1,Holidays[Date]),BC214),"")</f>
        <v/>
      </c>
      <c r="BC214" s="78"/>
      <c r="BD214" s="80"/>
      <c r="BE214" s="68"/>
      <c r="BF214" s="77" t="str">
        <f>IF(BK214="","",WORKDAY.INTL(BK214,BI214*-1,1,Holidays[Date]))</f>
        <v/>
      </c>
      <c r="BG214" s="77" t="str">
        <f ca="1">IFERROR(IF(BH214="",WORKDAY.INTL(BB214,BE214,1,Holidays[Date]),BH214),"")</f>
        <v/>
      </c>
      <c r="BH214" s="78"/>
      <c r="BI214" s="80"/>
      <c r="BJ214" s="68"/>
      <c r="BK214" s="77" t="str">
        <f>IF(BP214="","",WORKDAY.INTL(BP214,BN214*-1,1,Holidays[Date]))</f>
        <v/>
      </c>
      <c r="BL214" s="77" t="str">
        <f ca="1">IFERROR(IF(BM214="",WORKDAY.INTL(BG214,BJ214,1,Holidays[Date]),BM214),"")</f>
        <v/>
      </c>
      <c r="BM214" s="78"/>
      <c r="BN214" s="80"/>
      <c r="BO214" s="68"/>
      <c r="BP214" s="77" t="str">
        <f>IF(BU214="","",WORKDAY.INTL(BU214,BS214*-1,1,Holidays[Date]))</f>
        <v/>
      </c>
      <c r="BQ214" s="77" t="str">
        <f ca="1">IFERROR(IF(BR214="",WORKDAY.INTL(BL214,BO214,1,Holidays[Date]),BR214),"")</f>
        <v/>
      </c>
      <c r="BR214" s="78"/>
      <c r="BS214" s="80"/>
      <c r="BT214" s="68"/>
      <c r="BU214" s="77" t="str">
        <f>IF(BZ214="","",WORKDAY.INTL(BZ214,BX214*-1,1,Holidays[Date]))</f>
        <v/>
      </c>
      <c r="BV214" s="77" t="str">
        <f ca="1">IFERROR(IF(BW214="",WORKDAY.INTL(BQ214,BT214,1,Holidays[Date]),BW214),"")</f>
        <v/>
      </c>
      <c r="BW214" s="78"/>
      <c r="BX214" s="80"/>
      <c r="BY214" s="68"/>
      <c r="BZ214" s="81"/>
      <c r="CA214" s="77" t="str">
        <f ca="1">IFERROR(IF(CB214="",WORKDAY.INTL(BV214,BY214,1,Holidays[Date]),CB214),"")</f>
        <v/>
      </c>
      <c r="CB214" s="78"/>
    </row>
    <row r="215" spans="1:80" ht="19" customHeight="1" x14ac:dyDescent="0.35">
      <c r="A215" s="31"/>
      <c r="B215" s="82"/>
      <c r="C215" s="1"/>
      <c r="D215" s="8"/>
      <c r="E215" s="8"/>
      <c r="F215" s="8"/>
      <c r="G215" s="8"/>
      <c r="H215" s="8"/>
      <c r="I215" s="9"/>
      <c r="J215" s="8"/>
      <c r="K215" s="8"/>
      <c r="L215" s="8"/>
      <c r="M215" s="8"/>
      <c r="N215" s="8"/>
      <c r="O215" s="8"/>
      <c r="P215" s="8"/>
      <c r="Q215" s="2"/>
      <c r="R215" s="2"/>
      <c r="S215" s="88" t="str">
        <f>IF(tblProcRegister[[#This Row],[Award]]&lt;&gt;"",tblProcRegister[[#This Row],[Budget]]-tblProcRegister[[#This Row],[Award]],"")</f>
        <v/>
      </c>
      <c r="T215" s="68"/>
      <c r="U215" s="68"/>
      <c r="V215" s="68"/>
      <c r="W215" s="77" t="str">
        <f>IF(AB215="","",WORKDAY.INTL(AB215,Z215*-1,1,Holidays[Date]))</f>
        <v/>
      </c>
      <c r="X215" s="77" t="str">
        <f t="shared" ca="1" si="3"/>
        <v/>
      </c>
      <c r="Y215" s="78"/>
      <c r="Z215" s="79"/>
      <c r="AA215" s="68"/>
      <c r="AB215" s="77" t="str">
        <f>IF(AG215="","",WORKDAY.INTL(AG215,AE215*-1,1,Holidays[Date]))</f>
        <v/>
      </c>
      <c r="AC215" s="77" t="str">
        <f ca="1">IFERROR(IF(AD215="",WORKDAY.INTL(X215,AA215,1,Holidays[Date]),AD215),"")</f>
        <v/>
      </c>
      <c r="AD215" s="78"/>
      <c r="AE215" s="80"/>
      <c r="AF215" s="68"/>
      <c r="AG215" s="77" t="str">
        <f>IF(AL215="","",WORKDAY.INTL(AL215,AJ215*-1,1,Holidays[Date]))</f>
        <v/>
      </c>
      <c r="AH215" s="77" t="str">
        <f ca="1">IFERROR(IF(AI215="",WORKDAY.INTL(AC215,AF215,1,Holidays[Date]),AI215),"")</f>
        <v/>
      </c>
      <c r="AI215" s="78"/>
      <c r="AJ215" s="80"/>
      <c r="AK215" s="68"/>
      <c r="AL215" s="77" t="str">
        <f>IF(AQ215="","",WORKDAY.INTL(AQ215,AO215*-1,1,Holidays[Date]))</f>
        <v/>
      </c>
      <c r="AM215" s="77" t="str">
        <f ca="1">IFERROR(IF(AN215="",WORKDAY.INTL(AH215,AK215,1,Holidays[Date]),AN215),"")</f>
        <v/>
      </c>
      <c r="AN215" s="78"/>
      <c r="AO215" s="80"/>
      <c r="AP215" s="68"/>
      <c r="AQ215" s="77" t="str">
        <f>IF(AV215="","",WORKDAY.INTL(AV215,AT215*-1,1,Holidays[Date]))</f>
        <v/>
      </c>
      <c r="AR215" s="77" t="str">
        <f ca="1">IFERROR(IF(AS215="",WORKDAY.INTL(AM215,AP215,1,Holidays[Date]),AS215),"")</f>
        <v/>
      </c>
      <c r="AS215" s="78"/>
      <c r="AT215" s="80"/>
      <c r="AU215" s="68"/>
      <c r="AV215" s="77" t="str">
        <f>IF(BA215="","",WORKDAY.INTL(BA215,AY215*-1,1,Holidays[Date]))</f>
        <v/>
      </c>
      <c r="AW215" s="77" t="str">
        <f ca="1">IFERROR(IF(AX215="",WORKDAY.INTL(AR215,AU215,1,Holidays[Date]),AX215),"")</f>
        <v/>
      </c>
      <c r="AX215" s="78"/>
      <c r="AY215" s="80"/>
      <c r="AZ215" s="68"/>
      <c r="BA215" s="77" t="str">
        <f>IF(BF215="","",WORKDAY.INTL(BF215,BD215*-1,1,Holidays[Date]))</f>
        <v/>
      </c>
      <c r="BB215" s="77" t="str">
        <f ca="1">IFERROR(IF(BC215="",WORKDAY.INTL(AW215,AZ215,1,Holidays[Date]),BC215),"")</f>
        <v/>
      </c>
      <c r="BC215" s="78"/>
      <c r="BD215" s="80"/>
      <c r="BE215" s="68"/>
      <c r="BF215" s="77" t="str">
        <f>IF(BK215="","",WORKDAY.INTL(BK215,BI215*-1,1,Holidays[Date]))</f>
        <v/>
      </c>
      <c r="BG215" s="77" t="str">
        <f ca="1">IFERROR(IF(BH215="",WORKDAY.INTL(BB215,BE215,1,Holidays[Date]),BH215),"")</f>
        <v/>
      </c>
      <c r="BH215" s="78"/>
      <c r="BI215" s="80"/>
      <c r="BJ215" s="68"/>
      <c r="BK215" s="77" t="str">
        <f>IF(BP215="","",WORKDAY.INTL(BP215,BN215*-1,1,Holidays[Date]))</f>
        <v/>
      </c>
      <c r="BL215" s="77" t="str">
        <f ca="1">IFERROR(IF(BM215="",WORKDAY.INTL(BG215,BJ215,1,Holidays[Date]),BM215),"")</f>
        <v/>
      </c>
      <c r="BM215" s="78"/>
      <c r="BN215" s="80"/>
      <c r="BO215" s="68"/>
      <c r="BP215" s="77" t="str">
        <f>IF(BU215="","",WORKDAY.INTL(BU215,BS215*-1,1,Holidays[Date]))</f>
        <v/>
      </c>
      <c r="BQ215" s="77" t="str">
        <f ca="1">IFERROR(IF(BR215="",WORKDAY.INTL(BL215,BO215,1,Holidays[Date]),BR215),"")</f>
        <v/>
      </c>
      <c r="BR215" s="78"/>
      <c r="BS215" s="80"/>
      <c r="BT215" s="68"/>
      <c r="BU215" s="77" t="str">
        <f>IF(BZ215="","",WORKDAY.INTL(BZ215,BX215*-1,1,Holidays[Date]))</f>
        <v/>
      </c>
      <c r="BV215" s="77" t="str">
        <f ca="1">IFERROR(IF(BW215="",WORKDAY.INTL(BQ215,BT215,1,Holidays[Date]),BW215),"")</f>
        <v/>
      </c>
      <c r="BW215" s="78"/>
      <c r="BX215" s="80"/>
      <c r="BY215" s="68"/>
      <c r="BZ215" s="81"/>
      <c r="CA215" s="77" t="str">
        <f ca="1">IFERROR(IF(CB215="",WORKDAY.INTL(BV215,BY215,1,Holidays[Date]),CB215),"")</f>
        <v/>
      </c>
      <c r="CB215" s="78"/>
    </row>
    <row r="216" spans="1:80" ht="19" customHeight="1" x14ac:dyDescent="0.35">
      <c r="A216" s="31"/>
      <c r="B216" s="82"/>
      <c r="C216" s="1"/>
      <c r="D216" s="8"/>
      <c r="E216" s="8"/>
      <c r="F216" s="8"/>
      <c r="G216" s="8"/>
      <c r="H216" s="8"/>
      <c r="I216" s="9"/>
      <c r="J216" s="8"/>
      <c r="K216" s="8"/>
      <c r="L216" s="8"/>
      <c r="M216" s="8"/>
      <c r="N216" s="8"/>
      <c r="O216" s="8"/>
      <c r="P216" s="8"/>
      <c r="Q216" s="2"/>
      <c r="R216" s="2"/>
      <c r="S216" s="88" t="str">
        <f>IF(tblProcRegister[[#This Row],[Award]]&lt;&gt;"",tblProcRegister[[#This Row],[Budget]]-tblProcRegister[[#This Row],[Award]],"")</f>
        <v/>
      </c>
      <c r="T216" s="68"/>
      <c r="U216" s="68"/>
      <c r="V216" s="68"/>
      <c r="W216" s="77" t="str">
        <f>IF(AB216="","",WORKDAY.INTL(AB216,Z216*-1,1,Holidays[Date]))</f>
        <v/>
      </c>
      <c r="X216" s="77" t="str">
        <f t="shared" ca="1" si="3"/>
        <v/>
      </c>
      <c r="Y216" s="78"/>
      <c r="Z216" s="79"/>
      <c r="AA216" s="68"/>
      <c r="AB216" s="77" t="str">
        <f>IF(AG216="","",WORKDAY.INTL(AG216,AE216*-1,1,Holidays[Date]))</f>
        <v/>
      </c>
      <c r="AC216" s="77" t="str">
        <f ca="1">IFERROR(IF(AD216="",WORKDAY.INTL(X216,AA216,1,Holidays[Date]),AD216),"")</f>
        <v/>
      </c>
      <c r="AD216" s="78"/>
      <c r="AE216" s="80"/>
      <c r="AF216" s="68"/>
      <c r="AG216" s="77" t="str">
        <f>IF(AL216="","",WORKDAY.INTL(AL216,AJ216*-1,1,Holidays[Date]))</f>
        <v/>
      </c>
      <c r="AH216" s="77" t="str">
        <f ca="1">IFERROR(IF(AI216="",WORKDAY.INTL(AC216,AF216,1,Holidays[Date]),AI216),"")</f>
        <v/>
      </c>
      <c r="AI216" s="78"/>
      <c r="AJ216" s="80"/>
      <c r="AK216" s="68"/>
      <c r="AL216" s="77" t="str">
        <f>IF(AQ216="","",WORKDAY.INTL(AQ216,AO216*-1,1,Holidays[Date]))</f>
        <v/>
      </c>
      <c r="AM216" s="77" t="str">
        <f ca="1">IFERROR(IF(AN216="",WORKDAY.INTL(AH216,AK216,1,Holidays[Date]),AN216),"")</f>
        <v/>
      </c>
      <c r="AN216" s="78"/>
      <c r="AO216" s="80"/>
      <c r="AP216" s="68"/>
      <c r="AQ216" s="77" t="str">
        <f>IF(AV216="","",WORKDAY.INTL(AV216,AT216*-1,1,Holidays[Date]))</f>
        <v/>
      </c>
      <c r="AR216" s="77" t="str">
        <f ca="1">IFERROR(IF(AS216="",WORKDAY.INTL(AM216,AP216,1,Holidays[Date]),AS216),"")</f>
        <v/>
      </c>
      <c r="AS216" s="78"/>
      <c r="AT216" s="80"/>
      <c r="AU216" s="68"/>
      <c r="AV216" s="77" t="str">
        <f>IF(BA216="","",WORKDAY.INTL(BA216,AY216*-1,1,Holidays[Date]))</f>
        <v/>
      </c>
      <c r="AW216" s="77" t="str">
        <f ca="1">IFERROR(IF(AX216="",WORKDAY.INTL(AR216,AU216,1,Holidays[Date]),AX216),"")</f>
        <v/>
      </c>
      <c r="AX216" s="78"/>
      <c r="AY216" s="80"/>
      <c r="AZ216" s="68"/>
      <c r="BA216" s="77" t="str">
        <f>IF(BF216="","",WORKDAY.INTL(BF216,BD216*-1,1,Holidays[Date]))</f>
        <v/>
      </c>
      <c r="BB216" s="77" t="str">
        <f ca="1">IFERROR(IF(BC216="",WORKDAY.INTL(AW216,AZ216,1,Holidays[Date]),BC216),"")</f>
        <v/>
      </c>
      <c r="BC216" s="78"/>
      <c r="BD216" s="80"/>
      <c r="BE216" s="68"/>
      <c r="BF216" s="77" t="str">
        <f>IF(BK216="","",WORKDAY.INTL(BK216,BI216*-1,1,Holidays[Date]))</f>
        <v/>
      </c>
      <c r="BG216" s="77" t="str">
        <f ca="1">IFERROR(IF(BH216="",WORKDAY.INTL(BB216,BE216,1,Holidays[Date]),BH216),"")</f>
        <v/>
      </c>
      <c r="BH216" s="78"/>
      <c r="BI216" s="80"/>
      <c r="BJ216" s="68"/>
      <c r="BK216" s="77" t="str">
        <f>IF(BP216="","",WORKDAY.INTL(BP216,BN216*-1,1,Holidays[Date]))</f>
        <v/>
      </c>
      <c r="BL216" s="77" t="str">
        <f ca="1">IFERROR(IF(BM216="",WORKDAY.INTL(BG216,BJ216,1,Holidays[Date]),BM216),"")</f>
        <v/>
      </c>
      <c r="BM216" s="78"/>
      <c r="BN216" s="80"/>
      <c r="BO216" s="68"/>
      <c r="BP216" s="77" t="str">
        <f>IF(BU216="","",WORKDAY.INTL(BU216,BS216*-1,1,Holidays[Date]))</f>
        <v/>
      </c>
      <c r="BQ216" s="77" t="str">
        <f ca="1">IFERROR(IF(BR216="",WORKDAY.INTL(BL216,BO216,1,Holidays[Date]),BR216),"")</f>
        <v/>
      </c>
      <c r="BR216" s="78"/>
      <c r="BS216" s="80"/>
      <c r="BT216" s="68"/>
      <c r="BU216" s="77" t="str">
        <f>IF(BZ216="","",WORKDAY.INTL(BZ216,BX216*-1,1,Holidays[Date]))</f>
        <v/>
      </c>
      <c r="BV216" s="77" t="str">
        <f ca="1">IFERROR(IF(BW216="",WORKDAY.INTL(BQ216,BT216,1,Holidays[Date]),BW216),"")</f>
        <v/>
      </c>
      <c r="BW216" s="78"/>
      <c r="BX216" s="80"/>
      <c r="BY216" s="68"/>
      <c r="BZ216" s="81"/>
      <c r="CA216" s="77" t="str">
        <f ca="1">IFERROR(IF(CB216="",WORKDAY.INTL(BV216,BY216,1,Holidays[Date]),CB216),"")</f>
        <v/>
      </c>
      <c r="CB216" s="78"/>
    </row>
    <row r="217" spans="1:80" ht="19" customHeight="1" x14ac:dyDescent="0.35">
      <c r="A217" s="31"/>
      <c r="B217" s="82"/>
      <c r="C217" s="1"/>
      <c r="D217" s="8"/>
      <c r="E217" s="8"/>
      <c r="F217" s="8"/>
      <c r="G217" s="8"/>
      <c r="H217" s="8"/>
      <c r="I217" s="9"/>
      <c r="J217" s="8"/>
      <c r="K217" s="8"/>
      <c r="L217" s="8"/>
      <c r="M217" s="8"/>
      <c r="N217" s="8"/>
      <c r="O217" s="8"/>
      <c r="P217" s="8"/>
      <c r="Q217" s="2"/>
      <c r="R217" s="2"/>
      <c r="S217" s="88" t="str">
        <f>IF(tblProcRegister[[#This Row],[Award]]&lt;&gt;"",tblProcRegister[[#This Row],[Budget]]-tblProcRegister[[#This Row],[Award]],"")</f>
        <v/>
      </c>
      <c r="T217" s="68"/>
      <c r="U217" s="68"/>
      <c r="V217" s="68"/>
      <c r="W217" s="77" t="str">
        <f>IF(AB217="","",WORKDAY.INTL(AB217,Z217*-1,1,Holidays[Date]))</f>
        <v/>
      </c>
      <c r="X217" s="77" t="str">
        <f t="shared" ca="1" si="3"/>
        <v/>
      </c>
      <c r="Y217" s="78"/>
      <c r="Z217" s="79"/>
      <c r="AA217" s="68"/>
      <c r="AB217" s="77" t="str">
        <f>IF(AG217="","",WORKDAY.INTL(AG217,AE217*-1,1,Holidays[Date]))</f>
        <v/>
      </c>
      <c r="AC217" s="77" t="str">
        <f ca="1">IFERROR(IF(AD217="",WORKDAY.INTL(X217,AA217,1,Holidays[Date]),AD217),"")</f>
        <v/>
      </c>
      <c r="AD217" s="78"/>
      <c r="AE217" s="80"/>
      <c r="AF217" s="68"/>
      <c r="AG217" s="77" t="str">
        <f>IF(AL217="","",WORKDAY.INTL(AL217,AJ217*-1,1,Holidays[Date]))</f>
        <v/>
      </c>
      <c r="AH217" s="77" t="str">
        <f ca="1">IFERROR(IF(AI217="",WORKDAY.INTL(AC217,AF217,1,Holidays[Date]),AI217),"")</f>
        <v/>
      </c>
      <c r="AI217" s="78"/>
      <c r="AJ217" s="80"/>
      <c r="AK217" s="68"/>
      <c r="AL217" s="77" t="str">
        <f>IF(AQ217="","",WORKDAY.INTL(AQ217,AO217*-1,1,Holidays[Date]))</f>
        <v/>
      </c>
      <c r="AM217" s="77" t="str">
        <f ca="1">IFERROR(IF(AN217="",WORKDAY.INTL(AH217,AK217,1,Holidays[Date]),AN217),"")</f>
        <v/>
      </c>
      <c r="AN217" s="78"/>
      <c r="AO217" s="80"/>
      <c r="AP217" s="68"/>
      <c r="AQ217" s="77" t="str">
        <f>IF(AV217="","",WORKDAY.INTL(AV217,AT217*-1,1,Holidays[Date]))</f>
        <v/>
      </c>
      <c r="AR217" s="77" t="str">
        <f ca="1">IFERROR(IF(AS217="",WORKDAY.INTL(AM217,AP217,1,Holidays[Date]),AS217),"")</f>
        <v/>
      </c>
      <c r="AS217" s="78"/>
      <c r="AT217" s="80"/>
      <c r="AU217" s="68"/>
      <c r="AV217" s="77" t="str">
        <f>IF(BA217="","",WORKDAY.INTL(BA217,AY217*-1,1,Holidays[Date]))</f>
        <v/>
      </c>
      <c r="AW217" s="77" t="str">
        <f ca="1">IFERROR(IF(AX217="",WORKDAY.INTL(AR217,AU217,1,Holidays[Date]),AX217),"")</f>
        <v/>
      </c>
      <c r="AX217" s="78"/>
      <c r="AY217" s="80"/>
      <c r="AZ217" s="68"/>
      <c r="BA217" s="77" t="str">
        <f>IF(BF217="","",WORKDAY.INTL(BF217,BD217*-1,1,Holidays[Date]))</f>
        <v/>
      </c>
      <c r="BB217" s="77" t="str">
        <f ca="1">IFERROR(IF(BC217="",WORKDAY.INTL(AW217,AZ217,1,Holidays[Date]),BC217),"")</f>
        <v/>
      </c>
      <c r="BC217" s="78"/>
      <c r="BD217" s="80"/>
      <c r="BE217" s="68"/>
      <c r="BF217" s="77" t="str">
        <f>IF(BK217="","",WORKDAY.INTL(BK217,BI217*-1,1,Holidays[Date]))</f>
        <v/>
      </c>
      <c r="BG217" s="77" t="str">
        <f ca="1">IFERROR(IF(BH217="",WORKDAY.INTL(BB217,BE217,1,Holidays[Date]),BH217),"")</f>
        <v/>
      </c>
      <c r="BH217" s="78"/>
      <c r="BI217" s="80"/>
      <c r="BJ217" s="68"/>
      <c r="BK217" s="77" t="str">
        <f>IF(BP217="","",WORKDAY.INTL(BP217,BN217*-1,1,Holidays[Date]))</f>
        <v/>
      </c>
      <c r="BL217" s="77" t="str">
        <f ca="1">IFERROR(IF(BM217="",WORKDAY.INTL(BG217,BJ217,1,Holidays[Date]),BM217),"")</f>
        <v/>
      </c>
      <c r="BM217" s="78"/>
      <c r="BN217" s="80"/>
      <c r="BO217" s="68"/>
      <c r="BP217" s="77" t="str">
        <f>IF(BU217="","",WORKDAY.INTL(BU217,BS217*-1,1,Holidays[Date]))</f>
        <v/>
      </c>
      <c r="BQ217" s="77" t="str">
        <f ca="1">IFERROR(IF(BR217="",WORKDAY.INTL(BL217,BO217,1,Holidays[Date]),BR217),"")</f>
        <v/>
      </c>
      <c r="BR217" s="78"/>
      <c r="BS217" s="80"/>
      <c r="BT217" s="68"/>
      <c r="BU217" s="77" t="str">
        <f>IF(BZ217="","",WORKDAY.INTL(BZ217,BX217*-1,1,Holidays[Date]))</f>
        <v/>
      </c>
      <c r="BV217" s="77" t="str">
        <f ca="1">IFERROR(IF(BW217="",WORKDAY.INTL(BQ217,BT217,1,Holidays[Date]),BW217),"")</f>
        <v/>
      </c>
      <c r="BW217" s="78"/>
      <c r="BX217" s="80"/>
      <c r="BY217" s="68"/>
      <c r="BZ217" s="81"/>
      <c r="CA217" s="77" t="str">
        <f ca="1">IFERROR(IF(CB217="",WORKDAY.INTL(BV217,BY217,1,Holidays[Date]),CB217),"")</f>
        <v/>
      </c>
      <c r="CB217" s="78"/>
    </row>
    <row r="218" spans="1:80" ht="19" customHeight="1" x14ac:dyDescent="0.35">
      <c r="A218" s="31"/>
      <c r="B218" s="82"/>
      <c r="C218" s="1"/>
      <c r="D218" s="8"/>
      <c r="E218" s="8"/>
      <c r="F218" s="8"/>
      <c r="G218" s="8"/>
      <c r="H218" s="8"/>
      <c r="I218" s="9"/>
      <c r="J218" s="8"/>
      <c r="K218" s="8"/>
      <c r="L218" s="8"/>
      <c r="M218" s="8"/>
      <c r="N218" s="8"/>
      <c r="O218" s="8"/>
      <c r="P218" s="8"/>
      <c r="Q218" s="2"/>
      <c r="R218" s="2"/>
      <c r="S218" s="88" t="str">
        <f>IF(tblProcRegister[[#This Row],[Award]]&lt;&gt;"",tblProcRegister[[#This Row],[Budget]]-tblProcRegister[[#This Row],[Award]],"")</f>
        <v/>
      </c>
      <c r="T218" s="68"/>
      <c r="U218" s="68"/>
      <c r="V218" s="68"/>
      <c r="W218" s="77" t="str">
        <f>IF(AB218="","",WORKDAY.INTL(AB218,Z218*-1,1,Holidays[Date]))</f>
        <v/>
      </c>
      <c r="X218" s="77" t="str">
        <f t="shared" ca="1" si="3"/>
        <v/>
      </c>
      <c r="Y218" s="78"/>
      <c r="Z218" s="79"/>
      <c r="AA218" s="68"/>
      <c r="AB218" s="77" t="str">
        <f>IF(AG218="","",WORKDAY.INTL(AG218,AE218*-1,1,Holidays[Date]))</f>
        <v/>
      </c>
      <c r="AC218" s="77" t="str">
        <f ca="1">IFERROR(IF(AD218="",WORKDAY.INTL(X218,AA218,1,Holidays[Date]),AD218),"")</f>
        <v/>
      </c>
      <c r="AD218" s="78"/>
      <c r="AE218" s="80"/>
      <c r="AF218" s="68"/>
      <c r="AG218" s="77" t="str">
        <f>IF(AL218="","",WORKDAY.INTL(AL218,AJ218*-1,1,Holidays[Date]))</f>
        <v/>
      </c>
      <c r="AH218" s="77" t="str">
        <f ca="1">IFERROR(IF(AI218="",WORKDAY.INTL(AC218,AF218,1,Holidays[Date]),AI218),"")</f>
        <v/>
      </c>
      <c r="AI218" s="78"/>
      <c r="AJ218" s="80"/>
      <c r="AK218" s="68"/>
      <c r="AL218" s="77" t="str">
        <f>IF(AQ218="","",WORKDAY.INTL(AQ218,AO218*-1,1,Holidays[Date]))</f>
        <v/>
      </c>
      <c r="AM218" s="77" t="str">
        <f ca="1">IFERROR(IF(AN218="",WORKDAY.INTL(AH218,AK218,1,Holidays[Date]),AN218),"")</f>
        <v/>
      </c>
      <c r="AN218" s="78"/>
      <c r="AO218" s="80"/>
      <c r="AP218" s="68"/>
      <c r="AQ218" s="77" t="str">
        <f>IF(AV218="","",WORKDAY.INTL(AV218,AT218*-1,1,Holidays[Date]))</f>
        <v/>
      </c>
      <c r="AR218" s="77" t="str">
        <f ca="1">IFERROR(IF(AS218="",WORKDAY.INTL(AM218,AP218,1,Holidays[Date]),AS218),"")</f>
        <v/>
      </c>
      <c r="AS218" s="78"/>
      <c r="AT218" s="80"/>
      <c r="AU218" s="68"/>
      <c r="AV218" s="77" t="str">
        <f>IF(BA218="","",WORKDAY.INTL(BA218,AY218*-1,1,Holidays[Date]))</f>
        <v/>
      </c>
      <c r="AW218" s="77" t="str">
        <f ca="1">IFERROR(IF(AX218="",WORKDAY.INTL(AR218,AU218,1,Holidays[Date]),AX218),"")</f>
        <v/>
      </c>
      <c r="AX218" s="78"/>
      <c r="AY218" s="80"/>
      <c r="AZ218" s="68"/>
      <c r="BA218" s="77" t="str">
        <f>IF(BF218="","",WORKDAY.INTL(BF218,BD218*-1,1,Holidays[Date]))</f>
        <v/>
      </c>
      <c r="BB218" s="77" t="str">
        <f ca="1">IFERROR(IF(BC218="",WORKDAY.INTL(AW218,AZ218,1,Holidays[Date]),BC218),"")</f>
        <v/>
      </c>
      <c r="BC218" s="78"/>
      <c r="BD218" s="80"/>
      <c r="BE218" s="68"/>
      <c r="BF218" s="77" t="str">
        <f>IF(BK218="","",WORKDAY.INTL(BK218,BI218*-1,1,Holidays[Date]))</f>
        <v/>
      </c>
      <c r="BG218" s="77" t="str">
        <f ca="1">IFERROR(IF(BH218="",WORKDAY.INTL(BB218,BE218,1,Holidays[Date]),BH218),"")</f>
        <v/>
      </c>
      <c r="BH218" s="78"/>
      <c r="BI218" s="80"/>
      <c r="BJ218" s="68"/>
      <c r="BK218" s="77" t="str">
        <f>IF(BP218="","",WORKDAY.INTL(BP218,BN218*-1,1,Holidays[Date]))</f>
        <v/>
      </c>
      <c r="BL218" s="77" t="str">
        <f ca="1">IFERROR(IF(BM218="",WORKDAY.INTL(BG218,BJ218,1,Holidays[Date]),BM218),"")</f>
        <v/>
      </c>
      <c r="BM218" s="78"/>
      <c r="BN218" s="80"/>
      <c r="BO218" s="68"/>
      <c r="BP218" s="77" t="str">
        <f>IF(BU218="","",WORKDAY.INTL(BU218,BS218*-1,1,Holidays[Date]))</f>
        <v/>
      </c>
      <c r="BQ218" s="77" t="str">
        <f ca="1">IFERROR(IF(BR218="",WORKDAY.INTL(BL218,BO218,1,Holidays[Date]),BR218),"")</f>
        <v/>
      </c>
      <c r="BR218" s="78"/>
      <c r="BS218" s="80"/>
      <c r="BT218" s="68"/>
      <c r="BU218" s="77" t="str">
        <f>IF(BZ218="","",WORKDAY.INTL(BZ218,BX218*-1,1,Holidays[Date]))</f>
        <v/>
      </c>
      <c r="BV218" s="77" t="str">
        <f ca="1">IFERROR(IF(BW218="",WORKDAY.INTL(BQ218,BT218,1,Holidays[Date]),BW218),"")</f>
        <v/>
      </c>
      <c r="BW218" s="78"/>
      <c r="BX218" s="80"/>
      <c r="BY218" s="68"/>
      <c r="BZ218" s="81"/>
      <c r="CA218" s="77" t="str">
        <f ca="1">IFERROR(IF(CB218="",WORKDAY.INTL(BV218,BY218,1,Holidays[Date]),CB218),"")</f>
        <v/>
      </c>
      <c r="CB218" s="78"/>
    </row>
    <row r="219" spans="1:80" ht="19" customHeight="1" x14ac:dyDescent="0.35">
      <c r="A219" s="31"/>
      <c r="B219" s="82"/>
      <c r="C219" s="1"/>
      <c r="D219" s="8"/>
      <c r="E219" s="8"/>
      <c r="F219" s="8"/>
      <c r="G219" s="8"/>
      <c r="H219" s="8"/>
      <c r="I219" s="9"/>
      <c r="J219" s="8"/>
      <c r="K219" s="8"/>
      <c r="L219" s="8"/>
      <c r="M219" s="8"/>
      <c r="N219" s="8"/>
      <c r="O219" s="8"/>
      <c r="P219" s="8"/>
      <c r="Q219" s="2"/>
      <c r="R219" s="2"/>
      <c r="S219" s="88" t="str">
        <f>IF(tblProcRegister[[#This Row],[Award]]&lt;&gt;"",tblProcRegister[[#This Row],[Budget]]-tblProcRegister[[#This Row],[Award]],"")</f>
        <v/>
      </c>
      <c r="T219" s="68"/>
      <c r="U219" s="68"/>
      <c r="V219" s="68"/>
      <c r="W219" s="77" t="str">
        <f>IF(AB219="","",WORKDAY.INTL(AB219,Z219*-1,1,Holidays[Date]))</f>
        <v/>
      </c>
      <c r="X219" s="77" t="str">
        <f t="shared" ca="1" si="3"/>
        <v/>
      </c>
      <c r="Y219" s="78"/>
      <c r="Z219" s="79"/>
      <c r="AA219" s="68"/>
      <c r="AB219" s="77" t="str">
        <f>IF(AG219="","",WORKDAY.INTL(AG219,AE219*-1,1,Holidays[Date]))</f>
        <v/>
      </c>
      <c r="AC219" s="77" t="str">
        <f ca="1">IFERROR(IF(AD219="",WORKDAY.INTL(X219,AA219,1,Holidays[Date]),AD219),"")</f>
        <v/>
      </c>
      <c r="AD219" s="78"/>
      <c r="AE219" s="80"/>
      <c r="AF219" s="68"/>
      <c r="AG219" s="77" t="str">
        <f>IF(AL219="","",WORKDAY.INTL(AL219,AJ219*-1,1,Holidays[Date]))</f>
        <v/>
      </c>
      <c r="AH219" s="77" t="str">
        <f ca="1">IFERROR(IF(AI219="",WORKDAY.INTL(AC219,AF219,1,Holidays[Date]),AI219),"")</f>
        <v/>
      </c>
      <c r="AI219" s="78"/>
      <c r="AJ219" s="80"/>
      <c r="AK219" s="68"/>
      <c r="AL219" s="77" t="str">
        <f>IF(AQ219="","",WORKDAY.INTL(AQ219,AO219*-1,1,Holidays[Date]))</f>
        <v/>
      </c>
      <c r="AM219" s="77" t="str">
        <f ca="1">IFERROR(IF(AN219="",WORKDAY.INTL(AH219,AK219,1,Holidays[Date]),AN219),"")</f>
        <v/>
      </c>
      <c r="AN219" s="78"/>
      <c r="AO219" s="80"/>
      <c r="AP219" s="68"/>
      <c r="AQ219" s="77" t="str">
        <f>IF(AV219="","",WORKDAY.INTL(AV219,AT219*-1,1,Holidays[Date]))</f>
        <v/>
      </c>
      <c r="AR219" s="77" t="str">
        <f ca="1">IFERROR(IF(AS219="",WORKDAY.INTL(AM219,AP219,1,Holidays[Date]),AS219),"")</f>
        <v/>
      </c>
      <c r="AS219" s="78"/>
      <c r="AT219" s="80"/>
      <c r="AU219" s="68"/>
      <c r="AV219" s="77" t="str">
        <f>IF(BA219="","",WORKDAY.INTL(BA219,AY219*-1,1,Holidays[Date]))</f>
        <v/>
      </c>
      <c r="AW219" s="77" t="str">
        <f ca="1">IFERROR(IF(AX219="",WORKDAY.INTL(AR219,AU219,1,Holidays[Date]),AX219),"")</f>
        <v/>
      </c>
      <c r="AX219" s="78"/>
      <c r="AY219" s="80"/>
      <c r="AZ219" s="68"/>
      <c r="BA219" s="77" t="str">
        <f>IF(BF219="","",WORKDAY.INTL(BF219,BD219*-1,1,Holidays[Date]))</f>
        <v/>
      </c>
      <c r="BB219" s="77" t="str">
        <f ca="1">IFERROR(IF(BC219="",WORKDAY.INTL(AW219,AZ219,1,Holidays[Date]),BC219),"")</f>
        <v/>
      </c>
      <c r="BC219" s="78"/>
      <c r="BD219" s="80"/>
      <c r="BE219" s="68"/>
      <c r="BF219" s="77" t="str">
        <f>IF(BK219="","",WORKDAY.INTL(BK219,BI219*-1,1,Holidays[Date]))</f>
        <v/>
      </c>
      <c r="BG219" s="77" t="str">
        <f ca="1">IFERROR(IF(BH219="",WORKDAY.INTL(BB219,BE219,1,Holidays[Date]),BH219),"")</f>
        <v/>
      </c>
      <c r="BH219" s="78"/>
      <c r="BI219" s="80"/>
      <c r="BJ219" s="68"/>
      <c r="BK219" s="77" t="str">
        <f>IF(BP219="","",WORKDAY.INTL(BP219,BN219*-1,1,Holidays[Date]))</f>
        <v/>
      </c>
      <c r="BL219" s="77" t="str">
        <f ca="1">IFERROR(IF(BM219="",WORKDAY.INTL(BG219,BJ219,1,Holidays[Date]),BM219),"")</f>
        <v/>
      </c>
      <c r="BM219" s="78"/>
      <c r="BN219" s="80"/>
      <c r="BO219" s="68"/>
      <c r="BP219" s="77" t="str">
        <f>IF(BU219="","",WORKDAY.INTL(BU219,BS219*-1,1,Holidays[Date]))</f>
        <v/>
      </c>
      <c r="BQ219" s="77" t="str">
        <f ca="1">IFERROR(IF(BR219="",WORKDAY.INTL(BL219,BO219,1,Holidays[Date]),BR219),"")</f>
        <v/>
      </c>
      <c r="BR219" s="78"/>
      <c r="BS219" s="80"/>
      <c r="BT219" s="68"/>
      <c r="BU219" s="77" t="str">
        <f>IF(BZ219="","",WORKDAY.INTL(BZ219,BX219*-1,1,Holidays[Date]))</f>
        <v/>
      </c>
      <c r="BV219" s="77" t="str">
        <f ca="1">IFERROR(IF(BW219="",WORKDAY.INTL(BQ219,BT219,1,Holidays[Date]),BW219),"")</f>
        <v/>
      </c>
      <c r="BW219" s="78"/>
      <c r="BX219" s="80"/>
      <c r="BY219" s="68"/>
      <c r="BZ219" s="81"/>
      <c r="CA219" s="77" t="str">
        <f ca="1">IFERROR(IF(CB219="",WORKDAY.INTL(BV219,BY219,1,Holidays[Date]),CB219),"")</f>
        <v/>
      </c>
      <c r="CB219" s="78"/>
    </row>
    <row r="220" spans="1:80" ht="19" customHeight="1" x14ac:dyDescent="0.35">
      <c r="A220" s="31"/>
      <c r="B220" s="82"/>
      <c r="C220" s="1"/>
      <c r="D220" s="8"/>
      <c r="E220" s="8"/>
      <c r="F220" s="8"/>
      <c r="G220" s="8"/>
      <c r="H220" s="8"/>
      <c r="I220" s="9"/>
      <c r="J220" s="8"/>
      <c r="K220" s="8"/>
      <c r="L220" s="8"/>
      <c r="M220" s="8"/>
      <c r="N220" s="8"/>
      <c r="O220" s="8"/>
      <c r="P220" s="8"/>
      <c r="Q220" s="2"/>
      <c r="R220" s="2"/>
      <c r="S220" s="88" t="str">
        <f>IF(tblProcRegister[[#This Row],[Award]]&lt;&gt;"",tblProcRegister[[#This Row],[Budget]]-tblProcRegister[[#This Row],[Award]],"")</f>
        <v/>
      </c>
      <c r="T220" s="68"/>
      <c r="U220" s="68"/>
      <c r="V220" s="68"/>
      <c r="W220" s="77" t="str">
        <f>IF(AB220="","",WORKDAY.INTL(AB220,Z220*-1,1,Holidays[Date]))</f>
        <v/>
      </c>
      <c r="X220" s="77" t="str">
        <f t="shared" ca="1" si="3"/>
        <v/>
      </c>
      <c r="Y220" s="78"/>
      <c r="Z220" s="79"/>
      <c r="AA220" s="68"/>
      <c r="AB220" s="77" t="str">
        <f>IF(AG220="","",WORKDAY.INTL(AG220,AE220*-1,1,Holidays[Date]))</f>
        <v/>
      </c>
      <c r="AC220" s="77" t="str">
        <f ca="1">IFERROR(IF(AD220="",WORKDAY.INTL(X220,AA220,1,Holidays[Date]),AD220),"")</f>
        <v/>
      </c>
      <c r="AD220" s="78"/>
      <c r="AE220" s="80"/>
      <c r="AF220" s="68"/>
      <c r="AG220" s="77" t="str">
        <f>IF(AL220="","",WORKDAY.INTL(AL220,AJ220*-1,1,Holidays[Date]))</f>
        <v/>
      </c>
      <c r="AH220" s="77" t="str">
        <f ca="1">IFERROR(IF(AI220="",WORKDAY.INTL(AC220,AF220,1,Holidays[Date]),AI220),"")</f>
        <v/>
      </c>
      <c r="AI220" s="78"/>
      <c r="AJ220" s="80"/>
      <c r="AK220" s="68"/>
      <c r="AL220" s="77" t="str">
        <f>IF(AQ220="","",WORKDAY.INTL(AQ220,AO220*-1,1,Holidays[Date]))</f>
        <v/>
      </c>
      <c r="AM220" s="77" t="str">
        <f ca="1">IFERROR(IF(AN220="",WORKDAY.INTL(AH220,AK220,1,Holidays[Date]),AN220),"")</f>
        <v/>
      </c>
      <c r="AN220" s="78"/>
      <c r="AO220" s="80"/>
      <c r="AP220" s="68"/>
      <c r="AQ220" s="77" t="str">
        <f>IF(AV220="","",WORKDAY.INTL(AV220,AT220*-1,1,Holidays[Date]))</f>
        <v/>
      </c>
      <c r="AR220" s="77" t="str">
        <f ca="1">IFERROR(IF(AS220="",WORKDAY.INTL(AM220,AP220,1,Holidays[Date]),AS220),"")</f>
        <v/>
      </c>
      <c r="AS220" s="78"/>
      <c r="AT220" s="80"/>
      <c r="AU220" s="68"/>
      <c r="AV220" s="77" t="str">
        <f>IF(BA220="","",WORKDAY.INTL(BA220,AY220*-1,1,Holidays[Date]))</f>
        <v/>
      </c>
      <c r="AW220" s="77" t="str">
        <f ca="1">IFERROR(IF(AX220="",WORKDAY.INTL(AR220,AU220,1,Holidays[Date]),AX220),"")</f>
        <v/>
      </c>
      <c r="AX220" s="78"/>
      <c r="AY220" s="80"/>
      <c r="AZ220" s="68"/>
      <c r="BA220" s="77" t="str">
        <f>IF(BF220="","",WORKDAY.INTL(BF220,BD220*-1,1,Holidays[Date]))</f>
        <v/>
      </c>
      <c r="BB220" s="77" t="str">
        <f ca="1">IFERROR(IF(BC220="",WORKDAY.INTL(AW220,AZ220,1,Holidays[Date]),BC220),"")</f>
        <v/>
      </c>
      <c r="BC220" s="78"/>
      <c r="BD220" s="80"/>
      <c r="BE220" s="68"/>
      <c r="BF220" s="77" t="str">
        <f>IF(BK220="","",WORKDAY.INTL(BK220,BI220*-1,1,Holidays[Date]))</f>
        <v/>
      </c>
      <c r="BG220" s="77" t="str">
        <f ca="1">IFERROR(IF(BH220="",WORKDAY.INTL(BB220,BE220,1,Holidays[Date]),BH220),"")</f>
        <v/>
      </c>
      <c r="BH220" s="78"/>
      <c r="BI220" s="80"/>
      <c r="BJ220" s="68"/>
      <c r="BK220" s="77" t="str">
        <f>IF(BP220="","",WORKDAY.INTL(BP220,BN220*-1,1,Holidays[Date]))</f>
        <v/>
      </c>
      <c r="BL220" s="77" t="str">
        <f ca="1">IFERROR(IF(BM220="",WORKDAY.INTL(BG220,BJ220,1,Holidays[Date]),BM220),"")</f>
        <v/>
      </c>
      <c r="BM220" s="78"/>
      <c r="BN220" s="80"/>
      <c r="BO220" s="68"/>
      <c r="BP220" s="77" t="str">
        <f>IF(BU220="","",WORKDAY.INTL(BU220,BS220*-1,1,Holidays[Date]))</f>
        <v/>
      </c>
      <c r="BQ220" s="77" t="str">
        <f ca="1">IFERROR(IF(BR220="",WORKDAY.INTL(BL220,BO220,1,Holidays[Date]),BR220),"")</f>
        <v/>
      </c>
      <c r="BR220" s="78"/>
      <c r="BS220" s="80"/>
      <c r="BT220" s="68"/>
      <c r="BU220" s="77" t="str">
        <f>IF(BZ220="","",WORKDAY.INTL(BZ220,BX220*-1,1,Holidays[Date]))</f>
        <v/>
      </c>
      <c r="BV220" s="77" t="str">
        <f ca="1">IFERROR(IF(BW220="",WORKDAY.INTL(BQ220,BT220,1,Holidays[Date]),BW220),"")</f>
        <v/>
      </c>
      <c r="BW220" s="78"/>
      <c r="BX220" s="80"/>
      <c r="BY220" s="68"/>
      <c r="BZ220" s="81"/>
      <c r="CA220" s="77" t="str">
        <f ca="1">IFERROR(IF(CB220="",WORKDAY.INTL(BV220,BY220,1,Holidays[Date]),CB220),"")</f>
        <v/>
      </c>
      <c r="CB220" s="78"/>
    </row>
    <row r="221" spans="1:80" ht="19" customHeight="1" x14ac:dyDescent="0.35">
      <c r="A221" s="31"/>
      <c r="B221" s="82"/>
      <c r="C221" s="1"/>
      <c r="D221" s="8"/>
      <c r="E221" s="8"/>
      <c r="F221" s="8"/>
      <c r="G221" s="8"/>
      <c r="H221" s="8"/>
      <c r="I221" s="9"/>
      <c r="J221" s="8"/>
      <c r="K221" s="8"/>
      <c r="L221" s="8"/>
      <c r="M221" s="8"/>
      <c r="N221" s="8"/>
      <c r="O221" s="8"/>
      <c r="P221" s="8"/>
      <c r="Q221" s="2"/>
      <c r="R221" s="2"/>
      <c r="S221" s="88" t="str">
        <f>IF(tblProcRegister[[#This Row],[Award]]&lt;&gt;"",tblProcRegister[[#This Row],[Budget]]-tblProcRegister[[#This Row],[Award]],"")</f>
        <v/>
      </c>
      <c r="T221" s="68"/>
      <c r="U221" s="68"/>
      <c r="V221" s="68"/>
      <c r="W221" s="77" t="str">
        <f>IF(AB221="","",WORKDAY.INTL(AB221,Z221*-1,1,Holidays[Date]))</f>
        <v/>
      </c>
      <c r="X221" s="77" t="str">
        <f t="shared" ca="1" si="3"/>
        <v/>
      </c>
      <c r="Y221" s="78"/>
      <c r="Z221" s="79"/>
      <c r="AA221" s="68"/>
      <c r="AB221" s="77" t="str">
        <f>IF(AG221="","",WORKDAY.INTL(AG221,AE221*-1,1,Holidays[Date]))</f>
        <v/>
      </c>
      <c r="AC221" s="77" t="str">
        <f ca="1">IFERROR(IF(AD221="",WORKDAY.INTL(X221,AA221,1,Holidays[Date]),AD221),"")</f>
        <v/>
      </c>
      <c r="AD221" s="78"/>
      <c r="AE221" s="80"/>
      <c r="AF221" s="68"/>
      <c r="AG221" s="77" t="str">
        <f>IF(AL221="","",WORKDAY.INTL(AL221,AJ221*-1,1,Holidays[Date]))</f>
        <v/>
      </c>
      <c r="AH221" s="77" t="str">
        <f ca="1">IFERROR(IF(AI221="",WORKDAY.INTL(AC221,AF221,1,Holidays[Date]),AI221),"")</f>
        <v/>
      </c>
      <c r="AI221" s="78"/>
      <c r="AJ221" s="80"/>
      <c r="AK221" s="68"/>
      <c r="AL221" s="77" t="str">
        <f>IF(AQ221="","",WORKDAY.INTL(AQ221,AO221*-1,1,Holidays[Date]))</f>
        <v/>
      </c>
      <c r="AM221" s="77" t="str">
        <f ca="1">IFERROR(IF(AN221="",WORKDAY.INTL(AH221,AK221,1,Holidays[Date]),AN221),"")</f>
        <v/>
      </c>
      <c r="AN221" s="78"/>
      <c r="AO221" s="80"/>
      <c r="AP221" s="68"/>
      <c r="AQ221" s="77" t="str">
        <f>IF(AV221="","",WORKDAY.INTL(AV221,AT221*-1,1,Holidays[Date]))</f>
        <v/>
      </c>
      <c r="AR221" s="77" t="str">
        <f ca="1">IFERROR(IF(AS221="",WORKDAY.INTL(AM221,AP221,1,Holidays[Date]),AS221),"")</f>
        <v/>
      </c>
      <c r="AS221" s="78"/>
      <c r="AT221" s="80"/>
      <c r="AU221" s="68"/>
      <c r="AV221" s="77" t="str">
        <f>IF(BA221="","",WORKDAY.INTL(BA221,AY221*-1,1,Holidays[Date]))</f>
        <v/>
      </c>
      <c r="AW221" s="77" t="str">
        <f ca="1">IFERROR(IF(AX221="",WORKDAY.INTL(AR221,AU221,1,Holidays[Date]),AX221),"")</f>
        <v/>
      </c>
      <c r="AX221" s="78"/>
      <c r="AY221" s="80"/>
      <c r="AZ221" s="68"/>
      <c r="BA221" s="77" t="str">
        <f>IF(BF221="","",WORKDAY.INTL(BF221,BD221*-1,1,Holidays[Date]))</f>
        <v/>
      </c>
      <c r="BB221" s="77" t="str">
        <f ca="1">IFERROR(IF(BC221="",WORKDAY.INTL(AW221,AZ221,1,Holidays[Date]),BC221),"")</f>
        <v/>
      </c>
      <c r="BC221" s="78"/>
      <c r="BD221" s="80"/>
      <c r="BE221" s="68"/>
      <c r="BF221" s="77" t="str">
        <f>IF(BK221="","",WORKDAY.INTL(BK221,BI221*-1,1,Holidays[Date]))</f>
        <v/>
      </c>
      <c r="BG221" s="77" t="str">
        <f ca="1">IFERROR(IF(BH221="",WORKDAY.INTL(BB221,BE221,1,Holidays[Date]),BH221),"")</f>
        <v/>
      </c>
      <c r="BH221" s="78"/>
      <c r="BI221" s="80"/>
      <c r="BJ221" s="68"/>
      <c r="BK221" s="77" t="str">
        <f>IF(BP221="","",WORKDAY.INTL(BP221,BN221*-1,1,Holidays[Date]))</f>
        <v/>
      </c>
      <c r="BL221" s="77" t="str">
        <f ca="1">IFERROR(IF(BM221="",WORKDAY.INTL(BG221,BJ221,1,Holidays[Date]),BM221),"")</f>
        <v/>
      </c>
      <c r="BM221" s="78"/>
      <c r="BN221" s="80"/>
      <c r="BO221" s="68"/>
      <c r="BP221" s="77" t="str">
        <f>IF(BU221="","",WORKDAY.INTL(BU221,BS221*-1,1,Holidays[Date]))</f>
        <v/>
      </c>
      <c r="BQ221" s="77" t="str">
        <f ca="1">IFERROR(IF(BR221="",WORKDAY.INTL(BL221,BO221,1,Holidays[Date]),BR221),"")</f>
        <v/>
      </c>
      <c r="BR221" s="78"/>
      <c r="BS221" s="80"/>
      <c r="BT221" s="68"/>
      <c r="BU221" s="77" t="str">
        <f>IF(BZ221="","",WORKDAY.INTL(BZ221,BX221*-1,1,Holidays[Date]))</f>
        <v/>
      </c>
      <c r="BV221" s="77" t="str">
        <f ca="1">IFERROR(IF(BW221="",WORKDAY.INTL(BQ221,BT221,1,Holidays[Date]),BW221),"")</f>
        <v/>
      </c>
      <c r="BW221" s="78"/>
      <c r="BX221" s="80"/>
      <c r="BY221" s="68"/>
      <c r="BZ221" s="81"/>
      <c r="CA221" s="77" t="str">
        <f ca="1">IFERROR(IF(CB221="",WORKDAY.INTL(BV221,BY221,1,Holidays[Date]),CB221),"")</f>
        <v/>
      </c>
      <c r="CB221" s="78"/>
    </row>
    <row r="222" spans="1:80" ht="19" customHeight="1" x14ac:dyDescent="0.35">
      <c r="A222" s="31"/>
      <c r="B222" s="82"/>
      <c r="C222" s="1"/>
      <c r="D222" s="8"/>
      <c r="E222" s="8"/>
      <c r="F222" s="8"/>
      <c r="G222" s="8"/>
      <c r="H222" s="8"/>
      <c r="I222" s="9"/>
      <c r="J222" s="8"/>
      <c r="K222" s="8"/>
      <c r="L222" s="8"/>
      <c r="M222" s="8"/>
      <c r="N222" s="8"/>
      <c r="O222" s="8"/>
      <c r="P222" s="8"/>
      <c r="Q222" s="2"/>
      <c r="R222" s="2"/>
      <c r="S222" s="88" t="str">
        <f>IF(tblProcRegister[[#This Row],[Award]]&lt;&gt;"",tblProcRegister[[#This Row],[Budget]]-tblProcRegister[[#This Row],[Award]],"")</f>
        <v/>
      </c>
      <c r="T222" s="68"/>
      <c r="U222" s="68"/>
      <c r="V222" s="68"/>
      <c r="W222" s="77" t="str">
        <f>IF(AB222="","",WORKDAY.INTL(AB222,Z222*-1,1,Holidays[Date]))</f>
        <v/>
      </c>
      <c r="X222" s="77" t="str">
        <f t="shared" ca="1" si="3"/>
        <v/>
      </c>
      <c r="Y222" s="78"/>
      <c r="Z222" s="79"/>
      <c r="AA222" s="68"/>
      <c r="AB222" s="77" t="str">
        <f>IF(AG222="","",WORKDAY.INTL(AG222,AE222*-1,1,Holidays[Date]))</f>
        <v/>
      </c>
      <c r="AC222" s="77" t="str">
        <f ca="1">IFERROR(IF(AD222="",WORKDAY.INTL(X222,AA222,1,Holidays[Date]),AD222),"")</f>
        <v/>
      </c>
      <c r="AD222" s="78"/>
      <c r="AE222" s="80"/>
      <c r="AF222" s="68"/>
      <c r="AG222" s="77" t="str">
        <f>IF(AL222="","",WORKDAY.INTL(AL222,AJ222*-1,1,Holidays[Date]))</f>
        <v/>
      </c>
      <c r="AH222" s="77" t="str">
        <f ca="1">IFERROR(IF(AI222="",WORKDAY.INTL(AC222,AF222,1,Holidays[Date]),AI222),"")</f>
        <v/>
      </c>
      <c r="AI222" s="78"/>
      <c r="AJ222" s="80"/>
      <c r="AK222" s="68"/>
      <c r="AL222" s="77" t="str">
        <f>IF(AQ222="","",WORKDAY.INTL(AQ222,AO222*-1,1,Holidays[Date]))</f>
        <v/>
      </c>
      <c r="AM222" s="77" t="str">
        <f ca="1">IFERROR(IF(AN222="",WORKDAY.INTL(AH222,AK222,1,Holidays[Date]),AN222),"")</f>
        <v/>
      </c>
      <c r="AN222" s="78"/>
      <c r="AO222" s="80"/>
      <c r="AP222" s="68"/>
      <c r="AQ222" s="77" t="str">
        <f>IF(AV222="","",WORKDAY.INTL(AV222,AT222*-1,1,Holidays[Date]))</f>
        <v/>
      </c>
      <c r="AR222" s="77" t="str">
        <f ca="1">IFERROR(IF(AS222="",WORKDAY.INTL(AM222,AP222,1,Holidays[Date]),AS222),"")</f>
        <v/>
      </c>
      <c r="AS222" s="78"/>
      <c r="AT222" s="80"/>
      <c r="AU222" s="68"/>
      <c r="AV222" s="77" t="str">
        <f>IF(BA222="","",WORKDAY.INTL(BA222,AY222*-1,1,Holidays[Date]))</f>
        <v/>
      </c>
      <c r="AW222" s="77" t="str">
        <f ca="1">IFERROR(IF(AX222="",WORKDAY.INTL(AR222,AU222,1,Holidays[Date]),AX222),"")</f>
        <v/>
      </c>
      <c r="AX222" s="78"/>
      <c r="AY222" s="80"/>
      <c r="AZ222" s="68"/>
      <c r="BA222" s="77" t="str">
        <f>IF(BF222="","",WORKDAY.INTL(BF222,BD222*-1,1,Holidays[Date]))</f>
        <v/>
      </c>
      <c r="BB222" s="77" t="str">
        <f ca="1">IFERROR(IF(BC222="",WORKDAY.INTL(AW222,AZ222,1,Holidays[Date]),BC222),"")</f>
        <v/>
      </c>
      <c r="BC222" s="78"/>
      <c r="BD222" s="80"/>
      <c r="BE222" s="68"/>
      <c r="BF222" s="77" t="str">
        <f>IF(BK222="","",WORKDAY.INTL(BK222,BI222*-1,1,Holidays[Date]))</f>
        <v/>
      </c>
      <c r="BG222" s="77" t="str">
        <f ca="1">IFERROR(IF(BH222="",WORKDAY.INTL(BB222,BE222,1,Holidays[Date]),BH222),"")</f>
        <v/>
      </c>
      <c r="BH222" s="78"/>
      <c r="BI222" s="80"/>
      <c r="BJ222" s="68"/>
      <c r="BK222" s="77" t="str">
        <f>IF(BP222="","",WORKDAY.INTL(BP222,BN222*-1,1,Holidays[Date]))</f>
        <v/>
      </c>
      <c r="BL222" s="77" t="str">
        <f ca="1">IFERROR(IF(BM222="",WORKDAY.INTL(BG222,BJ222,1,Holidays[Date]),BM222),"")</f>
        <v/>
      </c>
      <c r="BM222" s="78"/>
      <c r="BN222" s="80"/>
      <c r="BO222" s="68"/>
      <c r="BP222" s="77" t="str">
        <f>IF(BU222="","",WORKDAY.INTL(BU222,BS222*-1,1,Holidays[Date]))</f>
        <v/>
      </c>
      <c r="BQ222" s="77" t="str">
        <f ca="1">IFERROR(IF(BR222="",WORKDAY.INTL(BL222,BO222,1,Holidays[Date]),BR222),"")</f>
        <v/>
      </c>
      <c r="BR222" s="78"/>
      <c r="BS222" s="80"/>
      <c r="BT222" s="68"/>
      <c r="BU222" s="77" t="str">
        <f>IF(BZ222="","",WORKDAY.INTL(BZ222,BX222*-1,1,Holidays[Date]))</f>
        <v/>
      </c>
      <c r="BV222" s="77" t="str">
        <f ca="1">IFERROR(IF(BW222="",WORKDAY.INTL(BQ222,BT222,1,Holidays[Date]),BW222),"")</f>
        <v/>
      </c>
      <c r="BW222" s="78"/>
      <c r="BX222" s="80"/>
      <c r="BY222" s="68"/>
      <c r="BZ222" s="81"/>
      <c r="CA222" s="77" t="str">
        <f ca="1">IFERROR(IF(CB222="",WORKDAY.INTL(BV222,BY222,1,Holidays[Date]),CB222),"")</f>
        <v/>
      </c>
      <c r="CB222" s="78"/>
    </row>
    <row r="223" spans="1:80" ht="19" customHeight="1" x14ac:dyDescent="0.35">
      <c r="A223" s="31"/>
      <c r="B223" s="82"/>
      <c r="C223" s="1"/>
      <c r="D223" s="8"/>
      <c r="E223" s="8"/>
      <c r="F223" s="8"/>
      <c r="G223" s="8"/>
      <c r="H223" s="8"/>
      <c r="I223" s="9"/>
      <c r="J223" s="8"/>
      <c r="K223" s="8"/>
      <c r="L223" s="8"/>
      <c r="M223" s="8"/>
      <c r="N223" s="8"/>
      <c r="O223" s="8"/>
      <c r="P223" s="8"/>
      <c r="Q223" s="2"/>
      <c r="R223" s="2"/>
      <c r="S223" s="88" t="str">
        <f>IF(tblProcRegister[[#This Row],[Award]]&lt;&gt;"",tblProcRegister[[#This Row],[Budget]]-tblProcRegister[[#This Row],[Award]],"")</f>
        <v/>
      </c>
      <c r="T223" s="68"/>
      <c r="U223" s="68"/>
      <c r="V223" s="68"/>
      <c r="W223" s="77" t="str">
        <f>IF(AB223="","",WORKDAY.INTL(AB223,Z223*-1,1,Holidays[Date]))</f>
        <v/>
      </c>
      <c r="X223" s="77" t="str">
        <f t="shared" ca="1" si="3"/>
        <v/>
      </c>
      <c r="Y223" s="78"/>
      <c r="Z223" s="79"/>
      <c r="AA223" s="68"/>
      <c r="AB223" s="77" t="str">
        <f>IF(AG223="","",WORKDAY.INTL(AG223,AE223*-1,1,Holidays[Date]))</f>
        <v/>
      </c>
      <c r="AC223" s="77" t="str">
        <f ca="1">IFERROR(IF(AD223="",WORKDAY.INTL(X223,AA223,1,Holidays[Date]),AD223),"")</f>
        <v/>
      </c>
      <c r="AD223" s="78"/>
      <c r="AE223" s="80"/>
      <c r="AF223" s="68"/>
      <c r="AG223" s="77" t="str">
        <f>IF(AL223="","",WORKDAY.INTL(AL223,AJ223*-1,1,Holidays[Date]))</f>
        <v/>
      </c>
      <c r="AH223" s="77" t="str">
        <f ca="1">IFERROR(IF(AI223="",WORKDAY.INTL(AC223,AF223,1,Holidays[Date]),AI223),"")</f>
        <v/>
      </c>
      <c r="AI223" s="78"/>
      <c r="AJ223" s="80"/>
      <c r="AK223" s="68"/>
      <c r="AL223" s="77" t="str">
        <f>IF(AQ223="","",WORKDAY.INTL(AQ223,AO223*-1,1,Holidays[Date]))</f>
        <v/>
      </c>
      <c r="AM223" s="77" t="str">
        <f ca="1">IFERROR(IF(AN223="",WORKDAY.INTL(AH223,AK223,1,Holidays[Date]),AN223),"")</f>
        <v/>
      </c>
      <c r="AN223" s="78"/>
      <c r="AO223" s="80"/>
      <c r="AP223" s="68"/>
      <c r="AQ223" s="77" t="str">
        <f>IF(AV223="","",WORKDAY.INTL(AV223,AT223*-1,1,Holidays[Date]))</f>
        <v/>
      </c>
      <c r="AR223" s="77" t="str">
        <f ca="1">IFERROR(IF(AS223="",WORKDAY.INTL(AM223,AP223,1,Holidays[Date]),AS223),"")</f>
        <v/>
      </c>
      <c r="AS223" s="78"/>
      <c r="AT223" s="80"/>
      <c r="AU223" s="68"/>
      <c r="AV223" s="77" t="str">
        <f>IF(BA223="","",WORKDAY.INTL(BA223,AY223*-1,1,Holidays[Date]))</f>
        <v/>
      </c>
      <c r="AW223" s="77" t="str">
        <f ca="1">IFERROR(IF(AX223="",WORKDAY.INTL(AR223,AU223,1,Holidays[Date]),AX223),"")</f>
        <v/>
      </c>
      <c r="AX223" s="78"/>
      <c r="AY223" s="80"/>
      <c r="AZ223" s="68"/>
      <c r="BA223" s="77" t="str">
        <f>IF(BF223="","",WORKDAY.INTL(BF223,BD223*-1,1,Holidays[Date]))</f>
        <v/>
      </c>
      <c r="BB223" s="77" t="str">
        <f ca="1">IFERROR(IF(BC223="",WORKDAY.INTL(AW223,AZ223,1,Holidays[Date]),BC223),"")</f>
        <v/>
      </c>
      <c r="BC223" s="78"/>
      <c r="BD223" s="80"/>
      <c r="BE223" s="68"/>
      <c r="BF223" s="77" t="str">
        <f>IF(BK223="","",WORKDAY.INTL(BK223,BI223*-1,1,Holidays[Date]))</f>
        <v/>
      </c>
      <c r="BG223" s="77" t="str">
        <f ca="1">IFERROR(IF(BH223="",WORKDAY.INTL(BB223,BE223,1,Holidays[Date]),BH223),"")</f>
        <v/>
      </c>
      <c r="BH223" s="78"/>
      <c r="BI223" s="80"/>
      <c r="BJ223" s="68"/>
      <c r="BK223" s="77" t="str">
        <f>IF(BP223="","",WORKDAY.INTL(BP223,BN223*-1,1,Holidays[Date]))</f>
        <v/>
      </c>
      <c r="BL223" s="77" t="str">
        <f ca="1">IFERROR(IF(BM223="",WORKDAY.INTL(BG223,BJ223,1,Holidays[Date]),BM223),"")</f>
        <v/>
      </c>
      <c r="BM223" s="78"/>
      <c r="BN223" s="80"/>
      <c r="BO223" s="68"/>
      <c r="BP223" s="77" t="str">
        <f>IF(BU223="","",WORKDAY.INTL(BU223,BS223*-1,1,Holidays[Date]))</f>
        <v/>
      </c>
      <c r="BQ223" s="77" t="str">
        <f ca="1">IFERROR(IF(BR223="",WORKDAY.INTL(BL223,BO223,1,Holidays[Date]),BR223),"")</f>
        <v/>
      </c>
      <c r="BR223" s="78"/>
      <c r="BS223" s="80"/>
      <c r="BT223" s="68"/>
      <c r="BU223" s="77" t="str">
        <f>IF(BZ223="","",WORKDAY.INTL(BZ223,BX223*-1,1,Holidays[Date]))</f>
        <v/>
      </c>
      <c r="BV223" s="77" t="str">
        <f ca="1">IFERROR(IF(BW223="",WORKDAY.INTL(BQ223,BT223,1,Holidays[Date]),BW223),"")</f>
        <v/>
      </c>
      <c r="BW223" s="78"/>
      <c r="BX223" s="80"/>
      <c r="BY223" s="68"/>
      <c r="BZ223" s="81"/>
      <c r="CA223" s="77" t="str">
        <f ca="1">IFERROR(IF(CB223="",WORKDAY.INTL(BV223,BY223,1,Holidays[Date]),CB223),"")</f>
        <v/>
      </c>
      <c r="CB223" s="78"/>
    </row>
    <row r="224" spans="1:80" ht="19" customHeight="1" x14ac:dyDescent="0.35">
      <c r="A224" s="31"/>
      <c r="B224" s="82"/>
      <c r="C224" s="1"/>
      <c r="D224" s="8"/>
      <c r="E224" s="8"/>
      <c r="F224" s="8"/>
      <c r="G224" s="8"/>
      <c r="H224" s="8"/>
      <c r="I224" s="9"/>
      <c r="J224" s="8"/>
      <c r="K224" s="8"/>
      <c r="L224" s="8"/>
      <c r="M224" s="8"/>
      <c r="N224" s="8"/>
      <c r="O224" s="8"/>
      <c r="P224" s="8"/>
      <c r="Q224" s="2"/>
      <c r="R224" s="2"/>
      <c r="S224" s="88" t="str">
        <f>IF(tblProcRegister[[#This Row],[Award]]&lt;&gt;"",tblProcRegister[[#This Row],[Budget]]-tblProcRegister[[#This Row],[Award]],"")</f>
        <v/>
      </c>
      <c r="T224" s="68"/>
      <c r="U224" s="68"/>
      <c r="V224" s="68"/>
      <c r="W224" s="77" t="str">
        <f>IF(AB224="","",WORKDAY.INTL(AB224,Z224*-1,1,Holidays[Date]))</f>
        <v/>
      </c>
      <c r="X224" s="77" t="str">
        <f t="shared" ca="1" si="3"/>
        <v/>
      </c>
      <c r="Y224" s="78"/>
      <c r="Z224" s="79"/>
      <c r="AA224" s="68"/>
      <c r="AB224" s="77" t="str">
        <f>IF(AG224="","",WORKDAY.INTL(AG224,AE224*-1,1,Holidays[Date]))</f>
        <v/>
      </c>
      <c r="AC224" s="77" t="str">
        <f ca="1">IFERROR(IF(AD224="",WORKDAY.INTL(X224,AA224,1,Holidays[Date]),AD224),"")</f>
        <v/>
      </c>
      <c r="AD224" s="78"/>
      <c r="AE224" s="80"/>
      <c r="AF224" s="68"/>
      <c r="AG224" s="77" t="str">
        <f>IF(AL224="","",WORKDAY.INTL(AL224,AJ224*-1,1,Holidays[Date]))</f>
        <v/>
      </c>
      <c r="AH224" s="77" t="str">
        <f ca="1">IFERROR(IF(AI224="",WORKDAY.INTL(AC224,AF224,1,Holidays[Date]),AI224),"")</f>
        <v/>
      </c>
      <c r="AI224" s="78"/>
      <c r="AJ224" s="80"/>
      <c r="AK224" s="68"/>
      <c r="AL224" s="77" t="str">
        <f>IF(AQ224="","",WORKDAY.INTL(AQ224,AO224*-1,1,Holidays[Date]))</f>
        <v/>
      </c>
      <c r="AM224" s="77" t="str">
        <f ca="1">IFERROR(IF(AN224="",WORKDAY.INTL(AH224,AK224,1,Holidays[Date]),AN224),"")</f>
        <v/>
      </c>
      <c r="AN224" s="78"/>
      <c r="AO224" s="80"/>
      <c r="AP224" s="68"/>
      <c r="AQ224" s="77" t="str">
        <f>IF(AV224="","",WORKDAY.INTL(AV224,AT224*-1,1,Holidays[Date]))</f>
        <v/>
      </c>
      <c r="AR224" s="77" t="str">
        <f ca="1">IFERROR(IF(AS224="",WORKDAY.INTL(AM224,AP224,1,Holidays[Date]),AS224),"")</f>
        <v/>
      </c>
      <c r="AS224" s="78"/>
      <c r="AT224" s="80"/>
      <c r="AU224" s="68"/>
      <c r="AV224" s="77" t="str">
        <f>IF(BA224="","",WORKDAY.INTL(BA224,AY224*-1,1,Holidays[Date]))</f>
        <v/>
      </c>
      <c r="AW224" s="77" t="str">
        <f ca="1">IFERROR(IF(AX224="",WORKDAY.INTL(AR224,AU224,1,Holidays[Date]),AX224),"")</f>
        <v/>
      </c>
      <c r="AX224" s="78"/>
      <c r="AY224" s="80"/>
      <c r="AZ224" s="68"/>
      <c r="BA224" s="77" t="str">
        <f>IF(BF224="","",WORKDAY.INTL(BF224,BD224*-1,1,Holidays[Date]))</f>
        <v/>
      </c>
      <c r="BB224" s="77" t="str">
        <f ca="1">IFERROR(IF(BC224="",WORKDAY.INTL(AW224,AZ224,1,Holidays[Date]),BC224),"")</f>
        <v/>
      </c>
      <c r="BC224" s="78"/>
      <c r="BD224" s="80"/>
      <c r="BE224" s="68"/>
      <c r="BF224" s="77" t="str">
        <f>IF(BK224="","",WORKDAY.INTL(BK224,BI224*-1,1,Holidays[Date]))</f>
        <v/>
      </c>
      <c r="BG224" s="77" t="str">
        <f ca="1">IFERROR(IF(BH224="",WORKDAY.INTL(BB224,BE224,1,Holidays[Date]),BH224),"")</f>
        <v/>
      </c>
      <c r="BH224" s="78"/>
      <c r="BI224" s="80"/>
      <c r="BJ224" s="68"/>
      <c r="BK224" s="77" t="str">
        <f>IF(BP224="","",WORKDAY.INTL(BP224,BN224*-1,1,Holidays[Date]))</f>
        <v/>
      </c>
      <c r="BL224" s="77" t="str">
        <f ca="1">IFERROR(IF(BM224="",WORKDAY.INTL(BG224,BJ224,1,Holidays[Date]),BM224),"")</f>
        <v/>
      </c>
      <c r="BM224" s="78"/>
      <c r="BN224" s="80"/>
      <c r="BO224" s="68"/>
      <c r="BP224" s="77" t="str">
        <f>IF(BU224="","",WORKDAY.INTL(BU224,BS224*-1,1,Holidays[Date]))</f>
        <v/>
      </c>
      <c r="BQ224" s="77" t="str">
        <f ca="1">IFERROR(IF(BR224="",WORKDAY.INTL(BL224,BO224,1,Holidays[Date]),BR224),"")</f>
        <v/>
      </c>
      <c r="BR224" s="78"/>
      <c r="BS224" s="80"/>
      <c r="BT224" s="68"/>
      <c r="BU224" s="77" t="str">
        <f>IF(BZ224="","",WORKDAY.INTL(BZ224,BX224*-1,1,Holidays[Date]))</f>
        <v/>
      </c>
      <c r="BV224" s="77" t="str">
        <f ca="1">IFERROR(IF(BW224="",WORKDAY.INTL(BQ224,BT224,1,Holidays[Date]),BW224),"")</f>
        <v/>
      </c>
      <c r="BW224" s="78"/>
      <c r="BX224" s="80"/>
      <c r="BY224" s="68"/>
      <c r="BZ224" s="81"/>
      <c r="CA224" s="77" t="str">
        <f ca="1">IFERROR(IF(CB224="",WORKDAY.INTL(BV224,BY224,1,Holidays[Date]),CB224),"")</f>
        <v/>
      </c>
      <c r="CB224" s="78"/>
    </row>
    <row r="225" spans="1:80" ht="19" customHeight="1" x14ac:dyDescent="0.35">
      <c r="A225" s="31"/>
      <c r="B225" s="82"/>
      <c r="C225" s="1"/>
      <c r="D225" s="8"/>
      <c r="E225" s="8"/>
      <c r="F225" s="8"/>
      <c r="G225" s="8"/>
      <c r="H225" s="8"/>
      <c r="I225" s="9"/>
      <c r="J225" s="8"/>
      <c r="K225" s="8"/>
      <c r="L225" s="8"/>
      <c r="M225" s="8"/>
      <c r="N225" s="8"/>
      <c r="O225" s="8"/>
      <c r="P225" s="8"/>
      <c r="Q225" s="2"/>
      <c r="R225" s="2"/>
      <c r="S225" s="88" t="str">
        <f>IF(tblProcRegister[[#This Row],[Award]]&lt;&gt;"",tblProcRegister[[#This Row],[Budget]]-tblProcRegister[[#This Row],[Award]],"")</f>
        <v/>
      </c>
      <c r="T225" s="68"/>
      <c r="U225" s="68"/>
      <c r="V225" s="68"/>
      <c r="W225" s="77" t="str">
        <f>IF(AB225="","",WORKDAY.INTL(AB225,Z225*-1,1,Holidays[Date]))</f>
        <v/>
      </c>
      <c r="X225" s="77" t="str">
        <f t="shared" ca="1" si="3"/>
        <v/>
      </c>
      <c r="Y225" s="78"/>
      <c r="Z225" s="79"/>
      <c r="AA225" s="68"/>
      <c r="AB225" s="77" t="str">
        <f>IF(AG225="","",WORKDAY.INTL(AG225,AE225*-1,1,Holidays[Date]))</f>
        <v/>
      </c>
      <c r="AC225" s="77" t="str">
        <f ca="1">IFERROR(IF(AD225="",WORKDAY.INTL(X225,AA225,1,Holidays[Date]),AD225),"")</f>
        <v/>
      </c>
      <c r="AD225" s="78"/>
      <c r="AE225" s="80"/>
      <c r="AF225" s="68"/>
      <c r="AG225" s="77" t="str">
        <f>IF(AL225="","",WORKDAY.INTL(AL225,AJ225*-1,1,Holidays[Date]))</f>
        <v/>
      </c>
      <c r="AH225" s="77" t="str">
        <f ca="1">IFERROR(IF(AI225="",WORKDAY.INTL(AC225,AF225,1,Holidays[Date]),AI225),"")</f>
        <v/>
      </c>
      <c r="AI225" s="78"/>
      <c r="AJ225" s="80"/>
      <c r="AK225" s="68"/>
      <c r="AL225" s="77" t="str">
        <f>IF(AQ225="","",WORKDAY.INTL(AQ225,AO225*-1,1,Holidays[Date]))</f>
        <v/>
      </c>
      <c r="AM225" s="77" t="str">
        <f ca="1">IFERROR(IF(AN225="",WORKDAY.INTL(AH225,AK225,1,Holidays[Date]),AN225),"")</f>
        <v/>
      </c>
      <c r="AN225" s="78"/>
      <c r="AO225" s="80"/>
      <c r="AP225" s="68"/>
      <c r="AQ225" s="77" t="str">
        <f>IF(AV225="","",WORKDAY.INTL(AV225,AT225*-1,1,Holidays[Date]))</f>
        <v/>
      </c>
      <c r="AR225" s="77" t="str">
        <f ca="1">IFERROR(IF(AS225="",WORKDAY.INTL(AM225,AP225,1,Holidays[Date]),AS225),"")</f>
        <v/>
      </c>
      <c r="AS225" s="78"/>
      <c r="AT225" s="80"/>
      <c r="AU225" s="68"/>
      <c r="AV225" s="77" t="str">
        <f>IF(BA225="","",WORKDAY.INTL(BA225,AY225*-1,1,Holidays[Date]))</f>
        <v/>
      </c>
      <c r="AW225" s="77" t="str">
        <f ca="1">IFERROR(IF(AX225="",WORKDAY.INTL(AR225,AU225,1,Holidays[Date]),AX225),"")</f>
        <v/>
      </c>
      <c r="AX225" s="78"/>
      <c r="AY225" s="80"/>
      <c r="AZ225" s="68"/>
      <c r="BA225" s="77" t="str">
        <f>IF(BF225="","",WORKDAY.INTL(BF225,BD225*-1,1,Holidays[Date]))</f>
        <v/>
      </c>
      <c r="BB225" s="77" t="str">
        <f ca="1">IFERROR(IF(BC225="",WORKDAY.INTL(AW225,AZ225,1,Holidays[Date]),BC225),"")</f>
        <v/>
      </c>
      <c r="BC225" s="78"/>
      <c r="BD225" s="80"/>
      <c r="BE225" s="68"/>
      <c r="BF225" s="77" t="str">
        <f>IF(BK225="","",WORKDAY.INTL(BK225,BI225*-1,1,Holidays[Date]))</f>
        <v/>
      </c>
      <c r="BG225" s="77" t="str">
        <f ca="1">IFERROR(IF(BH225="",WORKDAY.INTL(BB225,BE225,1,Holidays[Date]),BH225),"")</f>
        <v/>
      </c>
      <c r="BH225" s="78"/>
      <c r="BI225" s="80"/>
      <c r="BJ225" s="68"/>
      <c r="BK225" s="77" t="str">
        <f>IF(BP225="","",WORKDAY.INTL(BP225,BN225*-1,1,Holidays[Date]))</f>
        <v/>
      </c>
      <c r="BL225" s="77" t="str">
        <f ca="1">IFERROR(IF(BM225="",WORKDAY.INTL(BG225,BJ225,1,Holidays[Date]),BM225),"")</f>
        <v/>
      </c>
      <c r="BM225" s="78"/>
      <c r="BN225" s="80"/>
      <c r="BO225" s="68"/>
      <c r="BP225" s="77" t="str">
        <f>IF(BU225="","",WORKDAY.INTL(BU225,BS225*-1,1,Holidays[Date]))</f>
        <v/>
      </c>
      <c r="BQ225" s="77" t="str">
        <f ca="1">IFERROR(IF(BR225="",WORKDAY.INTL(BL225,BO225,1,Holidays[Date]),BR225),"")</f>
        <v/>
      </c>
      <c r="BR225" s="78"/>
      <c r="BS225" s="80"/>
      <c r="BT225" s="68"/>
      <c r="BU225" s="77" t="str">
        <f>IF(BZ225="","",WORKDAY.INTL(BZ225,BX225*-1,1,Holidays[Date]))</f>
        <v/>
      </c>
      <c r="BV225" s="77" t="str">
        <f ca="1">IFERROR(IF(BW225="",WORKDAY.INTL(BQ225,BT225,1,Holidays[Date]),BW225),"")</f>
        <v/>
      </c>
      <c r="BW225" s="78"/>
      <c r="BX225" s="80"/>
      <c r="BY225" s="68"/>
      <c r="BZ225" s="81"/>
      <c r="CA225" s="77" t="str">
        <f ca="1">IFERROR(IF(CB225="",WORKDAY.INTL(BV225,BY225,1,Holidays[Date]),CB225),"")</f>
        <v/>
      </c>
      <c r="CB225" s="78"/>
    </row>
    <row r="226" spans="1:80" ht="19" customHeight="1" x14ac:dyDescent="0.35">
      <c r="A226" s="31"/>
      <c r="B226" s="82"/>
      <c r="C226" s="1"/>
      <c r="D226" s="8"/>
      <c r="E226" s="8"/>
      <c r="F226" s="8"/>
      <c r="G226" s="8"/>
      <c r="H226" s="8"/>
      <c r="I226" s="9"/>
      <c r="J226" s="8"/>
      <c r="K226" s="8"/>
      <c r="L226" s="8"/>
      <c r="M226" s="8"/>
      <c r="N226" s="8"/>
      <c r="O226" s="8"/>
      <c r="P226" s="8"/>
      <c r="Q226" s="2"/>
      <c r="R226" s="2"/>
      <c r="S226" s="88" t="str">
        <f>IF(tblProcRegister[[#This Row],[Award]]&lt;&gt;"",tblProcRegister[[#This Row],[Budget]]-tblProcRegister[[#This Row],[Award]],"")</f>
        <v/>
      </c>
      <c r="T226" s="68"/>
      <c r="U226" s="68"/>
      <c r="V226" s="68"/>
      <c r="W226" s="77" t="str">
        <f>IF(AB226="","",WORKDAY.INTL(AB226,Z226*-1,1,Holidays[Date]))</f>
        <v/>
      </c>
      <c r="X226" s="77" t="str">
        <f t="shared" ca="1" si="3"/>
        <v/>
      </c>
      <c r="Y226" s="78"/>
      <c r="Z226" s="79"/>
      <c r="AA226" s="68"/>
      <c r="AB226" s="77" t="str">
        <f>IF(AG226="","",WORKDAY.INTL(AG226,AE226*-1,1,Holidays[Date]))</f>
        <v/>
      </c>
      <c r="AC226" s="77" t="str">
        <f ca="1">IFERROR(IF(AD226="",WORKDAY.INTL(X226,AA226,1,Holidays[Date]),AD226),"")</f>
        <v/>
      </c>
      <c r="AD226" s="78"/>
      <c r="AE226" s="80"/>
      <c r="AF226" s="68"/>
      <c r="AG226" s="77" t="str">
        <f>IF(AL226="","",WORKDAY.INTL(AL226,AJ226*-1,1,Holidays[Date]))</f>
        <v/>
      </c>
      <c r="AH226" s="77" t="str">
        <f ca="1">IFERROR(IF(AI226="",WORKDAY.INTL(AC226,AF226,1,Holidays[Date]),AI226),"")</f>
        <v/>
      </c>
      <c r="AI226" s="78"/>
      <c r="AJ226" s="80"/>
      <c r="AK226" s="68"/>
      <c r="AL226" s="77" t="str">
        <f>IF(AQ226="","",WORKDAY.INTL(AQ226,AO226*-1,1,Holidays[Date]))</f>
        <v/>
      </c>
      <c r="AM226" s="77" t="str">
        <f ca="1">IFERROR(IF(AN226="",WORKDAY.INTL(AH226,AK226,1,Holidays[Date]),AN226),"")</f>
        <v/>
      </c>
      <c r="AN226" s="78"/>
      <c r="AO226" s="80"/>
      <c r="AP226" s="68"/>
      <c r="AQ226" s="77" t="str">
        <f>IF(AV226="","",WORKDAY.INTL(AV226,AT226*-1,1,Holidays[Date]))</f>
        <v/>
      </c>
      <c r="AR226" s="77" t="str">
        <f ca="1">IFERROR(IF(AS226="",WORKDAY.INTL(AM226,AP226,1,Holidays[Date]),AS226),"")</f>
        <v/>
      </c>
      <c r="AS226" s="78"/>
      <c r="AT226" s="80"/>
      <c r="AU226" s="68"/>
      <c r="AV226" s="77" t="str">
        <f>IF(BA226="","",WORKDAY.INTL(BA226,AY226*-1,1,Holidays[Date]))</f>
        <v/>
      </c>
      <c r="AW226" s="77" t="str">
        <f ca="1">IFERROR(IF(AX226="",WORKDAY.INTL(AR226,AU226,1,Holidays[Date]),AX226),"")</f>
        <v/>
      </c>
      <c r="AX226" s="78"/>
      <c r="AY226" s="80"/>
      <c r="AZ226" s="68"/>
      <c r="BA226" s="77" t="str">
        <f>IF(BF226="","",WORKDAY.INTL(BF226,BD226*-1,1,Holidays[Date]))</f>
        <v/>
      </c>
      <c r="BB226" s="77" t="str">
        <f ca="1">IFERROR(IF(BC226="",WORKDAY.INTL(AW226,AZ226,1,Holidays[Date]),BC226),"")</f>
        <v/>
      </c>
      <c r="BC226" s="78"/>
      <c r="BD226" s="80"/>
      <c r="BE226" s="68"/>
      <c r="BF226" s="77" t="str">
        <f>IF(BK226="","",WORKDAY.INTL(BK226,BI226*-1,1,Holidays[Date]))</f>
        <v/>
      </c>
      <c r="BG226" s="77" t="str">
        <f ca="1">IFERROR(IF(BH226="",WORKDAY.INTL(BB226,BE226,1,Holidays[Date]),BH226),"")</f>
        <v/>
      </c>
      <c r="BH226" s="78"/>
      <c r="BI226" s="80"/>
      <c r="BJ226" s="68"/>
      <c r="BK226" s="77" t="str">
        <f>IF(BP226="","",WORKDAY.INTL(BP226,BN226*-1,1,Holidays[Date]))</f>
        <v/>
      </c>
      <c r="BL226" s="77" t="str">
        <f ca="1">IFERROR(IF(BM226="",WORKDAY.INTL(BG226,BJ226,1,Holidays[Date]),BM226),"")</f>
        <v/>
      </c>
      <c r="BM226" s="78"/>
      <c r="BN226" s="80"/>
      <c r="BO226" s="68"/>
      <c r="BP226" s="77" t="str">
        <f>IF(BU226="","",WORKDAY.INTL(BU226,BS226*-1,1,Holidays[Date]))</f>
        <v/>
      </c>
      <c r="BQ226" s="77" t="str">
        <f ca="1">IFERROR(IF(BR226="",WORKDAY.INTL(BL226,BO226,1,Holidays[Date]),BR226),"")</f>
        <v/>
      </c>
      <c r="BR226" s="78"/>
      <c r="BS226" s="80"/>
      <c r="BT226" s="68"/>
      <c r="BU226" s="77" t="str">
        <f>IF(BZ226="","",WORKDAY.INTL(BZ226,BX226*-1,1,Holidays[Date]))</f>
        <v/>
      </c>
      <c r="BV226" s="77" t="str">
        <f ca="1">IFERROR(IF(BW226="",WORKDAY.INTL(BQ226,BT226,1,Holidays[Date]),BW226),"")</f>
        <v/>
      </c>
      <c r="BW226" s="78"/>
      <c r="BX226" s="80"/>
      <c r="BY226" s="68"/>
      <c r="BZ226" s="81"/>
      <c r="CA226" s="77" t="str">
        <f ca="1">IFERROR(IF(CB226="",WORKDAY.INTL(BV226,BY226,1,Holidays[Date]),CB226),"")</f>
        <v/>
      </c>
      <c r="CB226" s="78"/>
    </row>
    <row r="227" spans="1:80" ht="19" customHeight="1" x14ac:dyDescent="0.35">
      <c r="A227" s="31"/>
      <c r="B227" s="82"/>
      <c r="C227" s="1"/>
      <c r="D227" s="8"/>
      <c r="E227" s="8"/>
      <c r="F227" s="8"/>
      <c r="G227" s="8"/>
      <c r="H227" s="8"/>
      <c r="I227" s="9"/>
      <c r="J227" s="8"/>
      <c r="K227" s="8"/>
      <c r="L227" s="8"/>
      <c r="M227" s="8"/>
      <c r="N227" s="8"/>
      <c r="O227" s="8"/>
      <c r="P227" s="8"/>
      <c r="Q227" s="2"/>
      <c r="R227" s="2"/>
      <c r="S227" s="88" t="str">
        <f>IF(tblProcRegister[[#This Row],[Award]]&lt;&gt;"",tblProcRegister[[#This Row],[Budget]]-tblProcRegister[[#This Row],[Award]],"")</f>
        <v/>
      </c>
      <c r="T227" s="68"/>
      <c r="U227" s="68"/>
      <c r="V227" s="68"/>
      <c r="W227" s="77" t="str">
        <f>IF(AB227="","",WORKDAY.INTL(AB227,Z227*-1,1,Holidays[Date]))</f>
        <v/>
      </c>
      <c r="X227" s="77" t="str">
        <f t="shared" ca="1" si="3"/>
        <v/>
      </c>
      <c r="Y227" s="78"/>
      <c r="Z227" s="79"/>
      <c r="AA227" s="68"/>
      <c r="AB227" s="77" t="str">
        <f>IF(AG227="","",WORKDAY.INTL(AG227,AE227*-1,1,Holidays[Date]))</f>
        <v/>
      </c>
      <c r="AC227" s="77" t="str">
        <f ca="1">IFERROR(IF(AD227="",WORKDAY.INTL(X227,AA227,1,Holidays[Date]),AD227),"")</f>
        <v/>
      </c>
      <c r="AD227" s="78"/>
      <c r="AE227" s="80"/>
      <c r="AF227" s="68"/>
      <c r="AG227" s="77" t="str">
        <f>IF(AL227="","",WORKDAY.INTL(AL227,AJ227*-1,1,Holidays[Date]))</f>
        <v/>
      </c>
      <c r="AH227" s="77" t="str">
        <f ca="1">IFERROR(IF(AI227="",WORKDAY.INTL(AC227,AF227,1,Holidays[Date]),AI227),"")</f>
        <v/>
      </c>
      <c r="AI227" s="78"/>
      <c r="AJ227" s="80"/>
      <c r="AK227" s="68"/>
      <c r="AL227" s="77" t="str">
        <f>IF(AQ227="","",WORKDAY.INTL(AQ227,AO227*-1,1,Holidays[Date]))</f>
        <v/>
      </c>
      <c r="AM227" s="77" t="str">
        <f ca="1">IFERROR(IF(AN227="",WORKDAY.INTL(AH227,AK227,1,Holidays[Date]),AN227),"")</f>
        <v/>
      </c>
      <c r="AN227" s="78"/>
      <c r="AO227" s="80"/>
      <c r="AP227" s="68"/>
      <c r="AQ227" s="77" t="str">
        <f>IF(AV227="","",WORKDAY.INTL(AV227,AT227*-1,1,Holidays[Date]))</f>
        <v/>
      </c>
      <c r="AR227" s="77" t="str">
        <f ca="1">IFERROR(IF(AS227="",WORKDAY.INTL(AM227,AP227,1,Holidays[Date]),AS227),"")</f>
        <v/>
      </c>
      <c r="AS227" s="78"/>
      <c r="AT227" s="80"/>
      <c r="AU227" s="68"/>
      <c r="AV227" s="77" t="str">
        <f>IF(BA227="","",WORKDAY.INTL(BA227,AY227*-1,1,Holidays[Date]))</f>
        <v/>
      </c>
      <c r="AW227" s="77" t="str">
        <f ca="1">IFERROR(IF(AX227="",WORKDAY.INTL(AR227,AU227,1,Holidays[Date]),AX227),"")</f>
        <v/>
      </c>
      <c r="AX227" s="78"/>
      <c r="AY227" s="80"/>
      <c r="AZ227" s="68"/>
      <c r="BA227" s="77" t="str">
        <f>IF(BF227="","",WORKDAY.INTL(BF227,BD227*-1,1,Holidays[Date]))</f>
        <v/>
      </c>
      <c r="BB227" s="77" t="str">
        <f ca="1">IFERROR(IF(BC227="",WORKDAY.INTL(AW227,AZ227,1,Holidays[Date]),BC227),"")</f>
        <v/>
      </c>
      <c r="BC227" s="78"/>
      <c r="BD227" s="80"/>
      <c r="BE227" s="68"/>
      <c r="BF227" s="77" t="str">
        <f>IF(BK227="","",WORKDAY.INTL(BK227,BI227*-1,1,Holidays[Date]))</f>
        <v/>
      </c>
      <c r="BG227" s="77" t="str">
        <f ca="1">IFERROR(IF(BH227="",WORKDAY.INTL(BB227,BE227,1,Holidays[Date]),BH227),"")</f>
        <v/>
      </c>
      <c r="BH227" s="78"/>
      <c r="BI227" s="80"/>
      <c r="BJ227" s="68"/>
      <c r="BK227" s="77" t="str">
        <f>IF(BP227="","",WORKDAY.INTL(BP227,BN227*-1,1,Holidays[Date]))</f>
        <v/>
      </c>
      <c r="BL227" s="77" t="str">
        <f ca="1">IFERROR(IF(BM227="",WORKDAY.INTL(BG227,BJ227,1,Holidays[Date]),BM227),"")</f>
        <v/>
      </c>
      <c r="BM227" s="78"/>
      <c r="BN227" s="80"/>
      <c r="BO227" s="68"/>
      <c r="BP227" s="77" t="str">
        <f>IF(BU227="","",WORKDAY.INTL(BU227,BS227*-1,1,Holidays[Date]))</f>
        <v/>
      </c>
      <c r="BQ227" s="77" t="str">
        <f ca="1">IFERROR(IF(BR227="",WORKDAY.INTL(BL227,BO227,1,Holidays[Date]),BR227),"")</f>
        <v/>
      </c>
      <c r="BR227" s="78"/>
      <c r="BS227" s="80"/>
      <c r="BT227" s="68"/>
      <c r="BU227" s="77" t="str">
        <f>IF(BZ227="","",WORKDAY.INTL(BZ227,BX227*-1,1,Holidays[Date]))</f>
        <v/>
      </c>
      <c r="BV227" s="77" t="str">
        <f ca="1">IFERROR(IF(BW227="",WORKDAY.INTL(BQ227,BT227,1,Holidays[Date]),BW227),"")</f>
        <v/>
      </c>
      <c r="BW227" s="78"/>
      <c r="BX227" s="80"/>
      <c r="BY227" s="68"/>
      <c r="BZ227" s="81"/>
      <c r="CA227" s="77" t="str">
        <f ca="1">IFERROR(IF(CB227="",WORKDAY.INTL(BV227,BY227,1,Holidays[Date]),CB227),"")</f>
        <v/>
      </c>
      <c r="CB227" s="78"/>
    </row>
    <row r="228" spans="1:80" ht="19" customHeight="1" x14ac:dyDescent="0.35">
      <c r="A228" s="31"/>
      <c r="B228" s="82"/>
      <c r="C228" s="1"/>
      <c r="D228" s="8"/>
      <c r="E228" s="8"/>
      <c r="F228" s="8"/>
      <c r="G228" s="8"/>
      <c r="H228" s="8"/>
      <c r="I228" s="9"/>
      <c r="J228" s="8"/>
      <c r="K228" s="8"/>
      <c r="L228" s="8"/>
      <c r="M228" s="8"/>
      <c r="N228" s="8"/>
      <c r="O228" s="8"/>
      <c r="P228" s="8"/>
      <c r="Q228" s="2"/>
      <c r="R228" s="2"/>
      <c r="S228" s="88" t="str">
        <f>IF(tblProcRegister[[#This Row],[Award]]&lt;&gt;"",tblProcRegister[[#This Row],[Budget]]-tblProcRegister[[#This Row],[Award]],"")</f>
        <v/>
      </c>
      <c r="T228" s="68"/>
      <c r="U228" s="68"/>
      <c r="V228" s="68"/>
      <c r="W228" s="77" t="str">
        <f>IF(AB228="","",WORKDAY.INTL(AB228,Z228*-1,1,Holidays[Date]))</f>
        <v/>
      </c>
      <c r="X228" s="77" t="str">
        <f t="shared" ca="1" si="3"/>
        <v/>
      </c>
      <c r="Y228" s="78"/>
      <c r="Z228" s="79"/>
      <c r="AA228" s="68"/>
      <c r="AB228" s="77" t="str">
        <f>IF(AG228="","",WORKDAY.INTL(AG228,AE228*-1,1,Holidays[Date]))</f>
        <v/>
      </c>
      <c r="AC228" s="77" t="str">
        <f ca="1">IFERROR(IF(AD228="",WORKDAY.INTL(X228,AA228,1,Holidays[Date]),AD228),"")</f>
        <v/>
      </c>
      <c r="AD228" s="78"/>
      <c r="AE228" s="80"/>
      <c r="AF228" s="68"/>
      <c r="AG228" s="77" t="str">
        <f>IF(AL228="","",WORKDAY.INTL(AL228,AJ228*-1,1,Holidays[Date]))</f>
        <v/>
      </c>
      <c r="AH228" s="77" t="str">
        <f ca="1">IFERROR(IF(AI228="",WORKDAY.INTL(AC228,AF228,1,Holidays[Date]),AI228),"")</f>
        <v/>
      </c>
      <c r="AI228" s="78"/>
      <c r="AJ228" s="80"/>
      <c r="AK228" s="68"/>
      <c r="AL228" s="77" t="str">
        <f>IF(AQ228="","",WORKDAY.INTL(AQ228,AO228*-1,1,Holidays[Date]))</f>
        <v/>
      </c>
      <c r="AM228" s="77" t="str">
        <f ca="1">IFERROR(IF(AN228="",WORKDAY.INTL(AH228,AK228,1,Holidays[Date]),AN228),"")</f>
        <v/>
      </c>
      <c r="AN228" s="78"/>
      <c r="AO228" s="80"/>
      <c r="AP228" s="68"/>
      <c r="AQ228" s="77" t="str">
        <f>IF(AV228="","",WORKDAY.INTL(AV228,AT228*-1,1,Holidays[Date]))</f>
        <v/>
      </c>
      <c r="AR228" s="77" t="str">
        <f ca="1">IFERROR(IF(AS228="",WORKDAY.INTL(AM228,AP228,1,Holidays[Date]),AS228),"")</f>
        <v/>
      </c>
      <c r="AS228" s="78"/>
      <c r="AT228" s="80"/>
      <c r="AU228" s="68"/>
      <c r="AV228" s="77" t="str">
        <f>IF(BA228="","",WORKDAY.INTL(BA228,AY228*-1,1,Holidays[Date]))</f>
        <v/>
      </c>
      <c r="AW228" s="77" t="str">
        <f ca="1">IFERROR(IF(AX228="",WORKDAY.INTL(AR228,AU228,1,Holidays[Date]),AX228),"")</f>
        <v/>
      </c>
      <c r="AX228" s="78"/>
      <c r="AY228" s="80"/>
      <c r="AZ228" s="68"/>
      <c r="BA228" s="77" t="str">
        <f>IF(BF228="","",WORKDAY.INTL(BF228,BD228*-1,1,Holidays[Date]))</f>
        <v/>
      </c>
      <c r="BB228" s="77" t="str">
        <f ca="1">IFERROR(IF(BC228="",WORKDAY.INTL(AW228,AZ228,1,Holidays[Date]),BC228),"")</f>
        <v/>
      </c>
      <c r="BC228" s="78"/>
      <c r="BD228" s="80"/>
      <c r="BE228" s="68"/>
      <c r="BF228" s="77" t="str">
        <f>IF(BK228="","",WORKDAY.INTL(BK228,BI228*-1,1,Holidays[Date]))</f>
        <v/>
      </c>
      <c r="BG228" s="77" t="str">
        <f ca="1">IFERROR(IF(BH228="",WORKDAY.INTL(BB228,BE228,1,Holidays[Date]),BH228),"")</f>
        <v/>
      </c>
      <c r="BH228" s="78"/>
      <c r="BI228" s="80"/>
      <c r="BJ228" s="68"/>
      <c r="BK228" s="77" t="str">
        <f>IF(BP228="","",WORKDAY.INTL(BP228,BN228*-1,1,Holidays[Date]))</f>
        <v/>
      </c>
      <c r="BL228" s="77" t="str">
        <f ca="1">IFERROR(IF(BM228="",WORKDAY.INTL(BG228,BJ228,1,Holidays[Date]),BM228),"")</f>
        <v/>
      </c>
      <c r="BM228" s="78"/>
      <c r="BN228" s="80"/>
      <c r="BO228" s="68"/>
      <c r="BP228" s="77" t="str">
        <f>IF(BU228="","",WORKDAY.INTL(BU228,BS228*-1,1,Holidays[Date]))</f>
        <v/>
      </c>
      <c r="BQ228" s="77" t="str">
        <f ca="1">IFERROR(IF(BR228="",WORKDAY.INTL(BL228,BO228,1,Holidays[Date]),BR228),"")</f>
        <v/>
      </c>
      <c r="BR228" s="78"/>
      <c r="BS228" s="80"/>
      <c r="BT228" s="68"/>
      <c r="BU228" s="77" t="str">
        <f>IF(BZ228="","",WORKDAY.INTL(BZ228,BX228*-1,1,Holidays[Date]))</f>
        <v/>
      </c>
      <c r="BV228" s="77" t="str">
        <f ca="1">IFERROR(IF(BW228="",WORKDAY.INTL(BQ228,BT228,1,Holidays[Date]),BW228),"")</f>
        <v/>
      </c>
      <c r="BW228" s="78"/>
      <c r="BX228" s="80"/>
      <c r="BY228" s="68"/>
      <c r="BZ228" s="81"/>
      <c r="CA228" s="77" t="str">
        <f ca="1">IFERROR(IF(CB228="",WORKDAY.INTL(BV228,BY228,1,Holidays[Date]),CB228),"")</f>
        <v/>
      </c>
      <c r="CB228" s="78"/>
    </row>
    <row r="229" spans="1:80" ht="19" customHeight="1" x14ac:dyDescent="0.35">
      <c r="A229" s="31"/>
      <c r="B229" s="82"/>
      <c r="C229" s="1"/>
      <c r="D229" s="8"/>
      <c r="E229" s="8"/>
      <c r="F229" s="8"/>
      <c r="G229" s="8"/>
      <c r="H229" s="8"/>
      <c r="I229" s="9"/>
      <c r="J229" s="8"/>
      <c r="K229" s="8"/>
      <c r="L229" s="8"/>
      <c r="M229" s="8"/>
      <c r="N229" s="8"/>
      <c r="O229" s="8"/>
      <c r="P229" s="8"/>
      <c r="Q229" s="2"/>
      <c r="R229" s="2"/>
      <c r="S229" s="88" t="str">
        <f>IF(tblProcRegister[[#This Row],[Award]]&lt;&gt;"",tblProcRegister[[#This Row],[Budget]]-tblProcRegister[[#This Row],[Award]],"")</f>
        <v/>
      </c>
      <c r="T229" s="68"/>
      <c r="U229" s="68"/>
      <c r="V229" s="68"/>
      <c r="W229" s="77" t="str">
        <f>IF(AB229="","",WORKDAY.INTL(AB229,Z229*-1,1,Holidays[Date]))</f>
        <v/>
      </c>
      <c r="X229" s="77" t="str">
        <f t="shared" ca="1" si="3"/>
        <v/>
      </c>
      <c r="Y229" s="78"/>
      <c r="Z229" s="79"/>
      <c r="AA229" s="68"/>
      <c r="AB229" s="77" t="str">
        <f>IF(AG229="","",WORKDAY.INTL(AG229,AE229*-1,1,Holidays[Date]))</f>
        <v/>
      </c>
      <c r="AC229" s="77" t="str">
        <f ca="1">IFERROR(IF(AD229="",WORKDAY.INTL(X229,AA229,1,Holidays[Date]),AD229),"")</f>
        <v/>
      </c>
      <c r="AD229" s="78"/>
      <c r="AE229" s="80"/>
      <c r="AF229" s="68"/>
      <c r="AG229" s="77" t="str">
        <f>IF(AL229="","",WORKDAY.INTL(AL229,AJ229*-1,1,Holidays[Date]))</f>
        <v/>
      </c>
      <c r="AH229" s="77" t="str">
        <f ca="1">IFERROR(IF(AI229="",WORKDAY.INTL(AC229,AF229,1,Holidays[Date]),AI229),"")</f>
        <v/>
      </c>
      <c r="AI229" s="78"/>
      <c r="AJ229" s="80"/>
      <c r="AK229" s="68"/>
      <c r="AL229" s="77" t="str">
        <f>IF(AQ229="","",WORKDAY.INTL(AQ229,AO229*-1,1,Holidays[Date]))</f>
        <v/>
      </c>
      <c r="AM229" s="77" t="str">
        <f ca="1">IFERROR(IF(AN229="",WORKDAY.INTL(AH229,AK229,1,Holidays[Date]),AN229),"")</f>
        <v/>
      </c>
      <c r="AN229" s="78"/>
      <c r="AO229" s="80"/>
      <c r="AP229" s="68"/>
      <c r="AQ229" s="77" t="str">
        <f>IF(AV229="","",WORKDAY.INTL(AV229,AT229*-1,1,Holidays[Date]))</f>
        <v/>
      </c>
      <c r="AR229" s="77" t="str">
        <f ca="1">IFERROR(IF(AS229="",WORKDAY.INTL(AM229,AP229,1,Holidays[Date]),AS229),"")</f>
        <v/>
      </c>
      <c r="AS229" s="78"/>
      <c r="AT229" s="80"/>
      <c r="AU229" s="68"/>
      <c r="AV229" s="77" t="str">
        <f>IF(BA229="","",WORKDAY.INTL(BA229,AY229*-1,1,Holidays[Date]))</f>
        <v/>
      </c>
      <c r="AW229" s="77" t="str">
        <f ca="1">IFERROR(IF(AX229="",WORKDAY.INTL(AR229,AU229,1,Holidays[Date]),AX229),"")</f>
        <v/>
      </c>
      <c r="AX229" s="78"/>
      <c r="AY229" s="80"/>
      <c r="AZ229" s="68"/>
      <c r="BA229" s="77" t="str">
        <f>IF(BF229="","",WORKDAY.INTL(BF229,BD229*-1,1,Holidays[Date]))</f>
        <v/>
      </c>
      <c r="BB229" s="77" t="str">
        <f ca="1">IFERROR(IF(BC229="",WORKDAY.INTL(AW229,AZ229,1,Holidays[Date]),BC229),"")</f>
        <v/>
      </c>
      <c r="BC229" s="78"/>
      <c r="BD229" s="80"/>
      <c r="BE229" s="68"/>
      <c r="BF229" s="77" t="str">
        <f>IF(BK229="","",WORKDAY.INTL(BK229,BI229*-1,1,Holidays[Date]))</f>
        <v/>
      </c>
      <c r="BG229" s="77" t="str">
        <f ca="1">IFERROR(IF(BH229="",WORKDAY.INTL(BB229,BE229,1,Holidays[Date]),BH229),"")</f>
        <v/>
      </c>
      <c r="BH229" s="78"/>
      <c r="BI229" s="80"/>
      <c r="BJ229" s="68"/>
      <c r="BK229" s="77" t="str">
        <f>IF(BP229="","",WORKDAY.INTL(BP229,BN229*-1,1,Holidays[Date]))</f>
        <v/>
      </c>
      <c r="BL229" s="77" t="str">
        <f ca="1">IFERROR(IF(BM229="",WORKDAY.INTL(BG229,BJ229,1,Holidays[Date]),BM229),"")</f>
        <v/>
      </c>
      <c r="BM229" s="78"/>
      <c r="BN229" s="80"/>
      <c r="BO229" s="68"/>
      <c r="BP229" s="77" t="str">
        <f>IF(BU229="","",WORKDAY.INTL(BU229,BS229*-1,1,Holidays[Date]))</f>
        <v/>
      </c>
      <c r="BQ229" s="77" t="str">
        <f ca="1">IFERROR(IF(BR229="",WORKDAY.INTL(BL229,BO229,1,Holidays[Date]),BR229),"")</f>
        <v/>
      </c>
      <c r="BR229" s="78"/>
      <c r="BS229" s="80"/>
      <c r="BT229" s="68"/>
      <c r="BU229" s="77" t="str">
        <f>IF(BZ229="","",WORKDAY.INTL(BZ229,BX229*-1,1,Holidays[Date]))</f>
        <v/>
      </c>
      <c r="BV229" s="77" t="str">
        <f ca="1">IFERROR(IF(BW229="",WORKDAY.INTL(BQ229,BT229,1,Holidays[Date]),BW229),"")</f>
        <v/>
      </c>
      <c r="BW229" s="78"/>
      <c r="BX229" s="80"/>
      <c r="BY229" s="68"/>
      <c r="BZ229" s="81"/>
      <c r="CA229" s="77" t="str">
        <f ca="1">IFERROR(IF(CB229="",WORKDAY.INTL(BV229,BY229,1,Holidays[Date]),CB229),"")</f>
        <v/>
      </c>
      <c r="CB229" s="78"/>
    </row>
    <row r="230" spans="1:80" ht="19" customHeight="1" x14ac:dyDescent="0.35">
      <c r="A230" s="31"/>
      <c r="B230" s="82"/>
      <c r="C230" s="1"/>
      <c r="D230" s="8"/>
      <c r="E230" s="8"/>
      <c r="F230" s="8"/>
      <c r="G230" s="8"/>
      <c r="H230" s="8"/>
      <c r="I230" s="9"/>
      <c r="J230" s="8"/>
      <c r="K230" s="8"/>
      <c r="L230" s="8"/>
      <c r="M230" s="8"/>
      <c r="N230" s="8"/>
      <c r="O230" s="8"/>
      <c r="P230" s="8"/>
      <c r="Q230" s="2"/>
      <c r="R230" s="2"/>
      <c r="S230" s="88" t="str">
        <f>IF(tblProcRegister[[#This Row],[Award]]&lt;&gt;"",tblProcRegister[[#This Row],[Budget]]-tblProcRegister[[#This Row],[Award]],"")</f>
        <v/>
      </c>
      <c r="T230" s="68"/>
      <c r="U230" s="68"/>
      <c r="V230" s="68"/>
      <c r="W230" s="77" t="str">
        <f>IF(AB230="","",WORKDAY.INTL(AB230,Z230*-1,1,Holidays[Date]))</f>
        <v/>
      </c>
      <c r="X230" s="77" t="str">
        <f t="shared" ca="1" si="3"/>
        <v/>
      </c>
      <c r="Y230" s="78"/>
      <c r="Z230" s="79"/>
      <c r="AA230" s="68"/>
      <c r="AB230" s="77" t="str">
        <f>IF(AG230="","",WORKDAY.INTL(AG230,AE230*-1,1,Holidays[Date]))</f>
        <v/>
      </c>
      <c r="AC230" s="77" t="str">
        <f ca="1">IFERROR(IF(AD230="",WORKDAY.INTL(X230,AA230,1,Holidays[Date]),AD230),"")</f>
        <v/>
      </c>
      <c r="AD230" s="78"/>
      <c r="AE230" s="80"/>
      <c r="AF230" s="68"/>
      <c r="AG230" s="77" t="str">
        <f>IF(AL230="","",WORKDAY.INTL(AL230,AJ230*-1,1,Holidays[Date]))</f>
        <v/>
      </c>
      <c r="AH230" s="77" t="str">
        <f ca="1">IFERROR(IF(AI230="",WORKDAY.INTL(AC230,AF230,1,Holidays[Date]),AI230),"")</f>
        <v/>
      </c>
      <c r="AI230" s="78"/>
      <c r="AJ230" s="80"/>
      <c r="AK230" s="68"/>
      <c r="AL230" s="77" t="str">
        <f>IF(AQ230="","",WORKDAY.INTL(AQ230,AO230*-1,1,Holidays[Date]))</f>
        <v/>
      </c>
      <c r="AM230" s="77" t="str">
        <f ca="1">IFERROR(IF(AN230="",WORKDAY.INTL(AH230,AK230,1,Holidays[Date]),AN230),"")</f>
        <v/>
      </c>
      <c r="AN230" s="78"/>
      <c r="AO230" s="80"/>
      <c r="AP230" s="68"/>
      <c r="AQ230" s="77" t="str">
        <f>IF(AV230="","",WORKDAY.INTL(AV230,AT230*-1,1,Holidays[Date]))</f>
        <v/>
      </c>
      <c r="AR230" s="77" t="str">
        <f ca="1">IFERROR(IF(AS230="",WORKDAY.INTL(AM230,AP230,1,Holidays[Date]),AS230),"")</f>
        <v/>
      </c>
      <c r="AS230" s="78"/>
      <c r="AT230" s="80"/>
      <c r="AU230" s="68"/>
      <c r="AV230" s="77" t="str">
        <f>IF(BA230="","",WORKDAY.INTL(BA230,AY230*-1,1,Holidays[Date]))</f>
        <v/>
      </c>
      <c r="AW230" s="77" t="str">
        <f ca="1">IFERROR(IF(AX230="",WORKDAY.INTL(AR230,AU230,1,Holidays[Date]),AX230),"")</f>
        <v/>
      </c>
      <c r="AX230" s="78"/>
      <c r="AY230" s="80"/>
      <c r="AZ230" s="68"/>
      <c r="BA230" s="77" t="str">
        <f>IF(BF230="","",WORKDAY.INTL(BF230,BD230*-1,1,Holidays[Date]))</f>
        <v/>
      </c>
      <c r="BB230" s="77" t="str">
        <f ca="1">IFERROR(IF(BC230="",WORKDAY.INTL(AW230,AZ230,1,Holidays[Date]),BC230),"")</f>
        <v/>
      </c>
      <c r="BC230" s="78"/>
      <c r="BD230" s="80"/>
      <c r="BE230" s="68"/>
      <c r="BF230" s="77" t="str">
        <f>IF(BK230="","",WORKDAY.INTL(BK230,BI230*-1,1,Holidays[Date]))</f>
        <v/>
      </c>
      <c r="BG230" s="77" t="str">
        <f ca="1">IFERROR(IF(BH230="",WORKDAY.INTL(BB230,BE230,1,Holidays[Date]),BH230),"")</f>
        <v/>
      </c>
      <c r="BH230" s="78"/>
      <c r="BI230" s="80"/>
      <c r="BJ230" s="68"/>
      <c r="BK230" s="77" t="str">
        <f>IF(BP230="","",WORKDAY.INTL(BP230,BN230*-1,1,Holidays[Date]))</f>
        <v/>
      </c>
      <c r="BL230" s="77" t="str">
        <f ca="1">IFERROR(IF(BM230="",WORKDAY.INTL(BG230,BJ230,1,Holidays[Date]),BM230),"")</f>
        <v/>
      </c>
      <c r="BM230" s="78"/>
      <c r="BN230" s="80"/>
      <c r="BO230" s="68"/>
      <c r="BP230" s="77" t="str">
        <f>IF(BU230="","",WORKDAY.INTL(BU230,BS230*-1,1,Holidays[Date]))</f>
        <v/>
      </c>
      <c r="BQ230" s="77" t="str">
        <f ca="1">IFERROR(IF(BR230="",WORKDAY.INTL(BL230,BO230,1,Holidays[Date]),BR230),"")</f>
        <v/>
      </c>
      <c r="BR230" s="78"/>
      <c r="BS230" s="80"/>
      <c r="BT230" s="68"/>
      <c r="BU230" s="77" t="str">
        <f>IF(BZ230="","",WORKDAY.INTL(BZ230,BX230*-1,1,Holidays[Date]))</f>
        <v/>
      </c>
      <c r="BV230" s="77" t="str">
        <f ca="1">IFERROR(IF(BW230="",WORKDAY.INTL(BQ230,BT230,1,Holidays[Date]),BW230),"")</f>
        <v/>
      </c>
      <c r="BW230" s="78"/>
      <c r="BX230" s="80"/>
      <c r="BY230" s="68"/>
      <c r="BZ230" s="81"/>
      <c r="CA230" s="77" t="str">
        <f ca="1">IFERROR(IF(CB230="",WORKDAY.INTL(BV230,BY230,1,Holidays[Date]),CB230),"")</f>
        <v/>
      </c>
      <c r="CB230" s="78"/>
    </row>
    <row r="231" spans="1:80" ht="19" customHeight="1" x14ac:dyDescent="0.35">
      <c r="A231" s="31"/>
      <c r="B231" s="82"/>
      <c r="C231" s="1"/>
      <c r="D231" s="8"/>
      <c r="E231" s="8"/>
      <c r="F231" s="8"/>
      <c r="G231" s="8"/>
      <c r="H231" s="8"/>
      <c r="I231" s="9"/>
      <c r="J231" s="8"/>
      <c r="K231" s="8"/>
      <c r="L231" s="8"/>
      <c r="M231" s="8"/>
      <c r="N231" s="8"/>
      <c r="O231" s="8"/>
      <c r="P231" s="8"/>
      <c r="Q231" s="2"/>
      <c r="R231" s="2"/>
      <c r="S231" s="88" t="str">
        <f>IF(tblProcRegister[[#This Row],[Award]]&lt;&gt;"",tblProcRegister[[#This Row],[Budget]]-tblProcRegister[[#This Row],[Award]],"")</f>
        <v/>
      </c>
      <c r="T231" s="68"/>
      <c r="U231" s="68"/>
      <c r="V231" s="68"/>
      <c r="W231" s="77" t="str">
        <f>IF(AB231="","",WORKDAY.INTL(AB231,Z231*-1,1,Holidays[Date]))</f>
        <v/>
      </c>
      <c r="X231" s="77" t="str">
        <f t="shared" ca="1" si="3"/>
        <v/>
      </c>
      <c r="Y231" s="78"/>
      <c r="Z231" s="79"/>
      <c r="AA231" s="68"/>
      <c r="AB231" s="77" t="str">
        <f>IF(AG231="","",WORKDAY.INTL(AG231,AE231*-1,1,Holidays[Date]))</f>
        <v/>
      </c>
      <c r="AC231" s="77" t="str">
        <f ca="1">IFERROR(IF(AD231="",WORKDAY.INTL(X231,AA231,1,Holidays[Date]),AD231),"")</f>
        <v/>
      </c>
      <c r="AD231" s="78"/>
      <c r="AE231" s="80"/>
      <c r="AF231" s="68"/>
      <c r="AG231" s="77" t="str">
        <f>IF(AL231="","",WORKDAY.INTL(AL231,AJ231*-1,1,Holidays[Date]))</f>
        <v/>
      </c>
      <c r="AH231" s="77" t="str">
        <f ca="1">IFERROR(IF(AI231="",WORKDAY.INTL(AC231,AF231,1,Holidays[Date]),AI231),"")</f>
        <v/>
      </c>
      <c r="AI231" s="78"/>
      <c r="AJ231" s="80"/>
      <c r="AK231" s="68"/>
      <c r="AL231" s="77" t="str">
        <f>IF(AQ231="","",WORKDAY.INTL(AQ231,AO231*-1,1,Holidays[Date]))</f>
        <v/>
      </c>
      <c r="AM231" s="77" t="str">
        <f ca="1">IFERROR(IF(AN231="",WORKDAY.INTL(AH231,AK231,1,Holidays[Date]),AN231),"")</f>
        <v/>
      </c>
      <c r="AN231" s="78"/>
      <c r="AO231" s="80"/>
      <c r="AP231" s="68"/>
      <c r="AQ231" s="77" t="str">
        <f>IF(AV231="","",WORKDAY.INTL(AV231,AT231*-1,1,Holidays[Date]))</f>
        <v/>
      </c>
      <c r="AR231" s="77" t="str">
        <f ca="1">IFERROR(IF(AS231="",WORKDAY.INTL(AM231,AP231,1,Holidays[Date]),AS231),"")</f>
        <v/>
      </c>
      <c r="AS231" s="78"/>
      <c r="AT231" s="80"/>
      <c r="AU231" s="68"/>
      <c r="AV231" s="77" t="str">
        <f>IF(BA231="","",WORKDAY.INTL(BA231,AY231*-1,1,Holidays[Date]))</f>
        <v/>
      </c>
      <c r="AW231" s="77" t="str">
        <f ca="1">IFERROR(IF(AX231="",WORKDAY.INTL(AR231,AU231,1,Holidays[Date]),AX231),"")</f>
        <v/>
      </c>
      <c r="AX231" s="78"/>
      <c r="AY231" s="80"/>
      <c r="AZ231" s="68"/>
      <c r="BA231" s="77" t="str">
        <f>IF(BF231="","",WORKDAY.INTL(BF231,BD231*-1,1,Holidays[Date]))</f>
        <v/>
      </c>
      <c r="BB231" s="77" t="str">
        <f ca="1">IFERROR(IF(BC231="",WORKDAY.INTL(AW231,AZ231,1,Holidays[Date]),BC231),"")</f>
        <v/>
      </c>
      <c r="BC231" s="78"/>
      <c r="BD231" s="80"/>
      <c r="BE231" s="68"/>
      <c r="BF231" s="77" t="str">
        <f>IF(BK231="","",WORKDAY.INTL(BK231,BI231*-1,1,Holidays[Date]))</f>
        <v/>
      </c>
      <c r="BG231" s="77" t="str">
        <f ca="1">IFERROR(IF(BH231="",WORKDAY.INTL(BB231,BE231,1,Holidays[Date]),BH231),"")</f>
        <v/>
      </c>
      <c r="BH231" s="78"/>
      <c r="BI231" s="80"/>
      <c r="BJ231" s="68"/>
      <c r="BK231" s="77" t="str">
        <f>IF(BP231="","",WORKDAY.INTL(BP231,BN231*-1,1,Holidays[Date]))</f>
        <v/>
      </c>
      <c r="BL231" s="77" t="str">
        <f ca="1">IFERROR(IF(BM231="",WORKDAY.INTL(BG231,BJ231,1,Holidays[Date]),BM231),"")</f>
        <v/>
      </c>
      <c r="BM231" s="78"/>
      <c r="BN231" s="80"/>
      <c r="BO231" s="68"/>
      <c r="BP231" s="77" t="str">
        <f>IF(BU231="","",WORKDAY.INTL(BU231,BS231*-1,1,Holidays[Date]))</f>
        <v/>
      </c>
      <c r="BQ231" s="77" t="str">
        <f ca="1">IFERROR(IF(BR231="",WORKDAY.INTL(BL231,BO231,1,Holidays[Date]),BR231),"")</f>
        <v/>
      </c>
      <c r="BR231" s="78"/>
      <c r="BS231" s="80"/>
      <c r="BT231" s="68"/>
      <c r="BU231" s="77" t="str">
        <f>IF(BZ231="","",WORKDAY.INTL(BZ231,BX231*-1,1,Holidays[Date]))</f>
        <v/>
      </c>
      <c r="BV231" s="77" t="str">
        <f ca="1">IFERROR(IF(BW231="",WORKDAY.INTL(BQ231,BT231,1,Holidays[Date]),BW231),"")</f>
        <v/>
      </c>
      <c r="BW231" s="78"/>
      <c r="BX231" s="80"/>
      <c r="BY231" s="68"/>
      <c r="BZ231" s="81"/>
      <c r="CA231" s="77" t="str">
        <f ca="1">IFERROR(IF(CB231="",WORKDAY.INTL(BV231,BY231,1,Holidays[Date]),CB231),"")</f>
        <v/>
      </c>
      <c r="CB231" s="78"/>
    </row>
    <row r="232" spans="1:80" ht="19" customHeight="1" x14ac:dyDescent="0.35">
      <c r="A232" s="31"/>
      <c r="B232" s="82"/>
      <c r="C232" s="1"/>
      <c r="D232" s="8"/>
      <c r="E232" s="8"/>
      <c r="F232" s="8"/>
      <c r="G232" s="8"/>
      <c r="H232" s="8"/>
      <c r="I232" s="9"/>
      <c r="J232" s="8"/>
      <c r="K232" s="8"/>
      <c r="L232" s="8"/>
      <c r="M232" s="8"/>
      <c r="N232" s="8"/>
      <c r="O232" s="8"/>
      <c r="P232" s="8"/>
      <c r="Q232" s="2"/>
      <c r="R232" s="2"/>
      <c r="S232" s="88" t="str">
        <f>IF(tblProcRegister[[#This Row],[Award]]&lt;&gt;"",tblProcRegister[[#This Row],[Budget]]-tblProcRegister[[#This Row],[Award]],"")</f>
        <v/>
      </c>
      <c r="T232" s="68"/>
      <c r="U232" s="68"/>
      <c r="V232" s="68"/>
      <c r="W232" s="77" t="str">
        <f>IF(AB232="","",WORKDAY.INTL(AB232,Z232*-1,1,Holidays[Date]))</f>
        <v/>
      </c>
      <c r="X232" s="77" t="str">
        <f t="shared" ca="1" si="3"/>
        <v/>
      </c>
      <c r="Y232" s="78"/>
      <c r="Z232" s="79"/>
      <c r="AA232" s="68"/>
      <c r="AB232" s="77" t="str">
        <f>IF(AG232="","",WORKDAY.INTL(AG232,AE232*-1,1,Holidays[Date]))</f>
        <v/>
      </c>
      <c r="AC232" s="77" t="str">
        <f ca="1">IFERROR(IF(AD232="",WORKDAY.INTL(X232,AA232,1,Holidays[Date]),AD232),"")</f>
        <v/>
      </c>
      <c r="AD232" s="78"/>
      <c r="AE232" s="80"/>
      <c r="AF232" s="68"/>
      <c r="AG232" s="77" t="str">
        <f>IF(AL232="","",WORKDAY.INTL(AL232,AJ232*-1,1,Holidays[Date]))</f>
        <v/>
      </c>
      <c r="AH232" s="77" t="str">
        <f ca="1">IFERROR(IF(AI232="",WORKDAY.INTL(AC232,AF232,1,Holidays[Date]),AI232),"")</f>
        <v/>
      </c>
      <c r="AI232" s="78"/>
      <c r="AJ232" s="80"/>
      <c r="AK232" s="68"/>
      <c r="AL232" s="77" t="str">
        <f>IF(AQ232="","",WORKDAY.INTL(AQ232,AO232*-1,1,Holidays[Date]))</f>
        <v/>
      </c>
      <c r="AM232" s="77" t="str">
        <f ca="1">IFERROR(IF(AN232="",WORKDAY.INTL(AH232,AK232,1,Holidays[Date]),AN232),"")</f>
        <v/>
      </c>
      <c r="AN232" s="78"/>
      <c r="AO232" s="80"/>
      <c r="AP232" s="68"/>
      <c r="AQ232" s="77" t="str">
        <f>IF(AV232="","",WORKDAY.INTL(AV232,AT232*-1,1,Holidays[Date]))</f>
        <v/>
      </c>
      <c r="AR232" s="77" t="str">
        <f ca="1">IFERROR(IF(AS232="",WORKDAY.INTL(AM232,AP232,1,Holidays[Date]),AS232),"")</f>
        <v/>
      </c>
      <c r="AS232" s="78"/>
      <c r="AT232" s="80"/>
      <c r="AU232" s="68"/>
      <c r="AV232" s="77" t="str">
        <f>IF(BA232="","",WORKDAY.INTL(BA232,AY232*-1,1,Holidays[Date]))</f>
        <v/>
      </c>
      <c r="AW232" s="77" t="str">
        <f ca="1">IFERROR(IF(AX232="",WORKDAY.INTL(AR232,AU232,1,Holidays[Date]),AX232),"")</f>
        <v/>
      </c>
      <c r="AX232" s="78"/>
      <c r="AY232" s="80"/>
      <c r="AZ232" s="68"/>
      <c r="BA232" s="77" t="str">
        <f>IF(BF232="","",WORKDAY.INTL(BF232,BD232*-1,1,Holidays[Date]))</f>
        <v/>
      </c>
      <c r="BB232" s="77" t="str">
        <f ca="1">IFERROR(IF(BC232="",WORKDAY.INTL(AW232,AZ232,1,Holidays[Date]),BC232),"")</f>
        <v/>
      </c>
      <c r="BC232" s="78"/>
      <c r="BD232" s="80"/>
      <c r="BE232" s="68"/>
      <c r="BF232" s="77" t="str">
        <f>IF(BK232="","",WORKDAY.INTL(BK232,BI232*-1,1,Holidays[Date]))</f>
        <v/>
      </c>
      <c r="BG232" s="77" t="str">
        <f ca="1">IFERROR(IF(BH232="",WORKDAY.INTL(BB232,BE232,1,Holidays[Date]),BH232),"")</f>
        <v/>
      </c>
      <c r="BH232" s="78"/>
      <c r="BI232" s="80"/>
      <c r="BJ232" s="68"/>
      <c r="BK232" s="77" t="str">
        <f>IF(BP232="","",WORKDAY.INTL(BP232,BN232*-1,1,Holidays[Date]))</f>
        <v/>
      </c>
      <c r="BL232" s="77" t="str">
        <f ca="1">IFERROR(IF(BM232="",WORKDAY.INTL(BG232,BJ232,1,Holidays[Date]),BM232),"")</f>
        <v/>
      </c>
      <c r="BM232" s="78"/>
      <c r="BN232" s="80"/>
      <c r="BO232" s="68"/>
      <c r="BP232" s="77" t="str">
        <f>IF(BU232="","",WORKDAY.INTL(BU232,BS232*-1,1,Holidays[Date]))</f>
        <v/>
      </c>
      <c r="BQ232" s="77" t="str">
        <f ca="1">IFERROR(IF(BR232="",WORKDAY.INTL(BL232,BO232,1,Holidays[Date]),BR232),"")</f>
        <v/>
      </c>
      <c r="BR232" s="78"/>
      <c r="BS232" s="80"/>
      <c r="BT232" s="68"/>
      <c r="BU232" s="77" t="str">
        <f>IF(BZ232="","",WORKDAY.INTL(BZ232,BX232*-1,1,Holidays[Date]))</f>
        <v/>
      </c>
      <c r="BV232" s="77" t="str">
        <f ca="1">IFERROR(IF(BW232="",WORKDAY.INTL(BQ232,BT232,1,Holidays[Date]),BW232),"")</f>
        <v/>
      </c>
      <c r="BW232" s="78"/>
      <c r="BX232" s="80"/>
      <c r="BY232" s="68"/>
      <c r="BZ232" s="81"/>
      <c r="CA232" s="77" t="str">
        <f ca="1">IFERROR(IF(CB232="",WORKDAY.INTL(BV232,BY232,1,Holidays[Date]),CB232),"")</f>
        <v/>
      </c>
      <c r="CB232" s="78"/>
    </row>
    <row r="233" spans="1:80" ht="19" customHeight="1" x14ac:dyDescent="0.35">
      <c r="A233" s="31"/>
      <c r="B233" s="82"/>
      <c r="C233" s="1"/>
      <c r="D233" s="8"/>
      <c r="E233" s="8"/>
      <c r="F233" s="8"/>
      <c r="G233" s="8"/>
      <c r="H233" s="8"/>
      <c r="I233" s="9"/>
      <c r="J233" s="8"/>
      <c r="K233" s="8"/>
      <c r="L233" s="8"/>
      <c r="M233" s="8"/>
      <c r="N233" s="8"/>
      <c r="O233" s="8"/>
      <c r="P233" s="8"/>
      <c r="Q233" s="2"/>
      <c r="R233" s="2"/>
      <c r="S233" s="88" t="str">
        <f>IF(tblProcRegister[[#This Row],[Award]]&lt;&gt;"",tblProcRegister[[#This Row],[Budget]]-tblProcRegister[[#This Row],[Award]],"")</f>
        <v/>
      </c>
      <c r="T233" s="68"/>
      <c r="U233" s="68"/>
      <c r="V233" s="68"/>
      <c r="W233" s="77" t="str">
        <f>IF(AB233="","",WORKDAY.INTL(AB233,Z233*-1,1,Holidays[Date]))</f>
        <v/>
      </c>
      <c r="X233" s="77" t="str">
        <f t="shared" ca="1" si="3"/>
        <v/>
      </c>
      <c r="Y233" s="78"/>
      <c r="Z233" s="79"/>
      <c r="AA233" s="68"/>
      <c r="AB233" s="77" t="str">
        <f>IF(AG233="","",WORKDAY.INTL(AG233,AE233*-1,1,Holidays[Date]))</f>
        <v/>
      </c>
      <c r="AC233" s="77" t="str">
        <f ca="1">IFERROR(IF(AD233="",WORKDAY.INTL(X233,AA233,1,Holidays[Date]),AD233),"")</f>
        <v/>
      </c>
      <c r="AD233" s="78"/>
      <c r="AE233" s="80"/>
      <c r="AF233" s="68"/>
      <c r="AG233" s="77" t="str">
        <f>IF(AL233="","",WORKDAY.INTL(AL233,AJ233*-1,1,Holidays[Date]))</f>
        <v/>
      </c>
      <c r="AH233" s="77" t="str">
        <f ca="1">IFERROR(IF(AI233="",WORKDAY.INTL(AC233,AF233,1,Holidays[Date]),AI233),"")</f>
        <v/>
      </c>
      <c r="AI233" s="78"/>
      <c r="AJ233" s="80"/>
      <c r="AK233" s="68"/>
      <c r="AL233" s="77" t="str">
        <f>IF(AQ233="","",WORKDAY.INTL(AQ233,AO233*-1,1,Holidays[Date]))</f>
        <v/>
      </c>
      <c r="AM233" s="77" t="str">
        <f ca="1">IFERROR(IF(AN233="",WORKDAY.INTL(AH233,AK233,1,Holidays[Date]),AN233),"")</f>
        <v/>
      </c>
      <c r="AN233" s="78"/>
      <c r="AO233" s="80"/>
      <c r="AP233" s="68"/>
      <c r="AQ233" s="77" t="str">
        <f>IF(AV233="","",WORKDAY.INTL(AV233,AT233*-1,1,Holidays[Date]))</f>
        <v/>
      </c>
      <c r="AR233" s="77" t="str">
        <f ca="1">IFERROR(IF(AS233="",WORKDAY.INTL(AM233,AP233,1,Holidays[Date]),AS233),"")</f>
        <v/>
      </c>
      <c r="AS233" s="78"/>
      <c r="AT233" s="80"/>
      <c r="AU233" s="68"/>
      <c r="AV233" s="77" t="str">
        <f>IF(BA233="","",WORKDAY.INTL(BA233,AY233*-1,1,Holidays[Date]))</f>
        <v/>
      </c>
      <c r="AW233" s="77" t="str">
        <f ca="1">IFERROR(IF(AX233="",WORKDAY.INTL(AR233,AU233,1,Holidays[Date]),AX233),"")</f>
        <v/>
      </c>
      <c r="AX233" s="78"/>
      <c r="AY233" s="80"/>
      <c r="AZ233" s="68"/>
      <c r="BA233" s="77" t="str">
        <f>IF(BF233="","",WORKDAY.INTL(BF233,BD233*-1,1,Holidays[Date]))</f>
        <v/>
      </c>
      <c r="BB233" s="77" t="str">
        <f ca="1">IFERROR(IF(BC233="",WORKDAY.INTL(AW233,AZ233,1,Holidays[Date]),BC233),"")</f>
        <v/>
      </c>
      <c r="BC233" s="78"/>
      <c r="BD233" s="80"/>
      <c r="BE233" s="68"/>
      <c r="BF233" s="77" t="str">
        <f>IF(BK233="","",WORKDAY.INTL(BK233,BI233*-1,1,Holidays[Date]))</f>
        <v/>
      </c>
      <c r="BG233" s="77" t="str">
        <f ca="1">IFERROR(IF(BH233="",WORKDAY.INTL(BB233,BE233,1,Holidays[Date]),BH233),"")</f>
        <v/>
      </c>
      <c r="BH233" s="78"/>
      <c r="BI233" s="80"/>
      <c r="BJ233" s="68"/>
      <c r="BK233" s="77" t="str">
        <f>IF(BP233="","",WORKDAY.INTL(BP233,BN233*-1,1,Holidays[Date]))</f>
        <v/>
      </c>
      <c r="BL233" s="77" t="str">
        <f ca="1">IFERROR(IF(BM233="",WORKDAY.INTL(BG233,BJ233,1,Holidays[Date]),BM233),"")</f>
        <v/>
      </c>
      <c r="BM233" s="78"/>
      <c r="BN233" s="80"/>
      <c r="BO233" s="68"/>
      <c r="BP233" s="77" t="str">
        <f>IF(BU233="","",WORKDAY.INTL(BU233,BS233*-1,1,Holidays[Date]))</f>
        <v/>
      </c>
      <c r="BQ233" s="77" t="str">
        <f ca="1">IFERROR(IF(BR233="",WORKDAY.INTL(BL233,BO233,1,Holidays[Date]),BR233),"")</f>
        <v/>
      </c>
      <c r="BR233" s="78"/>
      <c r="BS233" s="80"/>
      <c r="BT233" s="68"/>
      <c r="BU233" s="77" t="str">
        <f>IF(BZ233="","",WORKDAY.INTL(BZ233,BX233*-1,1,Holidays[Date]))</f>
        <v/>
      </c>
      <c r="BV233" s="77" t="str">
        <f ca="1">IFERROR(IF(BW233="",WORKDAY.INTL(BQ233,BT233,1,Holidays[Date]),BW233),"")</f>
        <v/>
      </c>
      <c r="BW233" s="78"/>
      <c r="BX233" s="80"/>
      <c r="BY233" s="68"/>
      <c r="BZ233" s="81"/>
      <c r="CA233" s="77" t="str">
        <f ca="1">IFERROR(IF(CB233="",WORKDAY.INTL(BV233,BY233,1,Holidays[Date]),CB233),"")</f>
        <v/>
      </c>
      <c r="CB233" s="78"/>
    </row>
    <row r="234" spans="1:80" ht="19" customHeight="1" x14ac:dyDescent="0.35">
      <c r="A234" s="31"/>
      <c r="B234" s="82"/>
      <c r="C234" s="1"/>
      <c r="D234" s="8"/>
      <c r="E234" s="8"/>
      <c r="F234" s="8"/>
      <c r="G234" s="8"/>
      <c r="H234" s="8"/>
      <c r="I234" s="9"/>
      <c r="J234" s="8"/>
      <c r="K234" s="8"/>
      <c r="L234" s="8"/>
      <c r="M234" s="8"/>
      <c r="N234" s="8"/>
      <c r="O234" s="8"/>
      <c r="P234" s="8"/>
      <c r="Q234" s="2"/>
      <c r="R234" s="2"/>
      <c r="S234" s="88" t="str">
        <f>IF(tblProcRegister[[#This Row],[Award]]&lt;&gt;"",tblProcRegister[[#This Row],[Budget]]-tblProcRegister[[#This Row],[Award]],"")</f>
        <v/>
      </c>
      <c r="T234" s="68"/>
      <c r="U234" s="68"/>
      <c r="V234" s="68"/>
      <c r="W234" s="77" t="str">
        <f>IF(AB234="","",WORKDAY.INTL(AB234,Z234*-1,1,Holidays[Date]))</f>
        <v/>
      </c>
      <c r="X234" s="77" t="str">
        <f t="shared" ca="1" si="3"/>
        <v/>
      </c>
      <c r="Y234" s="78"/>
      <c r="Z234" s="79"/>
      <c r="AA234" s="68"/>
      <c r="AB234" s="77" t="str">
        <f>IF(AG234="","",WORKDAY.INTL(AG234,AE234*-1,1,Holidays[Date]))</f>
        <v/>
      </c>
      <c r="AC234" s="77" t="str">
        <f ca="1">IFERROR(IF(AD234="",WORKDAY.INTL(X234,AA234,1,Holidays[Date]),AD234),"")</f>
        <v/>
      </c>
      <c r="AD234" s="78"/>
      <c r="AE234" s="80"/>
      <c r="AF234" s="68"/>
      <c r="AG234" s="77" t="str">
        <f>IF(AL234="","",WORKDAY.INTL(AL234,AJ234*-1,1,Holidays[Date]))</f>
        <v/>
      </c>
      <c r="AH234" s="77" t="str">
        <f ca="1">IFERROR(IF(AI234="",WORKDAY.INTL(AC234,AF234,1,Holidays[Date]),AI234),"")</f>
        <v/>
      </c>
      <c r="AI234" s="78"/>
      <c r="AJ234" s="80"/>
      <c r="AK234" s="68"/>
      <c r="AL234" s="77" t="str">
        <f>IF(AQ234="","",WORKDAY.INTL(AQ234,AO234*-1,1,Holidays[Date]))</f>
        <v/>
      </c>
      <c r="AM234" s="77" t="str">
        <f ca="1">IFERROR(IF(AN234="",WORKDAY.INTL(AH234,AK234,1,Holidays[Date]),AN234),"")</f>
        <v/>
      </c>
      <c r="AN234" s="78"/>
      <c r="AO234" s="80"/>
      <c r="AP234" s="68"/>
      <c r="AQ234" s="77" t="str">
        <f>IF(AV234="","",WORKDAY.INTL(AV234,AT234*-1,1,Holidays[Date]))</f>
        <v/>
      </c>
      <c r="AR234" s="77" t="str">
        <f ca="1">IFERROR(IF(AS234="",WORKDAY.INTL(AM234,AP234,1,Holidays[Date]),AS234),"")</f>
        <v/>
      </c>
      <c r="AS234" s="78"/>
      <c r="AT234" s="80"/>
      <c r="AU234" s="68"/>
      <c r="AV234" s="77" t="str">
        <f>IF(BA234="","",WORKDAY.INTL(BA234,AY234*-1,1,Holidays[Date]))</f>
        <v/>
      </c>
      <c r="AW234" s="77" t="str">
        <f ca="1">IFERROR(IF(AX234="",WORKDAY.INTL(AR234,AU234,1,Holidays[Date]),AX234),"")</f>
        <v/>
      </c>
      <c r="AX234" s="78"/>
      <c r="AY234" s="80"/>
      <c r="AZ234" s="68"/>
      <c r="BA234" s="77" t="str">
        <f>IF(BF234="","",WORKDAY.INTL(BF234,BD234*-1,1,Holidays[Date]))</f>
        <v/>
      </c>
      <c r="BB234" s="77" t="str">
        <f ca="1">IFERROR(IF(BC234="",WORKDAY.INTL(AW234,AZ234,1,Holidays[Date]),BC234),"")</f>
        <v/>
      </c>
      <c r="BC234" s="78"/>
      <c r="BD234" s="80"/>
      <c r="BE234" s="68"/>
      <c r="BF234" s="77" t="str">
        <f>IF(BK234="","",WORKDAY.INTL(BK234,BI234*-1,1,Holidays[Date]))</f>
        <v/>
      </c>
      <c r="BG234" s="77" t="str">
        <f ca="1">IFERROR(IF(BH234="",WORKDAY.INTL(BB234,BE234,1,Holidays[Date]),BH234),"")</f>
        <v/>
      </c>
      <c r="BH234" s="78"/>
      <c r="BI234" s="80"/>
      <c r="BJ234" s="68"/>
      <c r="BK234" s="77" t="str">
        <f>IF(BP234="","",WORKDAY.INTL(BP234,BN234*-1,1,Holidays[Date]))</f>
        <v/>
      </c>
      <c r="BL234" s="77" t="str">
        <f ca="1">IFERROR(IF(BM234="",WORKDAY.INTL(BG234,BJ234,1,Holidays[Date]),BM234),"")</f>
        <v/>
      </c>
      <c r="BM234" s="78"/>
      <c r="BN234" s="80"/>
      <c r="BO234" s="68"/>
      <c r="BP234" s="77" t="str">
        <f>IF(BU234="","",WORKDAY.INTL(BU234,BS234*-1,1,Holidays[Date]))</f>
        <v/>
      </c>
      <c r="BQ234" s="77" t="str">
        <f ca="1">IFERROR(IF(BR234="",WORKDAY.INTL(BL234,BO234,1,Holidays[Date]),BR234),"")</f>
        <v/>
      </c>
      <c r="BR234" s="78"/>
      <c r="BS234" s="80"/>
      <c r="BT234" s="68"/>
      <c r="BU234" s="77" t="str">
        <f>IF(BZ234="","",WORKDAY.INTL(BZ234,BX234*-1,1,Holidays[Date]))</f>
        <v/>
      </c>
      <c r="BV234" s="77" t="str">
        <f ca="1">IFERROR(IF(BW234="",WORKDAY.INTL(BQ234,BT234,1,Holidays[Date]),BW234),"")</f>
        <v/>
      </c>
      <c r="BW234" s="78"/>
      <c r="BX234" s="80"/>
      <c r="BY234" s="68"/>
      <c r="BZ234" s="81"/>
      <c r="CA234" s="77" t="str">
        <f ca="1">IFERROR(IF(CB234="",WORKDAY.INTL(BV234,BY234,1,Holidays[Date]),CB234),"")</f>
        <v/>
      </c>
      <c r="CB234" s="78"/>
    </row>
    <row r="235" spans="1:80" ht="19" customHeight="1" x14ac:dyDescent="0.35">
      <c r="A235" s="31"/>
      <c r="B235" s="82"/>
      <c r="C235" s="1"/>
      <c r="D235" s="8"/>
      <c r="E235" s="8"/>
      <c r="F235" s="8"/>
      <c r="G235" s="8"/>
      <c r="H235" s="8"/>
      <c r="I235" s="9"/>
      <c r="J235" s="8"/>
      <c r="K235" s="8"/>
      <c r="L235" s="8"/>
      <c r="M235" s="8"/>
      <c r="N235" s="8"/>
      <c r="O235" s="8"/>
      <c r="P235" s="8"/>
      <c r="Q235" s="2"/>
      <c r="R235" s="2"/>
      <c r="S235" s="88" t="str">
        <f>IF(tblProcRegister[[#This Row],[Award]]&lt;&gt;"",tblProcRegister[[#This Row],[Budget]]-tblProcRegister[[#This Row],[Award]],"")</f>
        <v/>
      </c>
      <c r="T235" s="68"/>
      <c r="U235" s="68"/>
      <c r="V235" s="68"/>
      <c r="W235" s="77" t="str">
        <f>IF(AB235="","",WORKDAY.INTL(AB235,Z235*-1,1,Holidays[Date]))</f>
        <v/>
      </c>
      <c r="X235" s="77" t="str">
        <f t="shared" ca="1" si="3"/>
        <v/>
      </c>
      <c r="Y235" s="78"/>
      <c r="Z235" s="79"/>
      <c r="AA235" s="68"/>
      <c r="AB235" s="77" t="str">
        <f>IF(AG235="","",WORKDAY.INTL(AG235,AE235*-1,1,Holidays[Date]))</f>
        <v/>
      </c>
      <c r="AC235" s="77" t="str">
        <f ca="1">IFERROR(IF(AD235="",WORKDAY.INTL(X235,AA235,1,Holidays[Date]),AD235),"")</f>
        <v/>
      </c>
      <c r="AD235" s="78"/>
      <c r="AE235" s="80"/>
      <c r="AF235" s="68"/>
      <c r="AG235" s="77" t="str">
        <f>IF(AL235="","",WORKDAY.INTL(AL235,AJ235*-1,1,Holidays[Date]))</f>
        <v/>
      </c>
      <c r="AH235" s="77" t="str">
        <f ca="1">IFERROR(IF(AI235="",WORKDAY.INTL(AC235,AF235,1,Holidays[Date]),AI235),"")</f>
        <v/>
      </c>
      <c r="AI235" s="78"/>
      <c r="AJ235" s="80"/>
      <c r="AK235" s="68"/>
      <c r="AL235" s="77" t="str">
        <f>IF(AQ235="","",WORKDAY.INTL(AQ235,AO235*-1,1,Holidays[Date]))</f>
        <v/>
      </c>
      <c r="AM235" s="77" t="str">
        <f ca="1">IFERROR(IF(AN235="",WORKDAY.INTL(AH235,AK235,1,Holidays[Date]),AN235),"")</f>
        <v/>
      </c>
      <c r="AN235" s="78"/>
      <c r="AO235" s="80"/>
      <c r="AP235" s="68"/>
      <c r="AQ235" s="77" t="str">
        <f>IF(AV235="","",WORKDAY.INTL(AV235,AT235*-1,1,Holidays[Date]))</f>
        <v/>
      </c>
      <c r="AR235" s="77" t="str">
        <f ca="1">IFERROR(IF(AS235="",WORKDAY.INTL(AM235,AP235,1,Holidays[Date]),AS235),"")</f>
        <v/>
      </c>
      <c r="AS235" s="78"/>
      <c r="AT235" s="80"/>
      <c r="AU235" s="68"/>
      <c r="AV235" s="77" t="str">
        <f>IF(BA235="","",WORKDAY.INTL(BA235,AY235*-1,1,Holidays[Date]))</f>
        <v/>
      </c>
      <c r="AW235" s="77" t="str">
        <f ca="1">IFERROR(IF(AX235="",WORKDAY.INTL(AR235,AU235,1,Holidays[Date]),AX235),"")</f>
        <v/>
      </c>
      <c r="AX235" s="78"/>
      <c r="AY235" s="80"/>
      <c r="AZ235" s="68"/>
      <c r="BA235" s="77" t="str">
        <f>IF(BF235="","",WORKDAY.INTL(BF235,BD235*-1,1,Holidays[Date]))</f>
        <v/>
      </c>
      <c r="BB235" s="77" t="str">
        <f ca="1">IFERROR(IF(BC235="",WORKDAY.INTL(AW235,AZ235,1,Holidays[Date]),BC235),"")</f>
        <v/>
      </c>
      <c r="BC235" s="78"/>
      <c r="BD235" s="80"/>
      <c r="BE235" s="68"/>
      <c r="BF235" s="77" t="str">
        <f>IF(BK235="","",WORKDAY.INTL(BK235,BI235*-1,1,Holidays[Date]))</f>
        <v/>
      </c>
      <c r="BG235" s="77" t="str">
        <f ca="1">IFERROR(IF(BH235="",WORKDAY.INTL(BB235,BE235,1,Holidays[Date]),BH235),"")</f>
        <v/>
      </c>
      <c r="BH235" s="78"/>
      <c r="BI235" s="80"/>
      <c r="BJ235" s="68"/>
      <c r="BK235" s="77" t="str">
        <f>IF(BP235="","",WORKDAY.INTL(BP235,BN235*-1,1,Holidays[Date]))</f>
        <v/>
      </c>
      <c r="BL235" s="77" t="str">
        <f ca="1">IFERROR(IF(BM235="",WORKDAY.INTL(BG235,BJ235,1,Holidays[Date]),BM235),"")</f>
        <v/>
      </c>
      <c r="BM235" s="78"/>
      <c r="BN235" s="80"/>
      <c r="BO235" s="68"/>
      <c r="BP235" s="77" t="str">
        <f>IF(BU235="","",WORKDAY.INTL(BU235,BS235*-1,1,Holidays[Date]))</f>
        <v/>
      </c>
      <c r="BQ235" s="77" t="str">
        <f ca="1">IFERROR(IF(BR235="",WORKDAY.INTL(BL235,BO235,1,Holidays[Date]),BR235),"")</f>
        <v/>
      </c>
      <c r="BR235" s="78"/>
      <c r="BS235" s="80"/>
      <c r="BT235" s="68"/>
      <c r="BU235" s="77" t="str">
        <f>IF(BZ235="","",WORKDAY.INTL(BZ235,BX235*-1,1,Holidays[Date]))</f>
        <v/>
      </c>
      <c r="BV235" s="77" t="str">
        <f ca="1">IFERROR(IF(BW235="",WORKDAY.INTL(BQ235,BT235,1,Holidays[Date]),BW235),"")</f>
        <v/>
      </c>
      <c r="BW235" s="78"/>
      <c r="BX235" s="80"/>
      <c r="BY235" s="68"/>
      <c r="BZ235" s="81"/>
      <c r="CA235" s="77" t="str">
        <f ca="1">IFERROR(IF(CB235="",WORKDAY.INTL(BV235,BY235,1,Holidays[Date]),CB235),"")</f>
        <v/>
      </c>
      <c r="CB235" s="78"/>
    </row>
    <row r="236" spans="1:80" ht="19" customHeight="1" x14ac:dyDescent="0.35">
      <c r="A236" s="31"/>
      <c r="B236" s="82"/>
      <c r="C236" s="1"/>
      <c r="D236" s="8"/>
      <c r="E236" s="8"/>
      <c r="F236" s="8"/>
      <c r="G236" s="8"/>
      <c r="H236" s="8"/>
      <c r="I236" s="9"/>
      <c r="J236" s="8"/>
      <c r="K236" s="8"/>
      <c r="L236" s="8"/>
      <c r="M236" s="8"/>
      <c r="N236" s="8"/>
      <c r="O236" s="8"/>
      <c r="P236" s="8"/>
      <c r="Q236" s="2"/>
      <c r="R236" s="2"/>
      <c r="S236" s="88" t="str">
        <f>IF(tblProcRegister[[#This Row],[Award]]&lt;&gt;"",tblProcRegister[[#This Row],[Budget]]-tblProcRegister[[#This Row],[Award]],"")</f>
        <v/>
      </c>
      <c r="T236" s="68"/>
      <c r="U236" s="68"/>
      <c r="V236" s="68"/>
      <c r="W236" s="77" t="str">
        <f>IF(AB236="","",WORKDAY.INTL(AB236,Z236*-1,1,Holidays[Date]))</f>
        <v/>
      </c>
      <c r="X236" s="77" t="str">
        <f t="shared" ca="1" si="3"/>
        <v/>
      </c>
      <c r="Y236" s="78"/>
      <c r="Z236" s="79"/>
      <c r="AA236" s="68"/>
      <c r="AB236" s="77" t="str">
        <f>IF(AG236="","",WORKDAY.INTL(AG236,AE236*-1,1,Holidays[Date]))</f>
        <v/>
      </c>
      <c r="AC236" s="77" t="str">
        <f ca="1">IFERROR(IF(AD236="",WORKDAY.INTL(X236,AA236,1,Holidays[Date]),AD236),"")</f>
        <v/>
      </c>
      <c r="AD236" s="78"/>
      <c r="AE236" s="80"/>
      <c r="AF236" s="68"/>
      <c r="AG236" s="77" t="str">
        <f>IF(AL236="","",WORKDAY.INTL(AL236,AJ236*-1,1,Holidays[Date]))</f>
        <v/>
      </c>
      <c r="AH236" s="77" t="str">
        <f ca="1">IFERROR(IF(AI236="",WORKDAY.INTL(AC236,AF236,1,Holidays[Date]),AI236),"")</f>
        <v/>
      </c>
      <c r="AI236" s="78"/>
      <c r="AJ236" s="80"/>
      <c r="AK236" s="68"/>
      <c r="AL236" s="77" t="str">
        <f>IF(AQ236="","",WORKDAY.INTL(AQ236,AO236*-1,1,Holidays[Date]))</f>
        <v/>
      </c>
      <c r="AM236" s="77" t="str">
        <f ca="1">IFERROR(IF(AN236="",WORKDAY.INTL(AH236,AK236,1,Holidays[Date]),AN236),"")</f>
        <v/>
      </c>
      <c r="AN236" s="78"/>
      <c r="AO236" s="80"/>
      <c r="AP236" s="68"/>
      <c r="AQ236" s="77" t="str">
        <f>IF(AV236="","",WORKDAY.INTL(AV236,AT236*-1,1,Holidays[Date]))</f>
        <v/>
      </c>
      <c r="AR236" s="77" t="str">
        <f ca="1">IFERROR(IF(AS236="",WORKDAY.INTL(AM236,AP236,1,Holidays[Date]),AS236),"")</f>
        <v/>
      </c>
      <c r="AS236" s="78"/>
      <c r="AT236" s="80"/>
      <c r="AU236" s="68"/>
      <c r="AV236" s="77" t="str">
        <f>IF(BA236="","",WORKDAY.INTL(BA236,AY236*-1,1,Holidays[Date]))</f>
        <v/>
      </c>
      <c r="AW236" s="77" t="str">
        <f ca="1">IFERROR(IF(AX236="",WORKDAY.INTL(AR236,AU236,1,Holidays[Date]),AX236),"")</f>
        <v/>
      </c>
      <c r="AX236" s="78"/>
      <c r="AY236" s="80"/>
      <c r="AZ236" s="68"/>
      <c r="BA236" s="77" t="str">
        <f>IF(BF236="","",WORKDAY.INTL(BF236,BD236*-1,1,Holidays[Date]))</f>
        <v/>
      </c>
      <c r="BB236" s="77" t="str">
        <f ca="1">IFERROR(IF(BC236="",WORKDAY.INTL(AW236,AZ236,1,Holidays[Date]),BC236),"")</f>
        <v/>
      </c>
      <c r="BC236" s="78"/>
      <c r="BD236" s="80"/>
      <c r="BE236" s="68"/>
      <c r="BF236" s="77" t="str">
        <f>IF(BK236="","",WORKDAY.INTL(BK236,BI236*-1,1,Holidays[Date]))</f>
        <v/>
      </c>
      <c r="BG236" s="77" t="str">
        <f ca="1">IFERROR(IF(BH236="",WORKDAY.INTL(BB236,BE236,1,Holidays[Date]),BH236),"")</f>
        <v/>
      </c>
      <c r="BH236" s="78"/>
      <c r="BI236" s="80"/>
      <c r="BJ236" s="68"/>
      <c r="BK236" s="77" t="str">
        <f>IF(BP236="","",WORKDAY.INTL(BP236,BN236*-1,1,Holidays[Date]))</f>
        <v/>
      </c>
      <c r="BL236" s="77" t="str">
        <f ca="1">IFERROR(IF(BM236="",WORKDAY.INTL(BG236,BJ236,1,Holidays[Date]),BM236),"")</f>
        <v/>
      </c>
      <c r="BM236" s="78"/>
      <c r="BN236" s="80"/>
      <c r="BO236" s="68"/>
      <c r="BP236" s="77" t="str">
        <f>IF(BU236="","",WORKDAY.INTL(BU236,BS236*-1,1,Holidays[Date]))</f>
        <v/>
      </c>
      <c r="BQ236" s="77" t="str">
        <f ca="1">IFERROR(IF(BR236="",WORKDAY.INTL(BL236,BO236,1,Holidays[Date]),BR236),"")</f>
        <v/>
      </c>
      <c r="BR236" s="78"/>
      <c r="BS236" s="80"/>
      <c r="BT236" s="68"/>
      <c r="BU236" s="77" t="str">
        <f>IF(BZ236="","",WORKDAY.INTL(BZ236,BX236*-1,1,Holidays[Date]))</f>
        <v/>
      </c>
      <c r="BV236" s="77" t="str">
        <f ca="1">IFERROR(IF(BW236="",WORKDAY.INTL(BQ236,BT236,1,Holidays[Date]),BW236),"")</f>
        <v/>
      </c>
      <c r="BW236" s="78"/>
      <c r="BX236" s="80"/>
      <c r="BY236" s="68"/>
      <c r="BZ236" s="81"/>
      <c r="CA236" s="77" t="str">
        <f ca="1">IFERROR(IF(CB236="",WORKDAY.INTL(BV236,BY236,1,Holidays[Date]),CB236),"")</f>
        <v/>
      </c>
      <c r="CB236" s="78"/>
    </row>
    <row r="237" spans="1:80" ht="19" customHeight="1" x14ac:dyDescent="0.35">
      <c r="A237" s="31"/>
      <c r="B237" s="82"/>
      <c r="C237" s="1"/>
      <c r="D237" s="8"/>
      <c r="E237" s="8"/>
      <c r="F237" s="8"/>
      <c r="G237" s="8"/>
      <c r="H237" s="8"/>
      <c r="I237" s="9"/>
      <c r="J237" s="8"/>
      <c r="K237" s="8"/>
      <c r="L237" s="8"/>
      <c r="M237" s="8"/>
      <c r="N237" s="8"/>
      <c r="O237" s="8"/>
      <c r="P237" s="8"/>
      <c r="Q237" s="2"/>
      <c r="R237" s="2"/>
      <c r="S237" s="88" t="str">
        <f>IF(tblProcRegister[[#This Row],[Award]]&lt;&gt;"",tblProcRegister[[#This Row],[Budget]]-tblProcRegister[[#This Row],[Award]],"")</f>
        <v/>
      </c>
      <c r="T237" s="68"/>
      <c r="U237" s="68"/>
      <c r="V237" s="68"/>
      <c r="W237" s="77" t="str">
        <f>IF(AB237="","",WORKDAY.INTL(AB237,Z237*-1,1,Holidays[Date]))</f>
        <v/>
      </c>
      <c r="X237" s="77" t="str">
        <f t="shared" ca="1" si="3"/>
        <v/>
      </c>
      <c r="Y237" s="78"/>
      <c r="Z237" s="79"/>
      <c r="AA237" s="68"/>
      <c r="AB237" s="77" t="str">
        <f>IF(AG237="","",WORKDAY.INTL(AG237,AE237*-1,1,Holidays[Date]))</f>
        <v/>
      </c>
      <c r="AC237" s="77" t="str">
        <f ca="1">IFERROR(IF(AD237="",WORKDAY.INTL(X237,AA237,1,Holidays[Date]),AD237),"")</f>
        <v/>
      </c>
      <c r="AD237" s="78"/>
      <c r="AE237" s="80"/>
      <c r="AF237" s="68"/>
      <c r="AG237" s="77" t="str">
        <f>IF(AL237="","",WORKDAY.INTL(AL237,AJ237*-1,1,Holidays[Date]))</f>
        <v/>
      </c>
      <c r="AH237" s="77" t="str">
        <f ca="1">IFERROR(IF(AI237="",WORKDAY.INTL(AC237,AF237,1,Holidays[Date]),AI237),"")</f>
        <v/>
      </c>
      <c r="AI237" s="78"/>
      <c r="AJ237" s="80"/>
      <c r="AK237" s="68"/>
      <c r="AL237" s="77" t="str">
        <f>IF(AQ237="","",WORKDAY.INTL(AQ237,AO237*-1,1,Holidays[Date]))</f>
        <v/>
      </c>
      <c r="AM237" s="77" t="str">
        <f ca="1">IFERROR(IF(AN237="",WORKDAY.INTL(AH237,AK237,1,Holidays[Date]),AN237),"")</f>
        <v/>
      </c>
      <c r="AN237" s="78"/>
      <c r="AO237" s="80"/>
      <c r="AP237" s="68"/>
      <c r="AQ237" s="77" t="str">
        <f>IF(AV237="","",WORKDAY.INTL(AV237,AT237*-1,1,Holidays[Date]))</f>
        <v/>
      </c>
      <c r="AR237" s="77" t="str">
        <f ca="1">IFERROR(IF(AS237="",WORKDAY.INTL(AM237,AP237,1,Holidays[Date]),AS237),"")</f>
        <v/>
      </c>
      <c r="AS237" s="78"/>
      <c r="AT237" s="80"/>
      <c r="AU237" s="68"/>
      <c r="AV237" s="77" t="str">
        <f>IF(BA237="","",WORKDAY.INTL(BA237,AY237*-1,1,Holidays[Date]))</f>
        <v/>
      </c>
      <c r="AW237" s="77" t="str">
        <f ca="1">IFERROR(IF(AX237="",WORKDAY.INTL(AR237,AU237,1,Holidays[Date]),AX237),"")</f>
        <v/>
      </c>
      <c r="AX237" s="78"/>
      <c r="AY237" s="80"/>
      <c r="AZ237" s="68"/>
      <c r="BA237" s="77" t="str">
        <f>IF(BF237="","",WORKDAY.INTL(BF237,BD237*-1,1,Holidays[Date]))</f>
        <v/>
      </c>
      <c r="BB237" s="77" t="str">
        <f ca="1">IFERROR(IF(BC237="",WORKDAY.INTL(AW237,AZ237,1,Holidays[Date]),BC237),"")</f>
        <v/>
      </c>
      <c r="BC237" s="78"/>
      <c r="BD237" s="80"/>
      <c r="BE237" s="68"/>
      <c r="BF237" s="77" t="str">
        <f>IF(BK237="","",WORKDAY.INTL(BK237,BI237*-1,1,Holidays[Date]))</f>
        <v/>
      </c>
      <c r="BG237" s="77" t="str">
        <f ca="1">IFERROR(IF(BH237="",WORKDAY.INTL(BB237,BE237,1,Holidays[Date]),BH237),"")</f>
        <v/>
      </c>
      <c r="BH237" s="78"/>
      <c r="BI237" s="80"/>
      <c r="BJ237" s="68"/>
      <c r="BK237" s="77" t="str">
        <f>IF(BP237="","",WORKDAY.INTL(BP237,BN237*-1,1,Holidays[Date]))</f>
        <v/>
      </c>
      <c r="BL237" s="77" t="str">
        <f ca="1">IFERROR(IF(BM237="",WORKDAY.INTL(BG237,BJ237,1,Holidays[Date]),BM237),"")</f>
        <v/>
      </c>
      <c r="BM237" s="78"/>
      <c r="BN237" s="80"/>
      <c r="BO237" s="68"/>
      <c r="BP237" s="77" t="str">
        <f>IF(BU237="","",WORKDAY.INTL(BU237,BS237*-1,1,Holidays[Date]))</f>
        <v/>
      </c>
      <c r="BQ237" s="77" t="str">
        <f ca="1">IFERROR(IF(BR237="",WORKDAY.INTL(BL237,BO237,1,Holidays[Date]),BR237),"")</f>
        <v/>
      </c>
      <c r="BR237" s="78"/>
      <c r="BS237" s="80"/>
      <c r="BT237" s="68"/>
      <c r="BU237" s="77" t="str">
        <f>IF(BZ237="","",WORKDAY.INTL(BZ237,BX237*-1,1,Holidays[Date]))</f>
        <v/>
      </c>
      <c r="BV237" s="77" t="str">
        <f ca="1">IFERROR(IF(BW237="",WORKDAY.INTL(BQ237,BT237,1,Holidays[Date]),BW237),"")</f>
        <v/>
      </c>
      <c r="BW237" s="78"/>
      <c r="BX237" s="80"/>
      <c r="BY237" s="68"/>
      <c r="BZ237" s="81"/>
      <c r="CA237" s="77" t="str">
        <f ca="1">IFERROR(IF(CB237="",WORKDAY.INTL(BV237,BY237,1,Holidays[Date]),CB237),"")</f>
        <v/>
      </c>
      <c r="CB237" s="78"/>
    </row>
    <row r="238" spans="1:80" ht="19" customHeight="1" x14ac:dyDescent="0.35">
      <c r="A238" s="31"/>
      <c r="B238" s="82"/>
      <c r="C238" s="1"/>
      <c r="D238" s="8"/>
      <c r="E238" s="8"/>
      <c r="F238" s="8"/>
      <c r="G238" s="8"/>
      <c r="H238" s="8"/>
      <c r="I238" s="9"/>
      <c r="J238" s="8"/>
      <c r="K238" s="8"/>
      <c r="L238" s="8"/>
      <c r="M238" s="8"/>
      <c r="N238" s="8"/>
      <c r="O238" s="8"/>
      <c r="P238" s="8"/>
      <c r="Q238" s="2"/>
      <c r="R238" s="2"/>
      <c r="S238" s="88" t="str">
        <f>IF(tblProcRegister[[#This Row],[Award]]&lt;&gt;"",tblProcRegister[[#This Row],[Budget]]-tblProcRegister[[#This Row],[Award]],"")</f>
        <v/>
      </c>
      <c r="T238" s="68"/>
      <c r="U238" s="68"/>
      <c r="V238" s="68"/>
      <c r="W238" s="77" t="str">
        <f>IF(AB238="","",WORKDAY.INTL(AB238,Z238*-1,1,Holidays[Date]))</f>
        <v/>
      </c>
      <c r="X238" s="77" t="str">
        <f t="shared" ca="1" si="3"/>
        <v/>
      </c>
      <c r="Y238" s="78"/>
      <c r="Z238" s="79"/>
      <c r="AA238" s="68"/>
      <c r="AB238" s="77" t="str">
        <f>IF(AG238="","",WORKDAY.INTL(AG238,AE238*-1,1,Holidays[Date]))</f>
        <v/>
      </c>
      <c r="AC238" s="77" t="str">
        <f ca="1">IFERROR(IF(AD238="",WORKDAY.INTL(X238,AA238,1,Holidays[Date]),AD238),"")</f>
        <v/>
      </c>
      <c r="AD238" s="78"/>
      <c r="AE238" s="80"/>
      <c r="AF238" s="68"/>
      <c r="AG238" s="77" t="str">
        <f>IF(AL238="","",WORKDAY.INTL(AL238,AJ238*-1,1,Holidays[Date]))</f>
        <v/>
      </c>
      <c r="AH238" s="77" t="str">
        <f ca="1">IFERROR(IF(AI238="",WORKDAY.INTL(AC238,AF238,1,Holidays[Date]),AI238),"")</f>
        <v/>
      </c>
      <c r="AI238" s="78"/>
      <c r="AJ238" s="80"/>
      <c r="AK238" s="68"/>
      <c r="AL238" s="77" t="str">
        <f>IF(AQ238="","",WORKDAY.INTL(AQ238,AO238*-1,1,Holidays[Date]))</f>
        <v/>
      </c>
      <c r="AM238" s="77" t="str">
        <f ca="1">IFERROR(IF(AN238="",WORKDAY.INTL(AH238,AK238,1,Holidays[Date]),AN238),"")</f>
        <v/>
      </c>
      <c r="AN238" s="78"/>
      <c r="AO238" s="80"/>
      <c r="AP238" s="68"/>
      <c r="AQ238" s="77" t="str">
        <f>IF(AV238="","",WORKDAY.INTL(AV238,AT238*-1,1,Holidays[Date]))</f>
        <v/>
      </c>
      <c r="AR238" s="77" t="str">
        <f ca="1">IFERROR(IF(AS238="",WORKDAY.INTL(AM238,AP238,1,Holidays[Date]),AS238),"")</f>
        <v/>
      </c>
      <c r="AS238" s="78"/>
      <c r="AT238" s="80"/>
      <c r="AU238" s="68"/>
      <c r="AV238" s="77" t="str">
        <f>IF(BA238="","",WORKDAY.INTL(BA238,AY238*-1,1,Holidays[Date]))</f>
        <v/>
      </c>
      <c r="AW238" s="77" t="str">
        <f ca="1">IFERROR(IF(AX238="",WORKDAY.INTL(AR238,AU238,1,Holidays[Date]),AX238),"")</f>
        <v/>
      </c>
      <c r="AX238" s="78"/>
      <c r="AY238" s="80"/>
      <c r="AZ238" s="68"/>
      <c r="BA238" s="77" t="str">
        <f>IF(BF238="","",WORKDAY.INTL(BF238,BD238*-1,1,Holidays[Date]))</f>
        <v/>
      </c>
      <c r="BB238" s="77" t="str">
        <f ca="1">IFERROR(IF(BC238="",WORKDAY.INTL(AW238,AZ238,1,Holidays[Date]),BC238),"")</f>
        <v/>
      </c>
      <c r="BC238" s="78"/>
      <c r="BD238" s="80"/>
      <c r="BE238" s="68"/>
      <c r="BF238" s="77" t="str">
        <f>IF(BK238="","",WORKDAY.INTL(BK238,BI238*-1,1,Holidays[Date]))</f>
        <v/>
      </c>
      <c r="BG238" s="77" t="str">
        <f ca="1">IFERROR(IF(BH238="",WORKDAY.INTL(BB238,BE238,1,Holidays[Date]),BH238),"")</f>
        <v/>
      </c>
      <c r="BH238" s="78"/>
      <c r="BI238" s="80"/>
      <c r="BJ238" s="68"/>
      <c r="BK238" s="77" t="str">
        <f>IF(BP238="","",WORKDAY.INTL(BP238,BN238*-1,1,Holidays[Date]))</f>
        <v/>
      </c>
      <c r="BL238" s="77" t="str">
        <f ca="1">IFERROR(IF(BM238="",WORKDAY.INTL(BG238,BJ238,1,Holidays[Date]),BM238),"")</f>
        <v/>
      </c>
      <c r="BM238" s="78"/>
      <c r="BN238" s="80"/>
      <c r="BO238" s="68"/>
      <c r="BP238" s="77" t="str">
        <f>IF(BU238="","",WORKDAY.INTL(BU238,BS238*-1,1,Holidays[Date]))</f>
        <v/>
      </c>
      <c r="BQ238" s="77" t="str">
        <f ca="1">IFERROR(IF(BR238="",WORKDAY.INTL(BL238,BO238,1,Holidays[Date]),BR238),"")</f>
        <v/>
      </c>
      <c r="BR238" s="78"/>
      <c r="BS238" s="80"/>
      <c r="BT238" s="68"/>
      <c r="BU238" s="77" t="str">
        <f>IF(BZ238="","",WORKDAY.INTL(BZ238,BX238*-1,1,Holidays[Date]))</f>
        <v/>
      </c>
      <c r="BV238" s="77" t="str">
        <f ca="1">IFERROR(IF(BW238="",WORKDAY.INTL(BQ238,BT238,1,Holidays[Date]),BW238),"")</f>
        <v/>
      </c>
      <c r="BW238" s="78"/>
      <c r="BX238" s="80"/>
      <c r="BY238" s="68"/>
      <c r="BZ238" s="81"/>
      <c r="CA238" s="77" t="str">
        <f ca="1">IFERROR(IF(CB238="",WORKDAY.INTL(BV238,BY238,1,Holidays[Date]),CB238),"")</f>
        <v/>
      </c>
      <c r="CB238" s="78"/>
    </row>
    <row r="239" spans="1:80" ht="19" customHeight="1" x14ac:dyDescent="0.35">
      <c r="A239" s="31"/>
      <c r="B239" s="82"/>
      <c r="C239" s="1"/>
      <c r="D239" s="8"/>
      <c r="E239" s="8"/>
      <c r="F239" s="8"/>
      <c r="G239" s="8"/>
      <c r="H239" s="8"/>
      <c r="I239" s="9"/>
      <c r="J239" s="8"/>
      <c r="K239" s="8"/>
      <c r="L239" s="8"/>
      <c r="M239" s="8"/>
      <c r="N239" s="8"/>
      <c r="O239" s="8"/>
      <c r="P239" s="8"/>
      <c r="Q239" s="2"/>
      <c r="R239" s="2"/>
      <c r="S239" s="88" t="str">
        <f>IF(tblProcRegister[[#This Row],[Award]]&lt;&gt;"",tblProcRegister[[#This Row],[Budget]]-tblProcRegister[[#This Row],[Award]],"")</f>
        <v/>
      </c>
      <c r="T239" s="68"/>
      <c r="U239" s="68"/>
      <c r="V239" s="68"/>
      <c r="W239" s="77" t="str">
        <f>IF(AB239="","",WORKDAY.INTL(AB239,Z239*-1,1,Holidays[Date]))</f>
        <v/>
      </c>
      <c r="X239" s="77" t="str">
        <f t="shared" ca="1" si="3"/>
        <v/>
      </c>
      <c r="Y239" s="78"/>
      <c r="Z239" s="79"/>
      <c r="AA239" s="68"/>
      <c r="AB239" s="77" t="str">
        <f>IF(AG239="","",WORKDAY.INTL(AG239,AE239*-1,1,Holidays[Date]))</f>
        <v/>
      </c>
      <c r="AC239" s="77" t="str">
        <f ca="1">IFERROR(IF(AD239="",WORKDAY.INTL(X239,AA239,1,Holidays[Date]),AD239),"")</f>
        <v/>
      </c>
      <c r="AD239" s="78"/>
      <c r="AE239" s="80"/>
      <c r="AF239" s="68"/>
      <c r="AG239" s="77" t="str">
        <f>IF(AL239="","",WORKDAY.INTL(AL239,AJ239*-1,1,Holidays[Date]))</f>
        <v/>
      </c>
      <c r="AH239" s="77" t="str">
        <f ca="1">IFERROR(IF(AI239="",WORKDAY.INTL(AC239,AF239,1,Holidays[Date]),AI239),"")</f>
        <v/>
      </c>
      <c r="AI239" s="78"/>
      <c r="AJ239" s="80"/>
      <c r="AK239" s="68"/>
      <c r="AL239" s="77" t="str">
        <f>IF(AQ239="","",WORKDAY.INTL(AQ239,AO239*-1,1,Holidays[Date]))</f>
        <v/>
      </c>
      <c r="AM239" s="77" t="str">
        <f ca="1">IFERROR(IF(AN239="",WORKDAY.INTL(AH239,AK239,1,Holidays[Date]),AN239),"")</f>
        <v/>
      </c>
      <c r="AN239" s="78"/>
      <c r="AO239" s="80"/>
      <c r="AP239" s="68"/>
      <c r="AQ239" s="77" t="str">
        <f>IF(AV239="","",WORKDAY.INTL(AV239,AT239*-1,1,Holidays[Date]))</f>
        <v/>
      </c>
      <c r="AR239" s="77" t="str">
        <f ca="1">IFERROR(IF(AS239="",WORKDAY.INTL(AM239,AP239,1,Holidays[Date]),AS239),"")</f>
        <v/>
      </c>
      <c r="AS239" s="78"/>
      <c r="AT239" s="80"/>
      <c r="AU239" s="68"/>
      <c r="AV239" s="77" t="str">
        <f>IF(BA239="","",WORKDAY.INTL(BA239,AY239*-1,1,Holidays[Date]))</f>
        <v/>
      </c>
      <c r="AW239" s="77" t="str">
        <f ca="1">IFERROR(IF(AX239="",WORKDAY.INTL(AR239,AU239,1,Holidays[Date]),AX239),"")</f>
        <v/>
      </c>
      <c r="AX239" s="78"/>
      <c r="AY239" s="80"/>
      <c r="AZ239" s="68"/>
      <c r="BA239" s="77" t="str">
        <f>IF(BF239="","",WORKDAY.INTL(BF239,BD239*-1,1,Holidays[Date]))</f>
        <v/>
      </c>
      <c r="BB239" s="77" t="str">
        <f ca="1">IFERROR(IF(BC239="",WORKDAY.INTL(AW239,AZ239,1,Holidays[Date]),BC239),"")</f>
        <v/>
      </c>
      <c r="BC239" s="78"/>
      <c r="BD239" s="80"/>
      <c r="BE239" s="68"/>
      <c r="BF239" s="77" t="str">
        <f>IF(BK239="","",WORKDAY.INTL(BK239,BI239*-1,1,Holidays[Date]))</f>
        <v/>
      </c>
      <c r="BG239" s="77" t="str">
        <f ca="1">IFERROR(IF(BH239="",WORKDAY.INTL(BB239,BE239,1,Holidays[Date]),BH239),"")</f>
        <v/>
      </c>
      <c r="BH239" s="78"/>
      <c r="BI239" s="80"/>
      <c r="BJ239" s="68"/>
      <c r="BK239" s="77" t="str">
        <f>IF(BP239="","",WORKDAY.INTL(BP239,BN239*-1,1,Holidays[Date]))</f>
        <v/>
      </c>
      <c r="BL239" s="77" t="str">
        <f ca="1">IFERROR(IF(BM239="",WORKDAY.INTL(BG239,BJ239,1,Holidays[Date]),BM239),"")</f>
        <v/>
      </c>
      <c r="BM239" s="78"/>
      <c r="BN239" s="80"/>
      <c r="BO239" s="68"/>
      <c r="BP239" s="77" t="str">
        <f>IF(BU239="","",WORKDAY.INTL(BU239,BS239*-1,1,Holidays[Date]))</f>
        <v/>
      </c>
      <c r="BQ239" s="77" t="str">
        <f ca="1">IFERROR(IF(BR239="",WORKDAY.INTL(BL239,BO239,1,Holidays[Date]),BR239),"")</f>
        <v/>
      </c>
      <c r="BR239" s="78"/>
      <c r="BS239" s="80"/>
      <c r="BT239" s="68"/>
      <c r="BU239" s="77" t="str">
        <f>IF(BZ239="","",WORKDAY.INTL(BZ239,BX239*-1,1,Holidays[Date]))</f>
        <v/>
      </c>
      <c r="BV239" s="77" t="str">
        <f ca="1">IFERROR(IF(BW239="",WORKDAY.INTL(BQ239,BT239,1,Holidays[Date]),BW239),"")</f>
        <v/>
      </c>
      <c r="BW239" s="78"/>
      <c r="BX239" s="80"/>
      <c r="BY239" s="68"/>
      <c r="BZ239" s="81"/>
      <c r="CA239" s="77" t="str">
        <f ca="1">IFERROR(IF(CB239="",WORKDAY.INTL(BV239,BY239,1,Holidays[Date]),CB239),"")</f>
        <v/>
      </c>
      <c r="CB239" s="78"/>
    </row>
    <row r="240" spans="1:80" ht="19" customHeight="1" x14ac:dyDescent="0.35">
      <c r="A240" s="31"/>
      <c r="B240" s="82"/>
      <c r="C240" s="1"/>
      <c r="D240" s="8"/>
      <c r="E240" s="8"/>
      <c r="F240" s="8"/>
      <c r="G240" s="8"/>
      <c r="H240" s="8"/>
      <c r="I240" s="9"/>
      <c r="J240" s="8"/>
      <c r="K240" s="8"/>
      <c r="L240" s="8"/>
      <c r="M240" s="8"/>
      <c r="N240" s="8"/>
      <c r="O240" s="8"/>
      <c r="P240" s="8"/>
      <c r="Q240" s="2"/>
      <c r="R240" s="2"/>
      <c r="S240" s="88" t="str">
        <f>IF(tblProcRegister[[#This Row],[Award]]&lt;&gt;"",tblProcRegister[[#This Row],[Budget]]-tblProcRegister[[#This Row],[Award]],"")</f>
        <v/>
      </c>
      <c r="T240" s="68"/>
      <c r="U240" s="68"/>
      <c r="V240" s="68"/>
      <c r="W240" s="77" t="str">
        <f>IF(AB240="","",WORKDAY.INTL(AB240,Z240*-1,1,Holidays[Date]))</f>
        <v/>
      </c>
      <c r="X240" s="77" t="str">
        <f t="shared" ca="1" si="3"/>
        <v/>
      </c>
      <c r="Y240" s="78"/>
      <c r="Z240" s="79"/>
      <c r="AA240" s="68"/>
      <c r="AB240" s="77" t="str">
        <f>IF(AG240="","",WORKDAY.INTL(AG240,AE240*-1,1,Holidays[Date]))</f>
        <v/>
      </c>
      <c r="AC240" s="77" t="str">
        <f ca="1">IFERROR(IF(AD240="",WORKDAY.INTL(X240,AA240,1,Holidays[Date]),AD240),"")</f>
        <v/>
      </c>
      <c r="AD240" s="78"/>
      <c r="AE240" s="80"/>
      <c r="AF240" s="68"/>
      <c r="AG240" s="77" t="str">
        <f>IF(AL240="","",WORKDAY.INTL(AL240,AJ240*-1,1,Holidays[Date]))</f>
        <v/>
      </c>
      <c r="AH240" s="77" t="str">
        <f ca="1">IFERROR(IF(AI240="",WORKDAY.INTL(AC240,AF240,1,Holidays[Date]),AI240),"")</f>
        <v/>
      </c>
      <c r="AI240" s="78"/>
      <c r="AJ240" s="80"/>
      <c r="AK240" s="68"/>
      <c r="AL240" s="77" t="str">
        <f>IF(AQ240="","",WORKDAY.INTL(AQ240,AO240*-1,1,Holidays[Date]))</f>
        <v/>
      </c>
      <c r="AM240" s="77" t="str">
        <f ca="1">IFERROR(IF(AN240="",WORKDAY.INTL(AH240,AK240,1,Holidays[Date]),AN240),"")</f>
        <v/>
      </c>
      <c r="AN240" s="78"/>
      <c r="AO240" s="80"/>
      <c r="AP240" s="68"/>
      <c r="AQ240" s="77" t="str">
        <f>IF(AV240="","",WORKDAY.INTL(AV240,AT240*-1,1,Holidays[Date]))</f>
        <v/>
      </c>
      <c r="AR240" s="77" t="str">
        <f ca="1">IFERROR(IF(AS240="",WORKDAY.INTL(AM240,AP240,1,Holidays[Date]),AS240),"")</f>
        <v/>
      </c>
      <c r="AS240" s="78"/>
      <c r="AT240" s="80"/>
      <c r="AU240" s="68"/>
      <c r="AV240" s="77" t="str">
        <f>IF(BA240="","",WORKDAY.INTL(BA240,AY240*-1,1,Holidays[Date]))</f>
        <v/>
      </c>
      <c r="AW240" s="77" t="str">
        <f ca="1">IFERROR(IF(AX240="",WORKDAY.INTL(AR240,AU240,1,Holidays[Date]),AX240),"")</f>
        <v/>
      </c>
      <c r="AX240" s="78"/>
      <c r="AY240" s="80"/>
      <c r="AZ240" s="68"/>
      <c r="BA240" s="77" t="str">
        <f>IF(BF240="","",WORKDAY.INTL(BF240,BD240*-1,1,Holidays[Date]))</f>
        <v/>
      </c>
      <c r="BB240" s="77" t="str">
        <f ca="1">IFERROR(IF(BC240="",WORKDAY.INTL(AW240,AZ240,1,Holidays[Date]),BC240),"")</f>
        <v/>
      </c>
      <c r="BC240" s="78"/>
      <c r="BD240" s="80"/>
      <c r="BE240" s="68"/>
      <c r="BF240" s="77" t="str">
        <f>IF(BK240="","",WORKDAY.INTL(BK240,BI240*-1,1,Holidays[Date]))</f>
        <v/>
      </c>
      <c r="BG240" s="77" t="str">
        <f ca="1">IFERROR(IF(BH240="",WORKDAY.INTL(BB240,BE240,1,Holidays[Date]),BH240),"")</f>
        <v/>
      </c>
      <c r="BH240" s="78"/>
      <c r="BI240" s="80"/>
      <c r="BJ240" s="68"/>
      <c r="BK240" s="77" t="str">
        <f>IF(BP240="","",WORKDAY.INTL(BP240,BN240*-1,1,Holidays[Date]))</f>
        <v/>
      </c>
      <c r="BL240" s="77" t="str">
        <f ca="1">IFERROR(IF(BM240="",WORKDAY.INTL(BG240,BJ240,1,Holidays[Date]),BM240),"")</f>
        <v/>
      </c>
      <c r="BM240" s="78"/>
      <c r="BN240" s="80"/>
      <c r="BO240" s="68"/>
      <c r="BP240" s="77" t="str">
        <f>IF(BU240="","",WORKDAY.INTL(BU240,BS240*-1,1,Holidays[Date]))</f>
        <v/>
      </c>
      <c r="BQ240" s="77" t="str">
        <f ca="1">IFERROR(IF(BR240="",WORKDAY.INTL(BL240,BO240,1,Holidays[Date]),BR240),"")</f>
        <v/>
      </c>
      <c r="BR240" s="78"/>
      <c r="BS240" s="80"/>
      <c r="BT240" s="68"/>
      <c r="BU240" s="77" t="str">
        <f>IF(BZ240="","",WORKDAY.INTL(BZ240,BX240*-1,1,Holidays[Date]))</f>
        <v/>
      </c>
      <c r="BV240" s="77" t="str">
        <f ca="1">IFERROR(IF(BW240="",WORKDAY.INTL(BQ240,BT240,1,Holidays[Date]),BW240),"")</f>
        <v/>
      </c>
      <c r="BW240" s="78"/>
      <c r="BX240" s="80"/>
      <c r="BY240" s="68"/>
      <c r="BZ240" s="81"/>
      <c r="CA240" s="77" t="str">
        <f ca="1">IFERROR(IF(CB240="",WORKDAY.INTL(BV240,BY240,1,Holidays[Date]),CB240),"")</f>
        <v/>
      </c>
      <c r="CB240" s="78"/>
    </row>
    <row r="241" spans="1:80" ht="19" customHeight="1" x14ac:dyDescent="0.35">
      <c r="A241" s="31"/>
      <c r="B241" s="82"/>
      <c r="C241" s="1"/>
      <c r="D241" s="8"/>
      <c r="E241" s="8"/>
      <c r="F241" s="8"/>
      <c r="G241" s="8"/>
      <c r="H241" s="8"/>
      <c r="I241" s="9"/>
      <c r="J241" s="8"/>
      <c r="K241" s="8"/>
      <c r="L241" s="8"/>
      <c r="M241" s="8"/>
      <c r="N241" s="8"/>
      <c r="O241" s="8"/>
      <c r="P241" s="8"/>
      <c r="Q241" s="2"/>
      <c r="R241" s="2"/>
      <c r="S241" s="88" t="str">
        <f>IF(tblProcRegister[[#This Row],[Award]]&lt;&gt;"",tblProcRegister[[#This Row],[Budget]]-tblProcRegister[[#This Row],[Award]],"")</f>
        <v/>
      </c>
      <c r="T241" s="68"/>
      <c r="U241" s="68"/>
      <c r="V241" s="68"/>
      <c r="W241" s="77" t="str">
        <f>IF(AB241="","",WORKDAY.INTL(AB241,Z241*-1,1,Holidays[Date]))</f>
        <v/>
      </c>
      <c r="X241" s="77" t="str">
        <f t="shared" ca="1" si="3"/>
        <v/>
      </c>
      <c r="Y241" s="78"/>
      <c r="Z241" s="79"/>
      <c r="AA241" s="68"/>
      <c r="AB241" s="77" t="str">
        <f>IF(AG241="","",WORKDAY.INTL(AG241,AE241*-1,1,Holidays[Date]))</f>
        <v/>
      </c>
      <c r="AC241" s="77" t="str">
        <f ca="1">IFERROR(IF(AD241="",WORKDAY.INTL(X241,AA241,1,Holidays[Date]),AD241),"")</f>
        <v/>
      </c>
      <c r="AD241" s="78"/>
      <c r="AE241" s="80"/>
      <c r="AF241" s="68"/>
      <c r="AG241" s="77" t="str">
        <f>IF(AL241="","",WORKDAY.INTL(AL241,AJ241*-1,1,Holidays[Date]))</f>
        <v/>
      </c>
      <c r="AH241" s="77" t="str">
        <f ca="1">IFERROR(IF(AI241="",WORKDAY.INTL(AC241,AF241,1,Holidays[Date]),AI241),"")</f>
        <v/>
      </c>
      <c r="AI241" s="78"/>
      <c r="AJ241" s="80"/>
      <c r="AK241" s="68"/>
      <c r="AL241" s="77" t="str">
        <f>IF(AQ241="","",WORKDAY.INTL(AQ241,AO241*-1,1,Holidays[Date]))</f>
        <v/>
      </c>
      <c r="AM241" s="77" t="str">
        <f ca="1">IFERROR(IF(AN241="",WORKDAY.INTL(AH241,AK241,1,Holidays[Date]),AN241),"")</f>
        <v/>
      </c>
      <c r="AN241" s="78"/>
      <c r="AO241" s="80"/>
      <c r="AP241" s="68"/>
      <c r="AQ241" s="77" t="str">
        <f>IF(AV241="","",WORKDAY.INTL(AV241,AT241*-1,1,Holidays[Date]))</f>
        <v/>
      </c>
      <c r="AR241" s="77" t="str">
        <f ca="1">IFERROR(IF(AS241="",WORKDAY.INTL(AM241,AP241,1,Holidays[Date]),AS241),"")</f>
        <v/>
      </c>
      <c r="AS241" s="78"/>
      <c r="AT241" s="80"/>
      <c r="AU241" s="68"/>
      <c r="AV241" s="77" t="str">
        <f>IF(BA241="","",WORKDAY.INTL(BA241,AY241*-1,1,Holidays[Date]))</f>
        <v/>
      </c>
      <c r="AW241" s="77" t="str">
        <f ca="1">IFERROR(IF(AX241="",WORKDAY.INTL(AR241,AU241,1,Holidays[Date]),AX241),"")</f>
        <v/>
      </c>
      <c r="AX241" s="78"/>
      <c r="AY241" s="80"/>
      <c r="AZ241" s="68"/>
      <c r="BA241" s="77" t="str">
        <f>IF(BF241="","",WORKDAY.INTL(BF241,BD241*-1,1,Holidays[Date]))</f>
        <v/>
      </c>
      <c r="BB241" s="77" t="str">
        <f ca="1">IFERROR(IF(BC241="",WORKDAY.INTL(AW241,AZ241,1,Holidays[Date]),BC241),"")</f>
        <v/>
      </c>
      <c r="BC241" s="78"/>
      <c r="BD241" s="80"/>
      <c r="BE241" s="68"/>
      <c r="BF241" s="77" t="str">
        <f>IF(BK241="","",WORKDAY.INTL(BK241,BI241*-1,1,Holidays[Date]))</f>
        <v/>
      </c>
      <c r="BG241" s="77" t="str">
        <f ca="1">IFERROR(IF(BH241="",WORKDAY.INTL(BB241,BE241,1,Holidays[Date]),BH241),"")</f>
        <v/>
      </c>
      <c r="BH241" s="78"/>
      <c r="BI241" s="80"/>
      <c r="BJ241" s="68"/>
      <c r="BK241" s="77" t="str">
        <f>IF(BP241="","",WORKDAY.INTL(BP241,BN241*-1,1,Holidays[Date]))</f>
        <v/>
      </c>
      <c r="BL241" s="77" t="str">
        <f ca="1">IFERROR(IF(BM241="",WORKDAY.INTL(BG241,BJ241,1,Holidays[Date]),BM241),"")</f>
        <v/>
      </c>
      <c r="BM241" s="78"/>
      <c r="BN241" s="80"/>
      <c r="BO241" s="68"/>
      <c r="BP241" s="77" t="str">
        <f>IF(BU241="","",WORKDAY.INTL(BU241,BS241*-1,1,Holidays[Date]))</f>
        <v/>
      </c>
      <c r="BQ241" s="77" t="str">
        <f ca="1">IFERROR(IF(BR241="",WORKDAY.INTL(BL241,BO241,1,Holidays[Date]),BR241),"")</f>
        <v/>
      </c>
      <c r="BR241" s="78"/>
      <c r="BS241" s="80"/>
      <c r="BT241" s="68"/>
      <c r="BU241" s="77" t="str">
        <f>IF(BZ241="","",WORKDAY.INTL(BZ241,BX241*-1,1,Holidays[Date]))</f>
        <v/>
      </c>
      <c r="BV241" s="77" t="str">
        <f ca="1">IFERROR(IF(BW241="",WORKDAY.INTL(BQ241,BT241,1,Holidays[Date]),BW241),"")</f>
        <v/>
      </c>
      <c r="BW241" s="78"/>
      <c r="BX241" s="80"/>
      <c r="BY241" s="68"/>
      <c r="BZ241" s="81"/>
      <c r="CA241" s="77" t="str">
        <f ca="1">IFERROR(IF(CB241="",WORKDAY.INTL(BV241,BY241,1,Holidays[Date]),CB241),"")</f>
        <v/>
      </c>
      <c r="CB241" s="78"/>
    </row>
    <row r="242" spans="1:80" ht="19" customHeight="1" x14ac:dyDescent="0.35">
      <c r="A242" s="31"/>
      <c r="B242" s="82"/>
      <c r="C242" s="1"/>
      <c r="D242" s="8"/>
      <c r="E242" s="8"/>
      <c r="F242" s="8"/>
      <c r="G242" s="8"/>
      <c r="H242" s="8"/>
      <c r="I242" s="9"/>
      <c r="J242" s="8"/>
      <c r="K242" s="8"/>
      <c r="L242" s="8"/>
      <c r="M242" s="8"/>
      <c r="N242" s="8"/>
      <c r="O242" s="8"/>
      <c r="P242" s="8"/>
      <c r="Q242" s="2"/>
      <c r="R242" s="2"/>
      <c r="S242" s="88" t="str">
        <f>IF(tblProcRegister[[#This Row],[Award]]&lt;&gt;"",tblProcRegister[[#This Row],[Budget]]-tblProcRegister[[#This Row],[Award]],"")</f>
        <v/>
      </c>
      <c r="T242" s="68"/>
      <c r="U242" s="68"/>
      <c r="V242" s="68"/>
      <c r="W242" s="77" t="str">
        <f>IF(AB242="","",WORKDAY.INTL(AB242,Z242*-1,1,Holidays[Date]))</f>
        <v/>
      </c>
      <c r="X242" s="77" t="str">
        <f t="shared" ca="1" si="3"/>
        <v/>
      </c>
      <c r="Y242" s="78"/>
      <c r="Z242" s="79"/>
      <c r="AA242" s="68"/>
      <c r="AB242" s="77" t="str">
        <f>IF(AG242="","",WORKDAY.INTL(AG242,AE242*-1,1,Holidays[Date]))</f>
        <v/>
      </c>
      <c r="AC242" s="77" t="str">
        <f ca="1">IFERROR(IF(AD242="",WORKDAY.INTL(X242,AA242,1,Holidays[Date]),AD242),"")</f>
        <v/>
      </c>
      <c r="AD242" s="78"/>
      <c r="AE242" s="80"/>
      <c r="AF242" s="68"/>
      <c r="AG242" s="77" t="str">
        <f>IF(AL242="","",WORKDAY.INTL(AL242,AJ242*-1,1,Holidays[Date]))</f>
        <v/>
      </c>
      <c r="AH242" s="77" t="str">
        <f ca="1">IFERROR(IF(AI242="",WORKDAY.INTL(AC242,AF242,1,Holidays[Date]),AI242),"")</f>
        <v/>
      </c>
      <c r="AI242" s="78"/>
      <c r="AJ242" s="80"/>
      <c r="AK242" s="68"/>
      <c r="AL242" s="77" t="str">
        <f>IF(AQ242="","",WORKDAY.INTL(AQ242,AO242*-1,1,Holidays[Date]))</f>
        <v/>
      </c>
      <c r="AM242" s="77" t="str">
        <f ca="1">IFERROR(IF(AN242="",WORKDAY.INTL(AH242,AK242,1,Holidays[Date]),AN242),"")</f>
        <v/>
      </c>
      <c r="AN242" s="78"/>
      <c r="AO242" s="80"/>
      <c r="AP242" s="68"/>
      <c r="AQ242" s="77" t="str">
        <f>IF(AV242="","",WORKDAY.INTL(AV242,AT242*-1,1,Holidays[Date]))</f>
        <v/>
      </c>
      <c r="AR242" s="77" t="str">
        <f ca="1">IFERROR(IF(AS242="",WORKDAY.INTL(AM242,AP242,1,Holidays[Date]),AS242),"")</f>
        <v/>
      </c>
      <c r="AS242" s="78"/>
      <c r="AT242" s="80"/>
      <c r="AU242" s="68"/>
      <c r="AV242" s="77" t="str">
        <f>IF(BA242="","",WORKDAY.INTL(BA242,AY242*-1,1,Holidays[Date]))</f>
        <v/>
      </c>
      <c r="AW242" s="77" t="str">
        <f ca="1">IFERROR(IF(AX242="",WORKDAY.INTL(AR242,AU242,1,Holidays[Date]),AX242),"")</f>
        <v/>
      </c>
      <c r="AX242" s="78"/>
      <c r="AY242" s="80"/>
      <c r="AZ242" s="68"/>
      <c r="BA242" s="77" t="str">
        <f>IF(BF242="","",WORKDAY.INTL(BF242,BD242*-1,1,Holidays[Date]))</f>
        <v/>
      </c>
      <c r="BB242" s="77" t="str">
        <f ca="1">IFERROR(IF(BC242="",WORKDAY.INTL(AW242,AZ242,1,Holidays[Date]),BC242),"")</f>
        <v/>
      </c>
      <c r="BC242" s="78"/>
      <c r="BD242" s="80"/>
      <c r="BE242" s="68"/>
      <c r="BF242" s="77" t="str">
        <f>IF(BK242="","",WORKDAY.INTL(BK242,BI242*-1,1,Holidays[Date]))</f>
        <v/>
      </c>
      <c r="BG242" s="77" t="str">
        <f ca="1">IFERROR(IF(BH242="",WORKDAY.INTL(BB242,BE242,1,Holidays[Date]),BH242),"")</f>
        <v/>
      </c>
      <c r="BH242" s="78"/>
      <c r="BI242" s="80"/>
      <c r="BJ242" s="68"/>
      <c r="BK242" s="77" t="str">
        <f>IF(BP242="","",WORKDAY.INTL(BP242,BN242*-1,1,Holidays[Date]))</f>
        <v/>
      </c>
      <c r="BL242" s="77" t="str">
        <f ca="1">IFERROR(IF(BM242="",WORKDAY.INTL(BG242,BJ242,1,Holidays[Date]),BM242),"")</f>
        <v/>
      </c>
      <c r="BM242" s="78"/>
      <c r="BN242" s="80"/>
      <c r="BO242" s="68"/>
      <c r="BP242" s="77" t="str">
        <f>IF(BU242="","",WORKDAY.INTL(BU242,BS242*-1,1,Holidays[Date]))</f>
        <v/>
      </c>
      <c r="BQ242" s="77" t="str">
        <f ca="1">IFERROR(IF(BR242="",WORKDAY.INTL(BL242,BO242,1,Holidays[Date]),BR242),"")</f>
        <v/>
      </c>
      <c r="BR242" s="78"/>
      <c r="BS242" s="80"/>
      <c r="BT242" s="68"/>
      <c r="BU242" s="77" t="str">
        <f>IF(BZ242="","",WORKDAY.INTL(BZ242,BX242*-1,1,Holidays[Date]))</f>
        <v/>
      </c>
      <c r="BV242" s="77" t="str">
        <f ca="1">IFERROR(IF(BW242="",WORKDAY.INTL(BQ242,BT242,1,Holidays[Date]),BW242),"")</f>
        <v/>
      </c>
      <c r="BW242" s="78"/>
      <c r="BX242" s="80"/>
      <c r="BY242" s="68"/>
      <c r="BZ242" s="81"/>
      <c r="CA242" s="77" t="str">
        <f ca="1">IFERROR(IF(CB242="",WORKDAY.INTL(BV242,BY242,1,Holidays[Date]),CB242),"")</f>
        <v/>
      </c>
      <c r="CB242" s="78"/>
    </row>
    <row r="243" spans="1:80" ht="19" customHeight="1" x14ac:dyDescent="0.35">
      <c r="A243" s="31"/>
      <c r="B243" s="82"/>
      <c r="C243" s="1"/>
      <c r="D243" s="8"/>
      <c r="E243" s="8"/>
      <c r="F243" s="8"/>
      <c r="G243" s="8"/>
      <c r="H243" s="8"/>
      <c r="I243" s="9"/>
      <c r="J243" s="8"/>
      <c r="K243" s="8"/>
      <c r="L243" s="8"/>
      <c r="M243" s="8"/>
      <c r="N243" s="8"/>
      <c r="O243" s="8"/>
      <c r="P243" s="8"/>
      <c r="Q243" s="2"/>
      <c r="R243" s="2"/>
      <c r="S243" s="88" t="str">
        <f>IF(tblProcRegister[[#This Row],[Award]]&lt;&gt;"",tblProcRegister[[#This Row],[Budget]]-tblProcRegister[[#This Row],[Award]],"")</f>
        <v/>
      </c>
      <c r="T243" s="68"/>
      <c r="U243" s="68"/>
      <c r="V243" s="68"/>
      <c r="W243" s="77" t="str">
        <f>IF(AB243="","",WORKDAY.INTL(AB243,Z243*-1,1,Holidays[Date]))</f>
        <v/>
      </c>
      <c r="X243" s="77" t="str">
        <f t="shared" ca="1" si="3"/>
        <v/>
      </c>
      <c r="Y243" s="78"/>
      <c r="Z243" s="79"/>
      <c r="AA243" s="68"/>
      <c r="AB243" s="77" t="str">
        <f>IF(AG243="","",WORKDAY.INTL(AG243,AE243*-1,1,Holidays[Date]))</f>
        <v/>
      </c>
      <c r="AC243" s="77" t="str">
        <f ca="1">IFERROR(IF(AD243="",WORKDAY.INTL(X243,AA243,1,Holidays[Date]),AD243),"")</f>
        <v/>
      </c>
      <c r="AD243" s="78"/>
      <c r="AE243" s="80"/>
      <c r="AF243" s="68"/>
      <c r="AG243" s="77" t="str">
        <f>IF(AL243="","",WORKDAY.INTL(AL243,AJ243*-1,1,Holidays[Date]))</f>
        <v/>
      </c>
      <c r="AH243" s="77" t="str">
        <f ca="1">IFERROR(IF(AI243="",WORKDAY.INTL(AC243,AF243,1,Holidays[Date]),AI243),"")</f>
        <v/>
      </c>
      <c r="AI243" s="78"/>
      <c r="AJ243" s="80"/>
      <c r="AK243" s="68"/>
      <c r="AL243" s="77" t="str">
        <f>IF(AQ243="","",WORKDAY.INTL(AQ243,AO243*-1,1,Holidays[Date]))</f>
        <v/>
      </c>
      <c r="AM243" s="77" t="str">
        <f ca="1">IFERROR(IF(AN243="",WORKDAY.INTL(AH243,AK243,1,Holidays[Date]),AN243),"")</f>
        <v/>
      </c>
      <c r="AN243" s="78"/>
      <c r="AO243" s="80"/>
      <c r="AP243" s="68"/>
      <c r="AQ243" s="77" t="str">
        <f>IF(AV243="","",WORKDAY.INTL(AV243,AT243*-1,1,Holidays[Date]))</f>
        <v/>
      </c>
      <c r="AR243" s="77" t="str">
        <f ca="1">IFERROR(IF(AS243="",WORKDAY.INTL(AM243,AP243,1,Holidays[Date]),AS243),"")</f>
        <v/>
      </c>
      <c r="AS243" s="78"/>
      <c r="AT243" s="80"/>
      <c r="AU243" s="68"/>
      <c r="AV243" s="77" t="str">
        <f>IF(BA243="","",WORKDAY.INTL(BA243,AY243*-1,1,Holidays[Date]))</f>
        <v/>
      </c>
      <c r="AW243" s="77" t="str">
        <f ca="1">IFERROR(IF(AX243="",WORKDAY.INTL(AR243,AU243,1,Holidays[Date]),AX243),"")</f>
        <v/>
      </c>
      <c r="AX243" s="78"/>
      <c r="AY243" s="80"/>
      <c r="AZ243" s="68"/>
      <c r="BA243" s="77" t="str">
        <f>IF(BF243="","",WORKDAY.INTL(BF243,BD243*-1,1,Holidays[Date]))</f>
        <v/>
      </c>
      <c r="BB243" s="77" t="str">
        <f ca="1">IFERROR(IF(BC243="",WORKDAY.INTL(AW243,AZ243,1,Holidays[Date]),BC243),"")</f>
        <v/>
      </c>
      <c r="BC243" s="78"/>
      <c r="BD243" s="80"/>
      <c r="BE243" s="68"/>
      <c r="BF243" s="77" t="str">
        <f>IF(BK243="","",WORKDAY.INTL(BK243,BI243*-1,1,Holidays[Date]))</f>
        <v/>
      </c>
      <c r="BG243" s="77" t="str">
        <f ca="1">IFERROR(IF(BH243="",WORKDAY.INTL(BB243,BE243,1,Holidays[Date]),BH243),"")</f>
        <v/>
      </c>
      <c r="BH243" s="78"/>
      <c r="BI243" s="80"/>
      <c r="BJ243" s="68"/>
      <c r="BK243" s="77" t="str">
        <f>IF(BP243="","",WORKDAY.INTL(BP243,BN243*-1,1,Holidays[Date]))</f>
        <v/>
      </c>
      <c r="BL243" s="77" t="str">
        <f ca="1">IFERROR(IF(BM243="",WORKDAY.INTL(BG243,BJ243,1,Holidays[Date]),BM243),"")</f>
        <v/>
      </c>
      <c r="BM243" s="78"/>
      <c r="BN243" s="80"/>
      <c r="BO243" s="68"/>
      <c r="BP243" s="77" t="str">
        <f>IF(BU243="","",WORKDAY.INTL(BU243,BS243*-1,1,Holidays[Date]))</f>
        <v/>
      </c>
      <c r="BQ243" s="77" t="str">
        <f ca="1">IFERROR(IF(BR243="",WORKDAY.INTL(BL243,BO243,1,Holidays[Date]),BR243),"")</f>
        <v/>
      </c>
      <c r="BR243" s="78"/>
      <c r="BS243" s="80"/>
      <c r="BT243" s="68"/>
      <c r="BU243" s="77" t="str">
        <f>IF(BZ243="","",WORKDAY.INTL(BZ243,BX243*-1,1,Holidays[Date]))</f>
        <v/>
      </c>
      <c r="BV243" s="77" t="str">
        <f ca="1">IFERROR(IF(BW243="",WORKDAY.INTL(BQ243,BT243,1,Holidays[Date]),BW243),"")</f>
        <v/>
      </c>
      <c r="BW243" s="78"/>
      <c r="BX243" s="80"/>
      <c r="BY243" s="68"/>
      <c r="BZ243" s="81"/>
      <c r="CA243" s="77" t="str">
        <f ca="1">IFERROR(IF(CB243="",WORKDAY.INTL(BV243,BY243,1,Holidays[Date]),CB243),"")</f>
        <v/>
      </c>
      <c r="CB243" s="78"/>
    </row>
    <row r="244" spans="1:80" ht="19" customHeight="1" x14ac:dyDescent="0.35">
      <c r="A244" s="31"/>
      <c r="B244" s="82"/>
      <c r="C244" s="1"/>
      <c r="D244" s="8"/>
      <c r="E244" s="8"/>
      <c r="F244" s="8"/>
      <c r="G244" s="8"/>
      <c r="H244" s="8"/>
      <c r="I244" s="9"/>
      <c r="J244" s="8"/>
      <c r="K244" s="8"/>
      <c r="L244" s="8"/>
      <c r="M244" s="8"/>
      <c r="N244" s="8"/>
      <c r="O244" s="8"/>
      <c r="P244" s="8"/>
      <c r="Q244" s="2"/>
      <c r="R244" s="2"/>
      <c r="S244" s="88" t="str">
        <f>IF(tblProcRegister[[#This Row],[Award]]&lt;&gt;"",tblProcRegister[[#This Row],[Budget]]-tblProcRegister[[#This Row],[Award]],"")</f>
        <v/>
      </c>
      <c r="T244" s="68"/>
      <c r="U244" s="68"/>
      <c r="V244" s="68"/>
      <c r="W244" s="77" t="str">
        <f>IF(AB244="","",WORKDAY.INTL(AB244,Z244*-1,1,Holidays[Date]))</f>
        <v/>
      </c>
      <c r="X244" s="77" t="str">
        <f t="shared" ca="1" si="3"/>
        <v/>
      </c>
      <c r="Y244" s="78"/>
      <c r="Z244" s="79"/>
      <c r="AA244" s="68"/>
      <c r="AB244" s="77" t="str">
        <f>IF(AG244="","",WORKDAY.INTL(AG244,AE244*-1,1,Holidays[Date]))</f>
        <v/>
      </c>
      <c r="AC244" s="77" t="str">
        <f ca="1">IFERROR(IF(AD244="",WORKDAY.INTL(X244,AA244,1,Holidays[Date]),AD244),"")</f>
        <v/>
      </c>
      <c r="AD244" s="78"/>
      <c r="AE244" s="80"/>
      <c r="AF244" s="68"/>
      <c r="AG244" s="77" t="str">
        <f>IF(AL244="","",WORKDAY.INTL(AL244,AJ244*-1,1,Holidays[Date]))</f>
        <v/>
      </c>
      <c r="AH244" s="77" t="str">
        <f ca="1">IFERROR(IF(AI244="",WORKDAY.INTL(AC244,AF244,1,Holidays[Date]),AI244),"")</f>
        <v/>
      </c>
      <c r="AI244" s="78"/>
      <c r="AJ244" s="80"/>
      <c r="AK244" s="68"/>
      <c r="AL244" s="77" t="str">
        <f>IF(AQ244="","",WORKDAY.INTL(AQ244,AO244*-1,1,Holidays[Date]))</f>
        <v/>
      </c>
      <c r="AM244" s="77" t="str">
        <f ca="1">IFERROR(IF(AN244="",WORKDAY.INTL(AH244,AK244,1,Holidays[Date]),AN244),"")</f>
        <v/>
      </c>
      <c r="AN244" s="78"/>
      <c r="AO244" s="80"/>
      <c r="AP244" s="68"/>
      <c r="AQ244" s="77" t="str">
        <f>IF(AV244="","",WORKDAY.INTL(AV244,AT244*-1,1,Holidays[Date]))</f>
        <v/>
      </c>
      <c r="AR244" s="77" t="str">
        <f ca="1">IFERROR(IF(AS244="",WORKDAY.INTL(AM244,AP244,1,Holidays[Date]),AS244),"")</f>
        <v/>
      </c>
      <c r="AS244" s="78"/>
      <c r="AT244" s="80"/>
      <c r="AU244" s="68"/>
      <c r="AV244" s="77" t="str">
        <f>IF(BA244="","",WORKDAY.INTL(BA244,AY244*-1,1,Holidays[Date]))</f>
        <v/>
      </c>
      <c r="AW244" s="77" t="str">
        <f ca="1">IFERROR(IF(AX244="",WORKDAY.INTL(AR244,AU244,1,Holidays[Date]),AX244),"")</f>
        <v/>
      </c>
      <c r="AX244" s="78"/>
      <c r="AY244" s="80"/>
      <c r="AZ244" s="68"/>
      <c r="BA244" s="77" t="str">
        <f>IF(BF244="","",WORKDAY.INTL(BF244,BD244*-1,1,Holidays[Date]))</f>
        <v/>
      </c>
      <c r="BB244" s="77" t="str">
        <f ca="1">IFERROR(IF(BC244="",WORKDAY.INTL(AW244,AZ244,1,Holidays[Date]),BC244),"")</f>
        <v/>
      </c>
      <c r="BC244" s="78"/>
      <c r="BD244" s="80"/>
      <c r="BE244" s="68"/>
      <c r="BF244" s="77" t="str">
        <f>IF(BK244="","",WORKDAY.INTL(BK244,BI244*-1,1,Holidays[Date]))</f>
        <v/>
      </c>
      <c r="BG244" s="77" t="str">
        <f ca="1">IFERROR(IF(BH244="",WORKDAY.INTL(BB244,BE244,1,Holidays[Date]),BH244),"")</f>
        <v/>
      </c>
      <c r="BH244" s="78"/>
      <c r="BI244" s="80"/>
      <c r="BJ244" s="68"/>
      <c r="BK244" s="77" t="str">
        <f>IF(BP244="","",WORKDAY.INTL(BP244,BN244*-1,1,Holidays[Date]))</f>
        <v/>
      </c>
      <c r="BL244" s="77" t="str">
        <f ca="1">IFERROR(IF(BM244="",WORKDAY.INTL(BG244,BJ244,1,Holidays[Date]),BM244),"")</f>
        <v/>
      </c>
      <c r="BM244" s="78"/>
      <c r="BN244" s="80"/>
      <c r="BO244" s="68"/>
      <c r="BP244" s="77" t="str">
        <f>IF(BU244="","",WORKDAY.INTL(BU244,BS244*-1,1,Holidays[Date]))</f>
        <v/>
      </c>
      <c r="BQ244" s="77" t="str">
        <f ca="1">IFERROR(IF(BR244="",WORKDAY.INTL(BL244,BO244,1,Holidays[Date]),BR244),"")</f>
        <v/>
      </c>
      <c r="BR244" s="78"/>
      <c r="BS244" s="80"/>
      <c r="BT244" s="68"/>
      <c r="BU244" s="77" t="str">
        <f>IF(BZ244="","",WORKDAY.INTL(BZ244,BX244*-1,1,Holidays[Date]))</f>
        <v/>
      </c>
      <c r="BV244" s="77" t="str">
        <f ca="1">IFERROR(IF(BW244="",WORKDAY.INTL(BQ244,BT244,1,Holidays[Date]),BW244),"")</f>
        <v/>
      </c>
      <c r="BW244" s="78"/>
      <c r="BX244" s="80"/>
      <c r="BY244" s="68"/>
      <c r="BZ244" s="81"/>
      <c r="CA244" s="77" t="str">
        <f ca="1">IFERROR(IF(CB244="",WORKDAY.INTL(BV244,BY244,1,Holidays[Date]),CB244),"")</f>
        <v/>
      </c>
      <c r="CB244" s="78"/>
    </row>
    <row r="245" spans="1:80" ht="19" customHeight="1" x14ac:dyDescent="0.35">
      <c r="A245" s="31"/>
      <c r="B245" s="82"/>
      <c r="C245" s="1"/>
      <c r="D245" s="8"/>
      <c r="E245" s="8"/>
      <c r="F245" s="8"/>
      <c r="G245" s="8"/>
      <c r="H245" s="8"/>
      <c r="I245" s="9"/>
      <c r="J245" s="8"/>
      <c r="K245" s="8"/>
      <c r="L245" s="8"/>
      <c r="M245" s="8"/>
      <c r="N245" s="8"/>
      <c r="O245" s="8"/>
      <c r="P245" s="8"/>
      <c r="Q245" s="2"/>
      <c r="R245" s="2"/>
      <c r="S245" s="88" t="str">
        <f>IF(tblProcRegister[[#This Row],[Award]]&lt;&gt;"",tblProcRegister[[#This Row],[Budget]]-tblProcRegister[[#This Row],[Award]],"")</f>
        <v/>
      </c>
      <c r="T245" s="68"/>
      <c r="U245" s="68"/>
      <c r="V245" s="68"/>
      <c r="W245" s="77" t="str">
        <f>IF(AB245="","",WORKDAY.INTL(AB245,Z245*-1,1,Holidays[Date]))</f>
        <v/>
      </c>
      <c r="X245" s="77" t="str">
        <f t="shared" ca="1" si="3"/>
        <v/>
      </c>
      <c r="Y245" s="78"/>
      <c r="Z245" s="79"/>
      <c r="AA245" s="68"/>
      <c r="AB245" s="77" t="str">
        <f>IF(AG245="","",WORKDAY.INTL(AG245,AE245*-1,1,Holidays[Date]))</f>
        <v/>
      </c>
      <c r="AC245" s="77" t="str">
        <f ca="1">IFERROR(IF(AD245="",WORKDAY.INTL(X245,AA245,1,Holidays[Date]),AD245),"")</f>
        <v/>
      </c>
      <c r="AD245" s="78"/>
      <c r="AE245" s="80"/>
      <c r="AF245" s="68"/>
      <c r="AG245" s="77" t="str">
        <f>IF(AL245="","",WORKDAY.INTL(AL245,AJ245*-1,1,Holidays[Date]))</f>
        <v/>
      </c>
      <c r="AH245" s="77" t="str">
        <f ca="1">IFERROR(IF(AI245="",WORKDAY.INTL(AC245,AF245,1,Holidays[Date]),AI245),"")</f>
        <v/>
      </c>
      <c r="AI245" s="78"/>
      <c r="AJ245" s="80"/>
      <c r="AK245" s="68"/>
      <c r="AL245" s="77" t="str">
        <f>IF(AQ245="","",WORKDAY.INTL(AQ245,AO245*-1,1,Holidays[Date]))</f>
        <v/>
      </c>
      <c r="AM245" s="77" t="str">
        <f ca="1">IFERROR(IF(AN245="",WORKDAY.INTL(AH245,AK245,1,Holidays[Date]),AN245),"")</f>
        <v/>
      </c>
      <c r="AN245" s="78"/>
      <c r="AO245" s="80"/>
      <c r="AP245" s="68"/>
      <c r="AQ245" s="77" t="str">
        <f>IF(AV245="","",WORKDAY.INTL(AV245,AT245*-1,1,Holidays[Date]))</f>
        <v/>
      </c>
      <c r="AR245" s="77" t="str">
        <f ca="1">IFERROR(IF(AS245="",WORKDAY.INTL(AM245,AP245,1,Holidays[Date]),AS245),"")</f>
        <v/>
      </c>
      <c r="AS245" s="78"/>
      <c r="AT245" s="80"/>
      <c r="AU245" s="68"/>
      <c r="AV245" s="77" t="str">
        <f>IF(BA245="","",WORKDAY.INTL(BA245,AY245*-1,1,Holidays[Date]))</f>
        <v/>
      </c>
      <c r="AW245" s="77" t="str">
        <f ca="1">IFERROR(IF(AX245="",WORKDAY.INTL(AR245,AU245,1,Holidays[Date]),AX245),"")</f>
        <v/>
      </c>
      <c r="AX245" s="78"/>
      <c r="AY245" s="80"/>
      <c r="AZ245" s="68"/>
      <c r="BA245" s="77" t="str">
        <f>IF(BF245="","",WORKDAY.INTL(BF245,BD245*-1,1,Holidays[Date]))</f>
        <v/>
      </c>
      <c r="BB245" s="77" t="str">
        <f ca="1">IFERROR(IF(BC245="",WORKDAY.INTL(AW245,AZ245,1,Holidays[Date]),BC245),"")</f>
        <v/>
      </c>
      <c r="BC245" s="78"/>
      <c r="BD245" s="80"/>
      <c r="BE245" s="68"/>
      <c r="BF245" s="77" t="str">
        <f>IF(BK245="","",WORKDAY.INTL(BK245,BI245*-1,1,Holidays[Date]))</f>
        <v/>
      </c>
      <c r="BG245" s="77" t="str">
        <f ca="1">IFERROR(IF(BH245="",WORKDAY.INTL(BB245,BE245,1,Holidays[Date]),BH245),"")</f>
        <v/>
      </c>
      <c r="BH245" s="78"/>
      <c r="BI245" s="80"/>
      <c r="BJ245" s="68"/>
      <c r="BK245" s="77" t="str">
        <f>IF(BP245="","",WORKDAY.INTL(BP245,BN245*-1,1,Holidays[Date]))</f>
        <v/>
      </c>
      <c r="BL245" s="77" t="str">
        <f ca="1">IFERROR(IF(BM245="",WORKDAY.INTL(BG245,BJ245,1,Holidays[Date]),BM245),"")</f>
        <v/>
      </c>
      <c r="BM245" s="78"/>
      <c r="BN245" s="80"/>
      <c r="BO245" s="68"/>
      <c r="BP245" s="77" t="str">
        <f>IF(BU245="","",WORKDAY.INTL(BU245,BS245*-1,1,Holidays[Date]))</f>
        <v/>
      </c>
      <c r="BQ245" s="77" t="str">
        <f ca="1">IFERROR(IF(BR245="",WORKDAY.INTL(BL245,BO245,1,Holidays[Date]),BR245),"")</f>
        <v/>
      </c>
      <c r="BR245" s="78"/>
      <c r="BS245" s="80"/>
      <c r="BT245" s="68"/>
      <c r="BU245" s="77" t="str">
        <f>IF(BZ245="","",WORKDAY.INTL(BZ245,BX245*-1,1,Holidays[Date]))</f>
        <v/>
      </c>
      <c r="BV245" s="77" t="str">
        <f ca="1">IFERROR(IF(BW245="",WORKDAY.INTL(BQ245,BT245,1,Holidays[Date]),BW245),"")</f>
        <v/>
      </c>
      <c r="BW245" s="78"/>
      <c r="BX245" s="80"/>
      <c r="BY245" s="68"/>
      <c r="BZ245" s="81"/>
      <c r="CA245" s="77" t="str">
        <f ca="1">IFERROR(IF(CB245="",WORKDAY.INTL(BV245,BY245,1,Holidays[Date]),CB245),"")</f>
        <v/>
      </c>
      <c r="CB245" s="78"/>
    </row>
    <row r="246" spans="1:80" ht="19" customHeight="1" x14ac:dyDescent="0.35">
      <c r="A246" s="31"/>
      <c r="B246" s="82"/>
      <c r="C246" s="1"/>
      <c r="D246" s="8"/>
      <c r="E246" s="8"/>
      <c r="F246" s="8"/>
      <c r="G246" s="8"/>
      <c r="H246" s="8"/>
      <c r="I246" s="9"/>
      <c r="J246" s="8"/>
      <c r="K246" s="8"/>
      <c r="L246" s="8"/>
      <c r="M246" s="8"/>
      <c r="N246" s="8"/>
      <c r="O246" s="8"/>
      <c r="P246" s="8"/>
      <c r="Q246" s="2"/>
      <c r="R246" s="2"/>
      <c r="S246" s="88" t="str">
        <f>IF(tblProcRegister[[#This Row],[Award]]&lt;&gt;"",tblProcRegister[[#This Row],[Budget]]-tblProcRegister[[#This Row],[Award]],"")</f>
        <v/>
      </c>
      <c r="T246" s="68"/>
      <c r="U246" s="68"/>
      <c r="V246" s="68"/>
      <c r="W246" s="77" t="str">
        <f>IF(AB246="","",WORKDAY.INTL(AB246,Z246*-1,1,Holidays[Date]))</f>
        <v/>
      </c>
      <c r="X246" s="77" t="str">
        <f t="shared" ca="1" si="3"/>
        <v/>
      </c>
      <c r="Y246" s="78"/>
      <c r="Z246" s="79"/>
      <c r="AA246" s="68"/>
      <c r="AB246" s="77" t="str">
        <f>IF(AG246="","",WORKDAY.INTL(AG246,AE246*-1,1,Holidays[Date]))</f>
        <v/>
      </c>
      <c r="AC246" s="77" t="str">
        <f ca="1">IFERROR(IF(AD246="",WORKDAY.INTL(X246,AA246,1,Holidays[Date]),AD246),"")</f>
        <v/>
      </c>
      <c r="AD246" s="78"/>
      <c r="AE246" s="80"/>
      <c r="AF246" s="68"/>
      <c r="AG246" s="77" t="str">
        <f>IF(AL246="","",WORKDAY.INTL(AL246,AJ246*-1,1,Holidays[Date]))</f>
        <v/>
      </c>
      <c r="AH246" s="77" t="str">
        <f ca="1">IFERROR(IF(AI246="",WORKDAY.INTL(AC246,AF246,1,Holidays[Date]),AI246),"")</f>
        <v/>
      </c>
      <c r="AI246" s="78"/>
      <c r="AJ246" s="80"/>
      <c r="AK246" s="68"/>
      <c r="AL246" s="77" t="str">
        <f>IF(AQ246="","",WORKDAY.INTL(AQ246,AO246*-1,1,Holidays[Date]))</f>
        <v/>
      </c>
      <c r="AM246" s="77" t="str">
        <f ca="1">IFERROR(IF(AN246="",WORKDAY.INTL(AH246,AK246,1,Holidays[Date]),AN246),"")</f>
        <v/>
      </c>
      <c r="AN246" s="78"/>
      <c r="AO246" s="80"/>
      <c r="AP246" s="68"/>
      <c r="AQ246" s="77" t="str">
        <f>IF(AV246="","",WORKDAY.INTL(AV246,AT246*-1,1,Holidays[Date]))</f>
        <v/>
      </c>
      <c r="AR246" s="77" t="str">
        <f ca="1">IFERROR(IF(AS246="",WORKDAY.INTL(AM246,AP246,1,Holidays[Date]),AS246),"")</f>
        <v/>
      </c>
      <c r="AS246" s="78"/>
      <c r="AT246" s="80"/>
      <c r="AU246" s="68"/>
      <c r="AV246" s="77" t="str">
        <f>IF(BA246="","",WORKDAY.INTL(BA246,AY246*-1,1,Holidays[Date]))</f>
        <v/>
      </c>
      <c r="AW246" s="77" t="str">
        <f ca="1">IFERROR(IF(AX246="",WORKDAY.INTL(AR246,AU246,1,Holidays[Date]),AX246),"")</f>
        <v/>
      </c>
      <c r="AX246" s="78"/>
      <c r="AY246" s="80"/>
      <c r="AZ246" s="68"/>
      <c r="BA246" s="77" t="str">
        <f>IF(BF246="","",WORKDAY.INTL(BF246,BD246*-1,1,Holidays[Date]))</f>
        <v/>
      </c>
      <c r="BB246" s="77" t="str">
        <f ca="1">IFERROR(IF(BC246="",WORKDAY.INTL(AW246,AZ246,1,Holidays[Date]),BC246),"")</f>
        <v/>
      </c>
      <c r="BC246" s="78"/>
      <c r="BD246" s="80"/>
      <c r="BE246" s="68"/>
      <c r="BF246" s="77" t="str">
        <f>IF(BK246="","",WORKDAY.INTL(BK246,BI246*-1,1,Holidays[Date]))</f>
        <v/>
      </c>
      <c r="BG246" s="77" t="str">
        <f ca="1">IFERROR(IF(BH246="",WORKDAY.INTL(BB246,BE246,1,Holidays[Date]),BH246),"")</f>
        <v/>
      </c>
      <c r="BH246" s="78"/>
      <c r="BI246" s="80"/>
      <c r="BJ246" s="68"/>
      <c r="BK246" s="77" t="str">
        <f>IF(BP246="","",WORKDAY.INTL(BP246,BN246*-1,1,Holidays[Date]))</f>
        <v/>
      </c>
      <c r="BL246" s="77" t="str">
        <f ca="1">IFERROR(IF(BM246="",WORKDAY.INTL(BG246,BJ246,1,Holidays[Date]),BM246),"")</f>
        <v/>
      </c>
      <c r="BM246" s="78"/>
      <c r="BN246" s="80"/>
      <c r="BO246" s="68"/>
      <c r="BP246" s="77" t="str">
        <f>IF(BU246="","",WORKDAY.INTL(BU246,BS246*-1,1,Holidays[Date]))</f>
        <v/>
      </c>
      <c r="BQ246" s="77" t="str">
        <f ca="1">IFERROR(IF(BR246="",WORKDAY.INTL(BL246,BO246,1,Holidays[Date]),BR246),"")</f>
        <v/>
      </c>
      <c r="BR246" s="78"/>
      <c r="BS246" s="80"/>
      <c r="BT246" s="68"/>
      <c r="BU246" s="77" t="str">
        <f>IF(BZ246="","",WORKDAY.INTL(BZ246,BX246*-1,1,Holidays[Date]))</f>
        <v/>
      </c>
      <c r="BV246" s="77" t="str">
        <f ca="1">IFERROR(IF(BW246="",WORKDAY.INTL(BQ246,BT246,1,Holidays[Date]),BW246),"")</f>
        <v/>
      </c>
      <c r="BW246" s="78"/>
      <c r="BX246" s="80"/>
      <c r="BY246" s="68"/>
      <c r="BZ246" s="81"/>
      <c r="CA246" s="77" t="str">
        <f ca="1">IFERROR(IF(CB246="",WORKDAY.INTL(BV246,BY246,1,Holidays[Date]),CB246),"")</f>
        <v/>
      </c>
      <c r="CB246" s="78"/>
    </row>
    <row r="247" spans="1:80" ht="19" customHeight="1" x14ac:dyDescent="0.35">
      <c r="A247" s="31"/>
      <c r="B247" s="82"/>
      <c r="C247" s="1"/>
      <c r="D247" s="8"/>
      <c r="E247" s="8"/>
      <c r="F247" s="8"/>
      <c r="G247" s="8"/>
      <c r="H247" s="8"/>
      <c r="I247" s="9"/>
      <c r="J247" s="8"/>
      <c r="K247" s="8"/>
      <c r="L247" s="8"/>
      <c r="M247" s="8"/>
      <c r="N247" s="8"/>
      <c r="O247" s="8"/>
      <c r="P247" s="8"/>
      <c r="Q247" s="2"/>
      <c r="R247" s="2"/>
      <c r="S247" s="88" t="str">
        <f>IF(tblProcRegister[[#This Row],[Award]]&lt;&gt;"",tblProcRegister[[#This Row],[Budget]]-tblProcRegister[[#This Row],[Award]],"")</f>
        <v/>
      </c>
      <c r="T247" s="68"/>
      <c r="U247" s="68"/>
      <c r="V247" s="68"/>
      <c r="W247" s="77" t="str">
        <f>IF(AB247="","",WORKDAY.INTL(AB247,Z247*-1,1,Holidays[Date]))</f>
        <v/>
      </c>
      <c r="X247" s="77" t="str">
        <f t="shared" ca="1" si="3"/>
        <v/>
      </c>
      <c r="Y247" s="78"/>
      <c r="Z247" s="79"/>
      <c r="AA247" s="68"/>
      <c r="AB247" s="77" t="str">
        <f>IF(AG247="","",WORKDAY.INTL(AG247,AE247*-1,1,Holidays[Date]))</f>
        <v/>
      </c>
      <c r="AC247" s="77" t="str">
        <f ca="1">IFERROR(IF(AD247="",WORKDAY.INTL(X247,AA247,1,Holidays[Date]),AD247),"")</f>
        <v/>
      </c>
      <c r="AD247" s="78"/>
      <c r="AE247" s="80"/>
      <c r="AF247" s="68"/>
      <c r="AG247" s="77" t="str">
        <f>IF(AL247="","",WORKDAY.INTL(AL247,AJ247*-1,1,Holidays[Date]))</f>
        <v/>
      </c>
      <c r="AH247" s="77" t="str">
        <f ca="1">IFERROR(IF(AI247="",WORKDAY.INTL(AC247,AF247,1,Holidays[Date]),AI247),"")</f>
        <v/>
      </c>
      <c r="AI247" s="78"/>
      <c r="AJ247" s="80"/>
      <c r="AK247" s="68"/>
      <c r="AL247" s="77" t="str">
        <f>IF(AQ247="","",WORKDAY.INTL(AQ247,AO247*-1,1,Holidays[Date]))</f>
        <v/>
      </c>
      <c r="AM247" s="77" t="str">
        <f ca="1">IFERROR(IF(AN247="",WORKDAY.INTL(AH247,AK247,1,Holidays[Date]),AN247),"")</f>
        <v/>
      </c>
      <c r="AN247" s="78"/>
      <c r="AO247" s="80"/>
      <c r="AP247" s="68"/>
      <c r="AQ247" s="77" t="str">
        <f>IF(AV247="","",WORKDAY.INTL(AV247,AT247*-1,1,Holidays[Date]))</f>
        <v/>
      </c>
      <c r="AR247" s="77" t="str">
        <f ca="1">IFERROR(IF(AS247="",WORKDAY.INTL(AM247,AP247,1,Holidays[Date]),AS247),"")</f>
        <v/>
      </c>
      <c r="AS247" s="78"/>
      <c r="AT247" s="80"/>
      <c r="AU247" s="68"/>
      <c r="AV247" s="77" t="str">
        <f>IF(BA247="","",WORKDAY.INTL(BA247,AY247*-1,1,Holidays[Date]))</f>
        <v/>
      </c>
      <c r="AW247" s="77" t="str">
        <f ca="1">IFERROR(IF(AX247="",WORKDAY.INTL(AR247,AU247,1,Holidays[Date]),AX247),"")</f>
        <v/>
      </c>
      <c r="AX247" s="78"/>
      <c r="AY247" s="80"/>
      <c r="AZ247" s="68"/>
      <c r="BA247" s="77" t="str">
        <f>IF(BF247="","",WORKDAY.INTL(BF247,BD247*-1,1,Holidays[Date]))</f>
        <v/>
      </c>
      <c r="BB247" s="77" t="str">
        <f ca="1">IFERROR(IF(BC247="",WORKDAY.INTL(AW247,AZ247,1,Holidays[Date]),BC247),"")</f>
        <v/>
      </c>
      <c r="BC247" s="78"/>
      <c r="BD247" s="80"/>
      <c r="BE247" s="68"/>
      <c r="BF247" s="77" t="str">
        <f>IF(BK247="","",WORKDAY.INTL(BK247,BI247*-1,1,Holidays[Date]))</f>
        <v/>
      </c>
      <c r="BG247" s="77" t="str">
        <f ca="1">IFERROR(IF(BH247="",WORKDAY.INTL(BB247,BE247,1,Holidays[Date]),BH247),"")</f>
        <v/>
      </c>
      <c r="BH247" s="78"/>
      <c r="BI247" s="80"/>
      <c r="BJ247" s="68"/>
      <c r="BK247" s="77" t="str">
        <f>IF(BP247="","",WORKDAY.INTL(BP247,BN247*-1,1,Holidays[Date]))</f>
        <v/>
      </c>
      <c r="BL247" s="77" t="str">
        <f ca="1">IFERROR(IF(BM247="",WORKDAY.INTL(BG247,BJ247,1,Holidays[Date]),BM247),"")</f>
        <v/>
      </c>
      <c r="BM247" s="78"/>
      <c r="BN247" s="80"/>
      <c r="BO247" s="68"/>
      <c r="BP247" s="77" t="str">
        <f>IF(BU247="","",WORKDAY.INTL(BU247,BS247*-1,1,Holidays[Date]))</f>
        <v/>
      </c>
      <c r="BQ247" s="77" t="str">
        <f ca="1">IFERROR(IF(BR247="",WORKDAY.INTL(BL247,BO247,1,Holidays[Date]),BR247),"")</f>
        <v/>
      </c>
      <c r="BR247" s="78"/>
      <c r="BS247" s="80"/>
      <c r="BT247" s="68"/>
      <c r="BU247" s="77" t="str">
        <f>IF(BZ247="","",WORKDAY.INTL(BZ247,BX247*-1,1,Holidays[Date]))</f>
        <v/>
      </c>
      <c r="BV247" s="77" t="str">
        <f ca="1">IFERROR(IF(BW247="",WORKDAY.INTL(BQ247,BT247,1,Holidays[Date]),BW247),"")</f>
        <v/>
      </c>
      <c r="BW247" s="78"/>
      <c r="BX247" s="80"/>
      <c r="BY247" s="68"/>
      <c r="BZ247" s="81"/>
      <c r="CA247" s="77" t="str">
        <f ca="1">IFERROR(IF(CB247="",WORKDAY.INTL(BV247,BY247,1,Holidays[Date]),CB247),"")</f>
        <v/>
      </c>
      <c r="CB247" s="78"/>
    </row>
    <row r="248" spans="1:80" ht="19" customHeight="1" x14ac:dyDescent="0.35">
      <c r="A248" s="31"/>
      <c r="B248" s="82"/>
      <c r="C248" s="1"/>
      <c r="D248" s="8"/>
      <c r="E248" s="8"/>
      <c r="F248" s="8"/>
      <c r="G248" s="8"/>
      <c r="H248" s="8"/>
      <c r="I248" s="9"/>
      <c r="J248" s="8"/>
      <c r="K248" s="8"/>
      <c r="L248" s="8"/>
      <c r="M248" s="8"/>
      <c r="N248" s="8"/>
      <c r="O248" s="8"/>
      <c r="P248" s="8"/>
      <c r="Q248" s="2"/>
      <c r="R248" s="2"/>
      <c r="S248" s="88" t="str">
        <f>IF(tblProcRegister[[#This Row],[Award]]&lt;&gt;"",tblProcRegister[[#This Row],[Budget]]-tblProcRegister[[#This Row],[Award]],"")</f>
        <v/>
      </c>
      <c r="T248" s="68"/>
      <c r="U248" s="68"/>
      <c r="V248" s="68"/>
      <c r="W248" s="77" t="str">
        <f>IF(AB248="","",WORKDAY.INTL(AB248,Z248*-1,1,Holidays[Date]))</f>
        <v/>
      </c>
      <c r="X248" s="77" t="str">
        <f t="shared" ca="1" si="3"/>
        <v/>
      </c>
      <c r="Y248" s="78"/>
      <c r="Z248" s="79"/>
      <c r="AA248" s="68"/>
      <c r="AB248" s="77" t="str">
        <f>IF(AG248="","",WORKDAY.INTL(AG248,AE248*-1,1,Holidays[Date]))</f>
        <v/>
      </c>
      <c r="AC248" s="77" t="str">
        <f ca="1">IFERROR(IF(AD248="",WORKDAY.INTL(X248,AA248,1,Holidays[Date]),AD248),"")</f>
        <v/>
      </c>
      <c r="AD248" s="78"/>
      <c r="AE248" s="80"/>
      <c r="AF248" s="68"/>
      <c r="AG248" s="77" t="str">
        <f>IF(AL248="","",WORKDAY.INTL(AL248,AJ248*-1,1,Holidays[Date]))</f>
        <v/>
      </c>
      <c r="AH248" s="77" t="str">
        <f ca="1">IFERROR(IF(AI248="",WORKDAY.INTL(AC248,AF248,1,Holidays[Date]),AI248),"")</f>
        <v/>
      </c>
      <c r="AI248" s="78"/>
      <c r="AJ248" s="80"/>
      <c r="AK248" s="68"/>
      <c r="AL248" s="77" t="str">
        <f>IF(AQ248="","",WORKDAY.INTL(AQ248,AO248*-1,1,Holidays[Date]))</f>
        <v/>
      </c>
      <c r="AM248" s="77" t="str">
        <f ca="1">IFERROR(IF(AN248="",WORKDAY.INTL(AH248,AK248,1,Holidays[Date]),AN248),"")</f>
        <v/>
      </c>
      <c r="AN248" s="78"/>
      <c r="AO248" s="80"/>
      <c r="AP248" s="68"/>
      <c r="AQ248" s="77" t="str">
        <f>IF(AV248="","",WORKDAY.INTL(AV248,AT248*-1,1,Holidays[Date]))</f>
        <v/>
      </c>
      <c r="AR248" s="77" t="str">
        <f ca="1">IFERROR(IF(AS248="",WORKDAY.INTL(AM248,AP248,1,Holidays[Date]),AS248),"")</f>
        <v/>
      </c>
      <c r="AS248" s="78"/>
      <c r="AT248" s="80"/>
      <c r="AU248" s="68"/>
      <c r="AV248" s="77" t="str">
        <f>IF(BA248="","",WORKDAY.INTL(BA248,AY248*-1,1,Holidays[Date]))</f>
        <v/>
      </c>
      <c r="AW248" s="77" t="str">
        <f ca="1">IFERROR(IF(AX248="",WORKDAY.INTL(AR248,AU248,1,Holidays[Date]),AX248),"")</f>
        <v/>
      </c>
      <c r="AX248" s="78"/>
      <c r="AY248" s="80"/>
      <c r="AZ248" s="68"/>
      <c r="BA248" s="77" t="str">
        <f>IF(BF248="","",WORKDAY.INTL(BF248,BD248*-1,1,Holidays[Date]))</f>
        <v/>
      </c>
      <c r="BB248" s="77" t="str">
        <f ca="1">IFERROR(IF(BC248="",WORKDAY.INTL(AW248,AZ248,1,Holidays[Date]),BC248),"")</f>
        <v/>
      </c>
      <c r="BC248" s="78"/>
      <c r="BD248" s="80"/>
      <c r="BE248" s="68"/>
      <c r="BF248" s="77" t="str">
        <f>IF(BK248="","",WORKDAY.INTL(BK248,BI248*-1,1,Holidays[Date]))</f>
        <v/>
      </c>
      <c r="BG248" s="77" t="str">
        <f ca="1">IFERROR(IF(BH248="",WORKDAY.INTL(BB248,BE248,1,Holidays[Date]),BH248),"")</f>
        <v/>
      </c>
      <c r="BH248" s="78"/>
      <c r="BI248" s="80"/>
      <c r="BJ248" s="68"/>
      <c r="BK248" s="77" t="str">
        <f>IF(BP248="","",WORKDAY.INTL(BP248,BN248*-1,1,Holidays[Date]))</f>
        <v/>
      </c>
      <c r="BL248" s="77" t="str">
        <f ca="1">IFERROR(IF(BM248="",WORKDAY.INTL(BG248,BJ248,1,Holidays[Date]),BM248),"")</f>
        <v/>
      </c>
      <c r="BM248" s="78"/>
      <c r="BN248" s="80"/>
      <c r="BO248" s="68"/>
      <c r="BP248" s="77" t="str">
        <f>IF(BU248="","",WORKDAY.INTL(BU248,BS248*-1,1,Holidays[Date]))</f>
        <v/>
      </c>
      <c r="BQ248" s="77" t="str">
        <f ca="1">IFERROR(IF(BR248="",WORKDAY.INTL(BL248,BO248,1,Holidays[Date]),BR248),"")</f>
        <v/>
      </c>
      <c r="BR248" s="78"/>
      <c r="BS248" s="80"/>
      <c r="BT248" s="68"/>
      <c r="BU248" s="77" t="str">
        <f>IF(BZ248="","",WORKDAY.INTL(BZ248,BX248*-1,1,Holidays[Date]))</f>
        <v/>
      </c>
      <c r="BV248" s="77" t="str">
        <f ca="1">IFERROR(IF(BW248="",WORKDAY.INTL(BQ248,BT248,1,Holidays[Date]),BW248),"")</f>
        <v/>
      </c>
      <c r="BW248" s="78"/>
      <c r="BX248" s="80"/>
      <c r="BY248" s="68"/>
      <c r="BZ248" s="81"/>
      <c r="CA248" s="77" t="str">
        <f ca="1">IFERROR(IF(CB248="",WORKDAY.INTL(BV248,BY248,1,Holidays[Date]),CB248),"")</f>
        <v/>
      </c>
      <c r="CB248" s="78"/>
    </row>
    <row r="249" spans="1:80" ht="19" customHeight="1" x14ac:dyDescent="0.35">
      <c r="A249" s="31"/>
      <c r="B249" s="82"/>
      <c r="C249" s="1"/>
      <c r="D249" s="8"/>
      <c r="E249" s="8"/>
      <c r="F249" s="8"/>
      <c r="G249" s="8"/>
      <c r="H249" s="8"/>
      <c r="I249" s="9"/>
      <c r="J249" s="8"/>
      <c r="K249" s="8"/>
      <c r="L249" s="8"/>
      <c r="M249" s="8"/>
      <c r="N249" s="8"/>
      <c r="O249" s="8"/>
      <c r="P249" s="8"/>
      <c r="Q249" s="2"/>
      <c r="R249" s="2"/>
      <c r="S249" s="88" t="str">
        <f>IF(tblProcRegister[[#This Row],[Award]]&lt;&gt;"",tblProcRegister[[#This Row],[Budget]]-tblProcRegister[[#This Row],[Award]],"")</f>
        <v/>
      </c>
      <c r="T249" s="68"/>
      <c r="U249" s="68"/>
      <c r="V249" s="68"/>
      <c r="W249" s="77" t="str">
        <f>IF(AB249="","",WORKDAY.INTL(AB249,Z249*-1,1,Holidays[Date]))</f>
        <v/>
      </c>
      <c r="X249" s="77" t="str">
        <f t="shared" ca="1" si="3"/>
        <v/>
      </c>
      <c r="Y249" s="78"/>
      <c r="Z249" s="79"/>
      <c r="AA249" s="68"/>
      <c r="AB249" s="77" t="str">
        <f>IF(AG249="","",WORKDAY.INTL(AG249,AE249*-1,1,Holidays[Date]))</f>
        <v/>
      </c>
      <c r="AC249" s="77" t="str">
        <f ca="1">IFERROR(IF(AD249="",WORKDAY.INTL(X249,AA249,1,Holidays[Date]),AD249),"")</f>
        <v/>
      </c>
      <c r="AD249" s="78"/>
      <c r="AE249" s="80"/>
      <c r="AF249" s="68"/>
      <c r="AG249" s="77" t="str">
        <f>IF(AL249="","",WORKDAY.INTL(AL249,AJ249*-1,1,Holidays[Date]))</f>
        <v/>
      </c>
      <c r="AH249" s="77" t="str">
        <f ca="1">IFERROR(IF(AI249="",WORKDAY.INTL(AC249,AF249,1,Holidays[Date]),AI249),"")</f>
        <v/>
      </c>
      <c r="AI249" s="78"/>
      <c r="AJ249" s="80"/>
      <c r="AK249" s="68"/>
      <c r="AL249" s="77" t="str">
        <f>IF(AQ249="","",WORKDAY.INTL(AQ249,AO249*-1,1,Holidays[Date]))</f>
        <v/>
      </c>
      <c r="AM249" s="77" t="str">
        <f ca="1">IFERROR(IF(AN249="",WORKDAY.INTL(AH249,AK249,1,Holidays[Date]),AN249),"")</f>
        <v/>
      </c>
      <c r="AN249" s="78"/>
      <c r="AO249" s="80"/>
      <c r="AP249" s="68"/>
      <c r="AQ249" s="77" t="str">
        <f>IF(AV249="","",WORKDAY.INTL(AV249,AT249*-1,1,Holidays[Date]))</f>
        <v/>
      </c>
      <c r="AR249" s="77" t="str">
        <f ca="1">IFERROR(IF(AS249="",WORKDAY.INTL(AM249,AP249,1,Holidays[Date]),AS249),"")</f>
        <v/>
      </c>
      <c r="AS249" s="78"/>
      <c r="AT249" s="80"/>
      <c r="AU249" s="68"/>
      <c r="AV249" s="77" t="str">
        <f>IF(BA249="","",WORKDAY.INTL(BA249,AY249*-1,1,Holidays[Date]))</f>
        <v/>
      </c>
      <c r="AW249" s="77" t="str">
        <f ca="1">IFERROR(IF(AX249="",WORKDAY.INTL(AR249,AU249,1,Holidays[Date]),AX249),"")</f>
        <v/>
      </c>
      <c r="AX249" s="78"/>
      <c r="AY249" s="80"/>
      <c r="AZ249" s="68"/>
      <c r="BA249" s="77" t="str">
        <f>IF(BF249="","",WORKDAY.INTL(BF249,BD249*-1,1,Holidays[Date]))</f>
        <v/>
      </c>
      <c r="BB249" s="77" t="str">
        <f ca="1">IFERROR(IF(BC249="",WORKDAY.INTL(AW249,AZ249,1,Holidays[Date]),BC249),"")</f>
        <v/>
      </c>
      <c r="BC249" s="78"/>
      <c r="BD249" s="80"/>
      <c r="BE249" s="68"/>
      <c r="BF249" s="77" t="str">
        <f>IF(BK249="","",WORKDAY.INTL(BK249,BI249*-1,1,Holidays[Date]))</f>
        <v/>
      </c>
      <c r="BG249" s="77" t="str">
        <f ca="1">IFERROR(IF(BH249="",WORKDAY.INTL(BB249,BE249,1,Holidays[Date]),BH249),"")</f>
        <v/>
      </c>
      <c r="BH249" s="78"/>
      <c r="BI249" s="80"/>
      <c r="BJ249" s="68"/>
      <c r="BK249" s="77" t="str">
        <f>IF(BP249="","",WORKDAY.INTL(BP249,BN249*-1,1,Holidays[Date]))</f>
        <v/>
      </c>
      <c r="BL249" s="77" t="str">
        <f ca="1">IFERROR(IF(BM249="",WORKDAY.INTL(BG249,BJ249,1,Holidays[Date]),BM249),"")</f>
        <v/>
      </c>
      <c r="BM249" s="78"/>
      <c r="BN249" s="80"/>
      <c r="BO249" s="68"/>
      <c r="BP249" s="77" t="str">
        <f>IF(BU249="","",WORKDAY.INTL(BU249,BS249*-1,1,Holidays[Date]))</f>
        <v/>
      </c>
      <c r="BQ249" s="77" t="str">
        <f ca="1">IFERROR(IF(BR249="",WORKDAY.INTL(BL249,BO249,1,Holidays[Date]),BR249),"")</f>
        <v/>
      </c>
      <c r="BR249" s="78"/>
      <c r="BS249" s="80"/>
      <c r="BT249" s="68"/>
      <c r="BU249" s="77" t="str">
        <f>IF(BZ249="","",WORKDAY.INTL(BZ249,BX249*-1,1,Holidays[Date]))</f>
        <v/>
      </c>
      <c r="BV249" s="77" t="str">
        <f ca="1">IFERROR(IF(BW249="",WORKDAY.INTL(BQ249,BT249,1,Holidays[Date]),BW249),"")</f>
        <v/>
      </c>
      <c r="BW249" s="78"/>
      <c r="BX249" s="80"/>
      <c r="BY249" s="68"/>
      <c r="BZ249" s="81"/>
      <c r="CA249" s="77" t="str">
        <f ca="1">IFERROR(IF(CB249="",WORKDAY.INTL(BV249,BY249,1,Holidays[Date]),CB249),"")</f>
        <v/>
      </c>
      <c r="CB249" s="78"/>
    </row>
    <row r="250" spans="1:80" ht="19" customHeight="1" x14ac:dyDescent="0.35">
      <c r="A250" s="31"/>
      <c r="B250" s="82"/>
      <c r="C250" s="1"/>
      <c r="D250" s="8"/>
      <c r="E250" s="8"/>
      <c r="F250" s="8"/>
      <c r="G250" s="8"/>
      <c r="H250" s="8"/>
      <c r="I250" s="9"/>
      <c r="J250" s="8"/>
      <c r="K250" s="8"/>
      <c r="L250" s="8"/>
      <c r="M250" s="8"/>
      <c r="N250" s="8"/>
      <c r="O250" s="8"/>
      <c r="P250" s="8"/>
      <c r="Q250" s="2"/>
      <c r="R250" s="2"/>
      <c r="S250" s="88" t="str">
        <f>IF(tblProcRegister[[#This Row],[Award]]&lt;&gt;"",tblProcRegister[[#This Row],[Budget]]-tblProcRegister[[#This Row],[Award]],"")</f>
        <v/>
      </c>
      <c r="T250" s="68"/>
      <c r="U250" s="68"/>
      <c r="V250" s="68"/>
      <c r="W250" s="77" t="str">
        <f>IF(AB250="","",WORKDAY.INTL(AB250,Z250*-1,1,Holidays[Date]))</f>
        <v/>
      </c>
      <c r="X250" s="77" t="str">
        <f t="shared" ca="1" si="3"/>
        <v/>
      </c>
      <c r="Y250" s="78"/>
      <c r="Z250" s="79"/>
      <c r="AA250" s="68"/>
      <c r="AB250" s="77" t="str">
        <f>IF(AG250="","",WORKDAY.INTL(AG250,AE250*-1,1,Holidays[Date]))</f>
        <v/>
      </c>
      <c r="AC250" s="77" t="str">
        <f ca="1">IFERROR(IF(AD250="",WORKDAY.INTL(X250,AA250,1,Holidays[Date]),AD250),"")</f>
        <v/>
      </c>
      <c r="AD250" s="78"/>
      <c r="AE250" s="80"/>
      <c r="AF250" s="68"/>
      <c r="AG250" s="77" t="str">
        <f>IF(AL250="","",WORKDAY.INTL(AL250,AJ250*-1,1,Holidays[Date]))</f>
        <v/>
      </c>
      <c r="AH250" s="77" t="str">
        <f ca="1">IFERROR(IF(AI250="",WORKDAY.INTL(AC250,AF250,1,Holidays[Date]),AI250),"")</f>
        <v/>
      </c>
      <c r="AI250" s="78"/>
      <c r="AJ250" s="80"/>
      <c r="AK250" s="68"/>
      <c r="AL250" s="77" t="str">
        <f>IF(AQ250="","",WORKDAY.INTL(AQ250,AO250*-1,1,Holidays[Date]))</f>
        <v/>
      </c>
      <c r="AM250" s="77" t="str">
        <f ca="1">IFERROR(IF(AN250="",WORKDAY.INTL(AH250,AK250,1,Holidays[Date]),AN250),"")</f>
        <v/>
      </c>
      <c r="AN250" s="78"/>
      <c r="AO250" s="80"/>
      <c r="AP250" s="68"/>
      <c r="AQ250" s="77" t="str">
        <f>IF(AV250="","",WORKDAY.INTL(AV250,AT250*-1,1,Holidays[Date]))</f>
        <v/>
      </c>
      <c r="AR250" s="77" t="str">
        <f ca="1">IFERROR(IF(AS250="",WORKDAY.INTL(AM250,AP250,1,Holidays[Date]),AS250),"")</f>
        <v/>
      </c>
      <c r="AS250" s="78"/>
      <c r="AT250" s="80"/>
      <c r="AU250" s="68"/>
      <c r="AV250" s="77" t="str">
        <f>IF(BA250="","",WORKDAY.INTL(BA250,AY250*-1,1,Holidays[Date]))</f>
        <v/>
      </c>
      <c r="AW250" s="77" t="str">
        <f ca="1">IFERROR(IF(AX250="",WORKDAY.INTL(AR250,AU250,1,Holidays[Date]),AX250),"")</f>
        <v/>
      </c>
      <c r="AX250" s="78"/>
      <c r="AY250" s="80"/>
      <c r="AZ250" s="68"/>
      <c r="BA250" s="77" t="str">
        <f>IF(BF250="","",WORKDAY.INTL(BF250,BD250*-1,1,Holidays[Date]))</f>
        <v/>
      </c>
      <c r="BB250" s="77" t="str">
        <f ca="1">IFERROR(IF(BC250="",WORKDAY.INTL(AW250,AZ250,1,Holidays[Date]),BC250),"")</f>
        <v/>
      </c>
      <c r="BC250" s="78"/>
      <c r="BD250" s="80"/>
      <c r="BE250" s="68"/>
      <c r="BF250" s="77" t="str">
        <f>IF(BK250="","",WORKDAY.INTL(BK250,BI250*-1,1,Holidays[Date]))</f>
        <v/>
      </c>
      <c r="BG250" s="77" t="str">
        <f ca="1">IFERROR(IF(BH250="",WORKDAY.INTL(BB250,BE250,1,Holidays[Date]),BH250),"")</f>
        <v/>
      </c>
      <c r="BH250" s="78"/>
      <c r="BI250" s="80"/>
      <c r="BJ250" s="68"/>
      <c r="BK250" s="77" t="str">
        <f>IF(BP250="","",WORKDAY.INTL(BP250,BN250*-1,1,Holidays[Date]))</f>
        <v/>
      </c>
      <c r="BL250" s="77" t="str">
        <f ca="1">IFERROR(IF(BM250="",WORKDAY.INTL(BG250,BJ250,1,Holidays[Date]),BM250),"")</f>
        <v/>
      </c>
      <c r="BM250" s="78"/>
      <c r="BN250" s="80"/>
      <c r="BO250" s="68"/>
      <c r="BP250" s="77" t="str">
        <f>IF(BU250="","",WORKDAY.INTL(BU250,BS250*-1,1,Holidays[Date]))</f>
        <v/>
      </c>
      <c r="BQ250" s="77" t="str">
        <f ca="1">IFERROR(IF(BR250="",WORKDAY.INTL(BL250,BO250,1,Holidays[Date]),BR250),"")</f>
        <v/>
      </c>
      <c r="BR250" s="78"/>
      <c r="BS250" s="80"/>
      <c r="BT250" s="68"/>
      <c r="BU250" s="77" t="str">
        <f>IF(BZ250="","",WORKDAY.INTL(BZ250,BX250*-1,1,Holidays[Date]))</f>
        <v/>
      </c>
      <c r="BV250" s="77" t="str">
        <f ca="1">IFERROR(IF(BW250="",WORKDAY.INTL(BQ250,BT250,1,Holidays[Date]),BW250),"")</f>
        <v/>
      </c>
      <c r="BW250" s="78"/>
      <c r="BX250" s="80"/>
      <c r="BY250" s="68"/>
      <c r="BZ250" s="81"/>
      <c r="CA250" s="77" t="str">
        <f ca="1">IFERROR(IF(CB250="",WORKDAY.INTL(BV250,BY250,1,Holidays[Date]),CB250),"")</f>
        <v/>
      </c>
      <c r="CB250" s="78"/>
    </row>
    <row r="251" spans="1:80" ht="19" customHeight="1" x14ac:dyDescent="0.35">
      <c r="A251" s="31"/>
      <c r="B251" s="82"/>
      <c r="C251" s="1"/>
      <c r="D251" s="8"/>
      <c r="E251" s="8"/>
      <c r="F251" s="8"/>
      <c r="G251" s="8"/>
      <c r="H251" s="8"/>
      <c r="I251" s="9"/>
      <c r="J251" s="8"/>
      <c r="K251" s="8"/>
      <c r="L251" s="8"/>
      <c r="M251" s="8"/>
      <c r="N251" s="8"/>
      <c r="O251" s="8"/>
      <c r="P251" s="8"/>
      <c r="Q251" s="2"/>
      <c r="R251" s="2"/>
      <c r="S251" s="88" t="str">
        <f>IF(tblProcRegister[[#This Row],[Award]]&lt;&gt;"",tblProcRegister[[#This Row],[Budget]]-tblProcRegister[[#This Row],[Award]],"")</f>
        <v/>
      </c>
      <c r="T251" s="68"/>
      <c r="U251" s="68"/>
      <c r="V251" s="68"/>
      <c r="W251" s="77" t="str">
        <f>IF(AB251="","",WORKDAY.INTL(AB251,Z251*-1,1,Holidays[Date]))</f>
        <v/>
      </c>
      <c r="X251" s="77" t="str">
        <f t="shared" ca="1" si="3"/>
        <v/>
      </c>
      <c r="Y251" s="78"/>
      <c r="Z251" s="79"/>
      <c r="AA251" s="68"/>
      <c r="AB251" s="77" t="str">
        <f>IF(AG251="","",WORKDAY.INTL(AG251,AE251*-1,1,Holidays[Date]))</f>
        <v/>
      </c>
      <c r="AC251" s="77" t="str">
        <f ca="1">IFERROR(IF(AD251="",WORKDAY.INTL(X251,AA251,1,Holidays[Date]),AD251),"")</f>
        <v/>
      </c>
      <c r="AD251" s="78"/>
      <c r="AE251" s="80"/>
      <c r="AF251" s="68"/>
      <c r="AG251" s="77" t="str">
        <f>IF(AL251="","",WORKDAY.INTL(AL251,AJ251*-1,1,Holidays[Date]))</f>
        <v/>
      </c>
      <c r="AH251" s="77" t="str">
        <f ca="1">IFERROR(IF(AI251="",WORKDAY.INTL(AC251,AF251,1,Holidays[Date]),AI251),"")</f>
        <v/>
      </c>
      <c r="AI251" s="78"/>
      <c r="AJ251" s="80"/>
      <c r="AK251" s="68"/>
      <c r="AL251" s="77" t="str">
        <f>IF(AQ251="","",WORKDAY.INTL(AQ251,AO251*-1,1,Holidays[Date]))</f>
        <v/>
      </c>
      <c r="AM251" s="77" t="str">
        <f ca="1">IFERROR(IF(AN251="",WORKDAY.INTL(AH251,AK251,1,Holidays[Date]),AN251),"")</f>
        <v/>
      </c>
      <c r="AN251" s="78"/>
      <c r="AO251" s="80"/>
      <c r="AP251" s="68"/>
      <c r="AQ251" s="77" t="str">
        <f>IF(AV251="","",WORKDAY.INTL(AV251,AT251*-1,1,Holidays[Date]))</f>
        <v/>
      </c>
      <c r="AR251" s="77" t="str">
        <f ca="1">IFERROR(IF(AS251="",WORKDAY.INTL(AM251,AP251,1,Holidays[Date]),AS251),"")</f>
        <v/>
      </c>
      <c r="AS251" s="78"/>
      <c r="AT251" s="80"/>
      <c r="AU251" s="68"/>
      <c r="AV251" s="77" t="str">
        <f>IF(BA251="","",WORKDAY.INTL(BA251,AY251*-1,1,Holidays[Date]))</f>
        <v/>
      </c>
      <c r="AW251" s="77" t="str">
        <f ca="1">IFERROR(IF(AX251="",WORKDAY.INTL(AR251,AU251,1,Holidays[Date]),AX251),"")</f>
        <v/>
      </c>
      <c r="AX251" s="78"/>
      <c r="AY251" s="80"/>
      <c r="AZ251" s="68"/>
      <c r="BA251" s="77" t="str">
        <f>IF(BF251="","",WORKDAY.INTL(BF251,BD251*-1,1,Holidays[Date]))</f>
        <v/>
      </c>
      <c r="BB251" s="77" t="str">
        <f ca="1">IFERROR(IF(BC251="",WORKDAY.INTL(AW251,AZ251,1,Holidays[Date]),BC251),"")</f>
        <v/>
      </c>
      <c r="BC251" s="78"/>
      <c r="BD251" s="80"/>
      <c r="BE251" s="68"/>
      <c r="BF251" s="77" t="str">
        <f>IF(BK251="","",WORKDAY.INTL(BK251,BI251*-1,1,Holidays[Date]))</f>
        <v/>
      </c>
      <c r="BG251" s="77" t="str">
        <f ca="1">IFERROR(IF(BH251="",WORKDAY.INTL(BB251,BE251,1,Holidays[Date]),BH251),"")</f>
        <v/>
      </c>
      <c r="BH251" s="78"/>
      <c r="BI251" s="80"/>
      <c r="BJ251" s="68"/>
      <c r="BK251" s="77" t="str">
        <f>IF(BP251="","",WORKDAY.INTL(BP251,BN251*-1,1,Holidays[Date]))</f>
        <v/>
      </c>
      <c r="BL251" s="77" t="str">
        <f ca="1">IFERROR(IF(BM251="",WORKDAY.INTL(BG251,BJ251,1,Holidays[Date]),BM251),"")</f>
        <v/>
      </c>
      <c r="BM251" s="78"/>
      <c r="BN251" s="80"/>
      <c r="BO251" s="68"/>
      <c r="BP251" s="77" t="str">
        <f>IF(BU251="","",WORKDAY.INTL(BU251,BS251*-1,1,Holidays[Date]))</f>
        <v/>
      </c>
      <c r="BQ251" s="77" t="str">
        <f ca="1">IFERROR(IF(BR251="",WORKDAY.INTL(BL251,BO251,1,Holidays[Date]),BR251),"")</f>
        <v/>
      </c>
      <c r="BR251" s="78"/>
      <c r="BS251" s="80"/>
      <c r="BT251" s="68"/>
      <c r="BU251" s="77" t="str">
        <f>IF(BZ251="","",WORKDAY.INTL(BZ251,BX251*-1,1,Holidays[Date]))</f>
        <v/>
      </c>
      <c r="BV251" s="77" t="str">
        <f ca="1">IFERROR(IF(BW251="",WORKDAY.INTL(BQ251,BT251,1,Holidays[Date]),BW251),"")</f>
        <v/>
      </c>
      <c r="BW251" s="78"/>
      <c r="BX251" s="80"/>
      <c r="BY251" s="68"/>
      <c r="BZ251" s="81"/>
      <c r="CA251" s="77" t="str">
        <f ca="1">IFERROR(IF(CB251="",WORKDAY.INTL(BV251,BY251,1,Holidays[Date]),CB251),"")</f>
        <v/>
      </c>
      <c r="CB251" s="78"/>
    </row>
    <row r="252" spans="1:80" ht="19" customHeight="1" x14ac:dyDescent="0.35">
      <c r="A252" s="31"/>
      <c r="B252" s="82"/>
      <c r="C252" s="1"/>
      <c r="D252" s="8"/>
      <c r="E252" s="8"/>
      <c r="F252" s="8"/>
      <c r="G252" s="8"/>
      <c r="H252" s="8"/>
      <c r="I252" s="9"/>
      <c r="J252" s="8"/>
      <c r="K252" s="8"/>
      <c r="L252" s="8"/>
      <c r="M252" s="8"/>
      <c r="N252" s="8"/>
      <c r="O252" s="8"/>
      <c r="P252" s="8"/>
      <c r="Q252" s="2"/>
      <c r="R252" s="2"/>
      <c r="S252" s="88" t="str">
        <f>IF(tblProcRegister[[#This Row],[Award]]&lt;&gt;"",tblProcRegister[[#This Row],[Budget]]-tblProcRegister[[#This Row],[Award]],"")</f>
        <v/>
      </c>
      <c r="T252" s="68"/>
      <c r="U252" s="68"/>
      <c r="V252" s="68"/>
      <c r="W252" s="77" t="str">
        <f>IF(AB252="","",WORKDAY.INTL(AB252,Z252*-1,1,Holidays[Date]))</f>
        <v/>
      </c>
      <c r="X252" s="77" t="str">
        <f t="shared" ca="1" si="3"/>
        <v/>
      </c>
      <c r="Y252" s="78"/>
      <c r="Z252" s="79"/>
      <c r="AA252" s="68"/>
      <c r="AB252" s="77" t="str">
        <f>IF(AG252="","",WORKDAY.INTL(AG252,AE252*-1,1,Holidays[Date]))</f>
        <v/>
      </c>
      <c r="AC252" s="77" t="str">
        <f ca="1">IFERROR(IF(AD252="",WORKDAY.INTL(X252,AA252,1,Holidays[Date]),AD252),"")</f>
        <v/>
      </c>
      <c r="AD252" s="78"/>
      <c r="AE252" s="80"/>
      <c r="AF252" s="68"/>
      <c r="AG252" s="77" t="str">
        <f>IF(AL252="","",WORKDAY.INTL(AL252,AJ252*-1,1,Holidays[Date]))</f>
        <v/>
      </c>
      <c r="AH252" s="77" t="str">
        <f ca="1">IFERROR(IF(AI252="",WORKDAY.INTL(AC252,AF252,1,Holidays[Date]),AI252),"")</f>
        <v/>
      </c>
      <c r="AI252" s="78"/>
      <c r="AJ252" s="80"/>
      <c r="AK252" s="68"/>
      <c r="AL252" s="77" t="str">
        <f>IF(AQ252="","",WORKDAY.INTL(AQ252,AO252*-1,1,Holidays[Date]))</f>
        <v/>
      </c>
      <c r="AM252" s="77" t="str">
        <f ca="1">IFERROR(IF(AN252="",WORKDAY.INTL(AH252,AK252,1,Holidays[Date]),AN252),"")</f>
        <v/>
      </c>
      <c r="AN252" s="78"/>
      <c r="AO252" s="80"/>
      <c r="AP252" s="68"/>
      <c r="AQ252" s="77" t="str">
        <f>IF(AV252="","",WORKDAY.INTL(AV252,AT252*-1,1,Holidays[Date]))</f>
        <v/>
      </c>
      <c r="AR252" s="77" t="str">
        <f ca="1">IFERROR(IF(AS252="",WORKDAY.INTL(AM252,AP252,1,Holidays[Date]),AS252),"")</f>
        <v/>
      </c>
      <c r="AS252" s="78"/>
      <c r="AT252" s="80"/>
      <c r="AU252" s="68"/>
      <c r="AV252" s="77" t="str">
        <f>IF(BA252="","",WORKDAY.INTL(BA252,AY252*-1,1,Holidays[Date]))</f>
        <v/>
      </c>
      <c r="AW252" s="77" t="str">
        <f ca="1">IFERROR(IF(AX252="",WORKDAY.INTL(AR252,AU252,1,Holidays[Date]),AX252),"")</f>
        <v/>
      </c>
      <c r="AX252" s="78"/>
      <c r="AY252" s="80"/>
      <c r="AZ252" s="68"/>
      <c r="BA252" s="77" t="str">
        <f>IF(BF252="","",WORKDAY.INTL(BF252,BD252*-1,1,Holidays[Date]))</f>
        <v/>
      </c>
      <c r="BB252" s="77" t="str">
        <f ca="1">IFERROR(IF(BC252="",WORKDAY.INTL(AW252,AZ252,1,Holidays[Date]),BC252),"")</f>
        <v/>
      </c>
      <c r="BC252" s="78"/>
      <c r="BD252" s="80"/>
      <c r="BE252" s="68"/>
      <c r="BF252" s="77" t="str">
        <f>IF(BK252="","",WORKDAY.INTL(BK252,BI252*-1,1,Holidays[Date]))</f>
        <v/>
      </c>
      <c r="BG252" s="77" t="str">
        <f ca="1">IFERROR(IF(BH252="",WORKDAY.INTL(BB252,BE252,1,Holidays[Date]),BH252),"")</f>
        <v/>
      </c>
      <c r="BH252" s="78"/>
      <c r="BI252" s="80"/>
      <c r="BJ252" s="68"/>
      <c r="BK252" s="77" t="str">
        <f>IF(BP252="","",WORKDAY.INTL(BP252,BN252*-1,1,Holidays[Date]))</f>
        <v/>
      </c>
      <c r="BL252" s="77" t="str">
        <f ca="1">IFERROR(IF(BM252="",WORKDAY.INTL(BG252,BJ252,1,Holidays[Date]),BM252),"")</f>
        <v/>
      </c>
      <c r="BM252" s="78"/>
      <c r="BN252" s="80"/>
      <c r="BO252" s="68"/>
      <c r="BP252" s="77" t="str">
        <f>IF(BU252="","",WORKDAY.INTL(BU252,BS252*-1,1,Holidays[Date]))</f>
        <v/>
      </c>
      <c r="BQ252" s="77" t="str">
        <f ca="1">IFERROR(IF(BR252="",WORKDAY.INTL(BL252,BO252,1,Holidays[Date]),BR252),"")</f>
        <v/>
      </c>
      <c r="BR252" s="78"/>
      <c r="BS252" s="80"/>
      <c r="BT252" s="68"/>
      <c r="BU252" s="77" t="str">
        <f>IF(BZ252="","",WORKDAY.INTL(BZ252,BX252*-1,1,Holidays[Date]))</f>
        <v/>
      </c>
      <c r="BV252" s="77" t="str">
        <f ca="1">IFERROR(IF(BW252="",WORKDAY.INTL(BQ252,BT252,1,Holidays[Date]),BW252),"")</f>
        <v/>
      </c>
      <c r="BW252" s="78"/>
      <c r="BX252" s="80"/>
      <c r="BY252" s="68"/>
      <c r="BZ252" s="81"/>
      <c r="CA252" s="77" t="str">
        <f ca="1">IFERROR(IF(CB252="",WORKDAY.INTL(BV252,BY252,1,Holidays[Date]),CB252),"")</f>
        <v/>
      </c>
      <c r="CB252" s="78"/>
    </row>
    <row r="253" spans="1:80" ht="19" customHeight="1" x14ac:dyDescent="0.35">
      <c r="A253" s="31"/>
      <c r="B253" s="82"/>
      <c r="C253" s="1"/>
      <c r="D253" s="8"/>
      <c r="E253" s="8"/>
      <c r="F253" s="8"/>
      <c r="G253" s="8"/>
      <c r="H253" s="8"/>
      <c r="I253" s="9"/>
      <c r="J253" s="8"/>
      <c r="K253" s="8"/>
      <c r="L253" s="8"/>
      <c r="M253" s="8"/>
      <c r="N253" s="8"/>
      <c r="O253" s="8"/>
      <c r="P253" s="8"/>
      <c r="Q253" s="2"/>
      <c r="R253" s="2"/>
      <c r="S253" s="88" t="str">
        <f>IF(tblProcRegister[[#This Row],[Award]]&lt;&gt;"",tblProcRegister[[#This Row],[Budget]]-tblProcRegister[[#This Row],[Award]],"")</f>
        <v/>
      </c>
      <c r="T253" s="68"/>
      <c r="U253" s="68"/>
      <c r="V253" s="68"/>
      <c r="W253" s="77" t="str">
        <f>IF(AB253="","",WORKDAY.INTL(AB253,Z253*-1,1,Holidays[Date]))</f>
        <v/>
      </c>
      <c r="X253" s="77" t="str">
        <f t="shared" ca="1" si="3"/>
        <v/>
      </c>
      <c r="Y253" s="78"/>
      <c r="Z253" s="79"/>
      <c r="AA253" s="68"/>
      <c r="AB253" s="77" t="str">
        <f>IF(AG253="","",WORKDAY.INTL(AG253,AE253*-1,1,Holidays[Date]))</f>
        <v/>
      </c>
      <c r="AC253" s="77" t="str">
        <f ca="1">IFERROR(IF(AD253="",WORKDAY.INTL(X253,AA253,1,Holidays[Date]),AD253),"")</f>
        <v/>
      </c>
      <c r="AD253" s="78"/>
      <c r="AE253" s="80"/>
      <c r="AF253" s="68"/>
      <c r="AG253" s="77" t="str">
        <f>IF(AL253="","",WORKDAY.INTL(AL253,AJ253*-1,1,Holidays[Date]))</f>
        <v/>
      </c>
      <c r="AH253" s="77" t="str">
        <f ca="1">IFERROR(IF(AI253="",WORKDAY.INTL(AC253,AF253,1,Holidays[Date]),AI253),"")</f>
        <v/>
      </c>
      <c r="AI253" s="78"/>
      <c r="AJ253" s="80"/>
      <c r="AK253" s="68"/>
      <c r="AL253" s="77" t="str">
        <f>IF(AQ253="","",WORKDAY.INTL(AQ253,AO253*-1,1,Holidays[Date]))</f>
        <v/>
      </c>
      <c r="AM253" s="77" t="str">
        <f ca="1">IFERROR(IF(AN253="",WORKDAY.INTL(AH253,AK253,1,Holidays[Date]),AN253),"")</f>
        <v/>
      </c>
      <c r="AN253" s="78"/>
      <c r="AO253" s="80"/>
      <c r="AP253" s="68"/>
      <c r="AQ253" s="77" t="str">
        <f>IF(AV253="","",WORKDAY.INTL(AV253,AT253*-1,1,Holidays[Date]))</f>
        <v/>
      </c>
      <c r="AR253" s="77" t="str">
        <f ca="1">IFERROR(IF(AS253="",WORKDAY.INTL(AM253,AP253,1,Holidays[Date]),AS253),"")</f>
        <v/>
      </c>
      <c r="AS253" s="78"/>
      <c r="AT253" s="80"/>
      <c r="AU253" s="68"/>
      <c r="AV253" s="77" t="str">
        <f>IF(BA253="","",WORKDAY.INTL(BA253,AY253*-1,1,Holidays[Date]))</f>
        <v/>
      </c>
      <c r="AW253" s="77" t="str">
        <f ca="1">IFERROR(IF(AX253="",WORKDAY.INTL(AR253,AU253,1,Holidays[Date]),AX253),"")</f>
        <v/>
      </c>
      <c r="AX253" s="78"/>
      <c r="AY253" s="80"/>
      <c r="AZ253" s="68"/>
      <c r="BA253" s="77" t="str">
        <f>IF(BF253="","",WORKDAY.INTL(BF253,BD253*-1,1,Holidays[Date]))</f>
        <v/>
      </c>
      <c r="BB253" s="77" t="str">
        <f ca="1">IFERROR(IF(BC253="",WORKDAY.INTL(AW253,AZ253,1,Holidays[Date]),BC253),"")</f>
        <v/>
      </c>
      <c r="BC253" s="78"/>
      <c r="BD253" s="80"/>
      <c r="BE253" s="68"/>
      <c r="BF253" s="77" t="str">
        <f>IF(BK253="","",WORKDAY.INTL(BK253,BI253*-1,1,Holidays[Date]))</f>
        <v/>
      </c>
      <c r="BG253" s="77" t="str">
        <f ca="1">IFERROR(IF(BH253="",WORKDAY.INTL(BB253,BE253,1,Holidays[Date]),BH253),"")</f>
        <v/>
      </c>
      <c r="BH253" s="78"/>
      <c r="BI253" s="80"/>
      <c r="BJ253" s="68"/>
      <c r="BK253" s="77" t="str">
        <f>IF(BP253="","",WORKDAY.INTL(BP253,BN253*-1,1,Holidays[Date]))</f>
        <v/>
      </c>
      <c r="BL253" s="77" t="str">
        <f ca="1">IFERROR(IF(BM253="",WORKDAY.INTL(BG253,BJ253,1,Holidays[Date]),BM253),"")</f>
        <v/>
      </c>
      <c r="BM253" s="78"/>
      <c r="BN253" s="80"/>
      <c r="BO253" s="68"/>
      <c r="BP253" s="77" t="str">
        <f>IF(BU253="","",WORKDAY.INTL(BU253,BS253*-1,1,Holidays[Date]))</f>
        <v/>
      </c>
      <c r="BQ253" s="77" t="str">
        <f ca="1">IFERROR(IF(BR253="",WORKDAY.INTL(BL253,BO253,1,Holidays[Date]),BR253),"")</f>
        <v/>
      </c>
      <c r="BR253" s="78"/>
      <c r="BS253" s="80"/>
      <c r="BT253" s="68"/>
      <c r="BU253" s="77" t="str">
        <f>IF(BZ253="","",WORKDAY.INTL(BZ253,BX253*-1,1,Holidays[Date]))</f>
        <v/>
      </c>
      <c r="BV253" s="77" t="str">
        <f ca="1">IFERROR(IF(BW253="",WORKDAY.INTL(BQ253,BT253,1,Holidays[Date]),BW253),"")</f>
        <v/>
      </c>
      <c r="BW253" s="78"/>
      <c r="BX253" s="80"/>
      <c r="BY253" s="68"/>
      <c r="BZ253" s="81"/>
      <c r="CA253" s="77" t="str">
        <f ca="1">IFERROR(IF(CB253="",WORKDAY.INTL(BV253,BY253,1,Holidays[Date]),CB253),"")</f>
        <v/>
      </c>
      <c r="CB253" s="78"/>
    </row>
    <row r="254" spans="1:80" ht="19" customHeight="1" x14ac:dyDescent="0.35">
      <c r="A254" s="31"/>
      <c r="B254" s="82"/>
      <c r="C254" s="1"/>
      <c r="D254" s="8"/>
      <c r="E254" s="8"/>
      <c r="F254" s="8"/>
      <c r="G254" s="8"/>
      <c r="H254" s="8"/>
      <c r="I254" s="9"/>
      <c r="J254" s="8"/>
      <c r="K254" s="8"/>
      <c r="L254" s="8"/>
      <c r="M254" s="8"/>
      <c r="N254" s="8"/>
      <c r="O254" s="8"/>
      <c r="P254" s="8"/>
      <c r="Q254" s="2"/>
      <c r="R254" s="2"/>
      <c r="S254" s="88" t="str">
        <f>IF(tblProcRegister[[#This Row],[Award]]&lt;&gt;"",tblProcRegister[[#This Row],[Budget]]-tblProcRegister[[#This Row],[Award]],"")</f>
        <v/>
      </c>
      <c r="T254" s="68"/>
      <c r="U254" s="68"/>
      <c r="V254" s="68"/>
      <c r="W254" s="77" t="str">
        <f>IF(AB254="","",WORKDAY.INTL(AB254,Z254*-1,1,Holidays[Date]))</f>
        <v/>
      </c>
      <c r="X254" s="77" t="str">
        <f t="shared" ca="1" si="3"/>
        <v/>
      </c>
      <c r="Y254" s="78"/>
      <c r="Z254" s="79"/>
      <c r="AA254" s="68"/>
      <c r="AB254" s="77" t="str">
        <f>IF(AG254="","",WORKDAY.INTL(AG254,AE254*-1,1,Holidays[Date]))</f>
        <v/>
      </c>
      <c r="AC254" s="77" t="str">
        <f ca="1">IFERROR(IF(AD254="",WORKDAY.INTL(X254,AA254,1,Holidays[Date]),AD254),"")</f>
        <v/>
      </c>
      <c r="AD254" s="78"/>
      <c r="AE254" s="80"/>
      <c r="AF254" s="68"/>
      <c r="AG254" s="77" t="str">
        <f>IF(AL254="","",WORKDAY.INTL(AL254,AJ254*-1,1,Holidays[Date]))</f>
        <v/>
      </c>
      <c r="AH254" s="77" t="str">
        <f ca="1">IFERROR(IF(AI254="",WORKDAY.INTL(AC254,AF254,1,Holidays[Date]),AI254),"")</f>
        <v/>
      </c>
      <c r="AI254" s="78"/>
      <c r="AJ254" s="80"/>
      <c r="AK254" s="68"/>
      <c r="AL254" s="77" t="str">
        <f>IF(AQ254="","",WORKDAY.INTL(AQ254,AO254*-1,1,Holidays[Date]))</f>
        <v/>
      </c>
      <c r="AM254" s="77" t="str">
        <f ca="1">IFERROR(IF(AN254="",WORKDAY.INTL(AH254,AK254,1,Holidays[Date]),AN254),"")</f>
        <v/>
      </c>
      <c r="AN254" s="78"/>
      <c r="AO254" s="80"/>
      <c r="AP254" s="68"/>
      <c r="AQ254" s="77" t="str">
        <f>IF(AV254="","",WORKDAY.INTL(AV254,AT254*-1,1,Holidays[Date]))</f>
        <v/>
      </c>
      <c r="AR254" s="77" t="str">
        <f ca="1">IFERROR(IF(AS254="",WORKDAY.INTL(AM254,AP254,1,Holidays[Date]),AS254),"")</f>
        <v/>
      </c>
      <c r="AS254" s="78"/>
      <c r="AT254" s="80"/>
      <c r="AU254" s="68"/>
      <c r="AV254" s="77" t="str">
        <f>IF(BA254="","",WORKDAY.INTL(BA254,AY254*-1,1,Holidays[Date]))</f>
        <v/>
      </c>
      <c r="AW254" s="77" t="str">
        <f ca="1">IFERROR(IF(AX254="",WORKDAY.INTL(AR254,AU254,1,Holidays[Date]),AX254),"")</f>
        <v/>
      </c>
      <c r="AX254" s="78"/>
      <c r="AY254" s="80"/>
      <c r="AZ254" s="68"/>
      <c r="BA254" s="77" t="str">
        <f>IF(BF254="","",WORKDAY.INTL(BF254,BD254*-1,1,Holidays[Date]))</f>
        <v/>
      </c>
      <c r="BB254" s="77" t="str">
        <f ca="1">IFERROR(IF(BC254="",WORKDAY.INTL(AW254,AZ254,1,Holidays[Date]),BC254),"")</f>
        <v/>
      </c>
      <c r="BC254" s="78"/>
      <c r="BD254" s="80"/>
      <c r="BE254" s="68"/>
      <c r="BF254" s="77" t="str">
        <f>IF(BK254="","",WORKDAY.INTL(BK254,BI254*-1,1,Holidays[Date]))</f>
        <v/>
      </c>
      <c r="BG254" s="77" t="str">
        <f ca="1">IFERROR(IF(BH254="",WORKDAY.INTL(BB254,BE254,1,Holidays[Date]),BH254),"")</f>
        <v/>
      </c>
      <c r="BH254" s="78"/>
      <c r="BI254" s="80"/>
      <c r="BJ254" s="68"/>
      <c r="BK254" s="77" t="str">
        <f>IF(BP254="","",WORKDAY.INTL(BP254,BN254*-1,1,Holidays[Date]))</f>
        <v/>
      </c>
      <c r="BL254" s="77" t="str">
        <f ca="1">IFERROR(IF(BM254="",WORKDAY.INTL(BG254,BJ254,1,Holidays[Date]),BM254),"")</f>
        <v/>
      </c>
      <c r="BM254" s="78"/>
      <c r="BN254" s="80"/>
      <c r="BO254" s="68"/>
      <c r="BP254" s="77" t="str">
        <f>IF(BU254="","",WORKDAY.INTL(BU254,BS254*-1,1,Holidays[Date]))</f>
        <v/>
      </c>
      <c r="BQ254" s="77" t="str">
        <f ca="1">IFERROR(IF(BR254="",WORKDAY.INTL(BL254,BO254,1,Holidays[Date]),BR254),"")</f>
        <v/>
      </c>
      <c r="BR254" s="78"/>
      <c r="BS254" s="80"/>
      <c r="BT254" s="68"/>
      <c r="BU254" s="77" t="str">
        <f>IF(BZ254="","",WORKDAY.INTL(BZ254,BX254*-1,1,Holidays[Date]))</f>
        <v/>
      </c>
      <c r="BV254" s="77" t="str">
        <f ca="1">IFERROR(IF(BW254="",WORKDAY.INTL(BQ254,BT254,1,Holidays[Date]),BW254),"")</f>
        <v/>
      </c>
      <c r="BW254" s="78"/>
      <c r="BX254" s="80"/>
      <c r="BY254" s="68"/>
      <c r="BZ254" s="81"/>
      <c r="CA254" s="77" t="str">
        <f ca="1">IFERROR(IF(CB254="",WORKDAY.INTL(BV254,BY254,1,Holidays[Date]),CB254),"")</f>
        <v/>
      </c>
      <c r="CB254" s="78"/>
    </row>
    <row r="255" spans="1:80" ht="19" customHeight="1" x14ac:dyDescent="0.35">
      <c r="A255" s="31"/>
      <c r="B255" s="82"/>
      <c r="C255" s="1"/>
      <c r="D255" s="8"/>
      <c r="E255" s="8"/>
      <c r="F255" s="8"/>
      <c r="G255" s="8"/>
      <c r="H255" s="8"/>
      <c r="I255" s="9"/>
      <c r="J255" s="8"/>
      <c r="K255" s="8"/>
      <c r="L255" s="8"/>
      <c r="M255" s="8"/>
      <c r="N255" s="8"/>
      <c r="O255" s="8"/>
      <c r="P255" s="8"/>
      <c r="Q255" s="2"/>
      <c r="R255" s="2"/>
      <c r="S255" s="88" t="str">
        <f>IF(tblProcRegister[[#This Row],[Award]]&lt;&gt;"",tblProcRegister[[#This Row],[Budget]]-tblProcRegister[[#This Row],[Award]],"")</f>
        <v/>
      </c>
      <c r="T255" s="68"/>
      <c r="U255" s="68"/>
      <c r="V255" s="68"/>
      <c r="W255" s="77" t="str">
        <f>IF(AB255="","",WORKDAY.INTL(AB255,Z255*-1,1,Holidays[Date]))</f>
        <v/>
      </c>
      <c r="X255" s="77" t="str">
        <f t="shared" ca="1" si="3"/>
        <v/>
      </c>
      <c r="Y255" s="78"/>
      <c r="Z255" s="79"/>
      <c r="AA255" s="68"/>
      <c r="AB255" s="77" t="str">
        <f>IF(AG255="","",WORKDAY.INTL(AG255,AE255*-1,1,Holidays[Date]))</f>
        <v/>
      </c>
      <c r="AC255" s="77" t="str">
        <f ca="1">IFERROR(IF(AD255="",WORKDAY.INTL(X255,AA255,1,Holidays[Date]),AD255),"")</f>
        <v/>
      </c>
      <c r="AD255" s="78"/>
      <c r="AE255" s="80"/>
      <c r="AF255" s="68"/>
      <c r="AG255" s="77" t="str">
        <f>IF(AL255="","",WORKDAY.INTL(AL255,AJ255*-1,1,Holidays[Date]))</f>
        <v/>
      </c>
      <c r="AH255" s="77" t="str">
        <f ca="1">IFERROR(IF(AI255="",WORKDAY.INTL(AC255,AF255,1,Holidays[Date]),AI255),"")</f>
        <v/>
      </c>
      <c r="AI255" s="78"/>
      <c r="AJ255" s="80"/>
      <c r="AK255" s="68"/>
      <c r="AL255" s="77" t="str">
        <f>IF(AQ255="","",WORKDAY.INTL(AQ255,AO255*-1,1,Holidays[Date]))</f>
        <v/>
      </c>
      <c r="AM255" s="77" t="str">
        <f ca="1">IFERROR(IF(AN255="",WORKDAY.INTL(AH255,AK255,1,Holidays[Date]),AN255),"")</f>
        <v/>
      </c>
      <c r="AN255" s="78"/>
      <c r="AO255" s="80"/>
      <c r="AP255" s="68"/>
      <c r="AQ255" s="77" t="str">
        <f>IF(AV255="","",WORKDAY.INTL(AV255,AT255*-1,1,Holidays[Date]))</f>
        <v/>
      </c>
      <c r="AR255" s="77" t="str">
        <f ca="1">IFERROR(IF(AS255="",WORKDAY.INTL(AM255,AP255,1,Holidays[Date]),AS255),"")</f>
        <v/>
      </c>
      <c r="AS255" s="78"/>
      <c r="AT255" s="80"/>
      <c r="AU255" s="68"/>
      <c r="AV255" s="77" t="str">
        <f>IF(BA255="","",WORKDAY.INTL(BA255,AY255*-1,1,Holidays[Date]))</f>
        <v/>
      </c>
      <c r="AW255" s="77" t="str">
        <f ca="1">IFERROR(IF(AX255="",WORKDAY.INTL(AR255,AU255,1,Holidays[Date]),AX255),"")</f>
        <v/>
      </c>
      <c r="AX255" s="78"/>
      <c r="AY255" s="80"/>
      <c r="AZ255" s="68"/>
      <c r="BA255" s="77" t="str">
        <f>IF(BF255="","",WORKDAY.INTL(BF255,BD255*-1,1,Holidays[Date]))</f>
        <v/>
      </c>
      <c r="BB255" s="77" t="str">
        <f ca="1">IFERROR(IF(BC255="",WORKDAY.INTL(AW255,AZ255,1,Holidays[Date]),BC255),"")</f>
        <v/>
      </c>
      <c r="BC255" s="78"/>
      <c r="BD255" s="80"/>
      <c r="BE255" s="68"/>
      <c r="BF255" s="77" t="str">
        <f>IF(BK255="","",WORKDAY.INTL(BK255,BI255*-1,1,Holidays[Date]))</f>
        <v/>
      </c>
      <c r="BG255" s="77" t="str">
        <f ca="1">IFERROR(IF(BH255="",WORKDAY.INTL(BB255,BE255,1,Holidays[Date]),BH255),"")</f>
        <v/>
      </c>
      <c r="BH255" s="78"/>
      <c r="BI255" s="80"/>
      <c r="BJ255" s="68"/>
      <c r="BK255" s="77" t="str">
        <f>IF(BP255="","",WORKDAY.INTL(BP255,BN255*-1,1,Holidays[Date]))</f>
        <v/>
      </c>
      <c r="BL255" s="77" t="str">
        <f ca="1">IFERROR(IF(BM255="",WORKDAY.INTL(BG255,BJ255,1,Holidays[Date]),BM255),"")</f>
        <v/>
      </c>
      <c r="BM255" s="78"/>
      <c r="BN255" s="80"/>
      <c r="BO255" s="68"/>
      <c r="BP255" s="77" t="str">
        <f>IF(BU255="","",WORKDAY.INTL(BU255,BS255*-1,1,Holidays[Date]))</f>
        <v/>
      </c>
      <c r="BQ255" s="77" t="str">
        <f ca="1">IFERROR(IF(BR255="",WORKDAY.INTL(BL255,BO255,1,Holidays[Date]),BR255),"")</f>
        <v/>
      </c>
      <c r="BR255" s="78"/>
      <c r="BS255" s="80"/>
      <c r="BT255" s="68"/>
      <c r="BU255" s="77" t="str">
        <f>IF(BZ255="","",WORKDAY.INTL(BZ255,BX255*-1,1,Holidays[Date]))</f>
        <v/>
      </c>
      <c r="BV255" s="77" t="str">
        <f ca="1">IFERROR(IF(BW255="",WORKDAY.INTL(BQ255,BT255,1,Holidays[Date]),BW255),"")</f>
        <v/>
      </c>
      <c r="BW255" s="78"/>
      <c r="BX255" s="80"/>
      <c r="BY255" s="68"/>
      <c r="BZ255" s="81"/>
      <c r="CA255" s="77" t="str">
        <f ca="1">IFERROR(IF(CB255="",WORKDAY.INTL(BV255,BY255,1,Holidays[Date]),CB255),"")</f>
        <v/>
      </c>
      <c r="CB255" s="78"/>
    </row>
    <row r="256" spans="1:80" ht="19" customHeight="1" x14ac:dyDescent="0.35">
      <c r="A256" s="31"/>
      <c r="B256" s="82"/>
      <c r="C256" s="1"/>
      <c r="D256" s="8"/>
      <c r="E256" s="8"/>
      <c r="F256" s="8"/>
      <c r="G256" s="8"/>
      <c r="H256" s="8"/>
      <c r="I256" s="9"/>
      <c r="J256" s="8"/>
      <c r="K256" s="8"/>
      <c r="L256" s="8"/>
      <c r="M256" s="8"/>
      <c r="N256" s="8"/>
      <c r="O256" s="8"/>
      <c r="P256" s="8"/>
      <c r="Q256" s="2"/>
      <c r="R256" s="2"/>
      <c r="S256" s="88" t="str">
        <f>IF(tblProcRegister[[#This Row],[Award]]&lt;&gt;"",tblProcRegister[[#This Row],[Budget]]-tblProcRegister[[#This Row],[Award]],"")</f>
        <v/>
      </c>
      <c r="T256" s="68"/>
      <c r="U256" s="68"/>
      <c r="V256" s="68"/>
      <c r="W256" s="77" t="str">
        <f>IF(AB256="","",WORKDAY.INTL(AB256,Z256*-1,1,Holidays[Date]))</f>
        <v/>
      </c>
      <c r="X256" s="77" t="str">
        <f t="shared" ca="1" si="3"/>
        <v/>
      </c>
      <c r="Y256" s="78"/>
      <c r="Z256" s="79"/>
      <c r="AA256" s="68"/>
      <c r="AB256" s="77" t="str">
        <f>IF(AG256="","",WORKDAY.INTL(AG256,AE256*-1,1,Holidays[Date]))</f>
        <v/>
      </c>
      <c r="AC256" s="77" t="str">
        <f ca="1">IFERROR(IF(AD256="",WORKDAY.INTL(X256,AA256,1,Holidays[Date]),AD256),"")</f>
        <v/>
      </c>
      <c r="AD256" s="78"/>
      <c r="AE256" s="80"/>
      <c r="AF256" s="68"/>
      <c r="AG256" s="77" t="str">
        <f>IF(AL256="","",WORKDAY.INTL(AL256,AJ256*-1,1,Holidays[Date]))</f>
        <v/>
      </c>
      <c r="AH256" s="77" t="str">
        <f ca="1">IFERROR(IF(AI256="",WORKDAY.INTL(AC256,AF256,1,Holidays[Date]),AI256),"")</f>
        <v/>
      </c>
      <c r="AI256" s="78"/>
      <c r="AJ256" s="80"/>
      <c r="AK256" s="68"/>
      <c r="AL256" s="77" t="str">
        <f>IF(AQ256="","",WORKDAY.INTL(AQ256,AO256*-1,1,Holidays[Date]))</f>
        <v/>
      </c>
      <c r="AM256" s="77" t="str">
        <f ca="1">IFERROR(IF(AN256="",WORKDAY.INTL(AH256,AK256,1,Holidays[Date]),AN256),"")</f>
        <v/>
      </c>
      <c r="AN256" s="78"/>
      <c r="AO256" s="80"/>
      <c r="AP256" s="68"/>
      <c r="AQ256" s="77" t="str">
        <f>IF(AV256="","",WORKDAY.INTL(AV256,AT256*-1,1,Holidays[Date]))</f>
        <v/>
      </c>
      <c r="AR256" s="77" t="str">
        <f ca="1">IFERROR(IF(AS256="",WORKDAY.INTL(AM256,AP256,1,Holidays[Date]),AS256),"")</f>
        <v/>
      </c>
      <c r="AS256" s="78"/>
      <c r="AT256" s="80"/>
      <c r="AU256" s="68"/>
      <c r="AV256" s="77" t="str">
        <f>IF(BA256="","",WORKDAY.INTL(BA256,AY256*-1,1,Holidays[Date]))</f>
        <v/>
      </c>
      <c r="AW256" s="77" t="str">
        <f ca="1">IFERROR(IF(AX256="",WORKDAY.INTL(AR256,AU256,1,Holidays[Date]),AX256),"")</f>
        <v/>
      </c>
      <c r="AX256" s="78"/>
      <c r="AY256" s="80"/>
      <c r="AZ256" s="68"/>
      <c r="BA256" s="77" t="str">
        <f>IF(BF256="","",WORKDAY.INTL(BF256,BD256*-1,1,Holidays[Date]))</f>
        <v/>
      </c>
      <c r="BB256" s="77" t="str">
        <f ca="1">IFERROR(IF(BC256="",WORKDAY.INTL(AW256,AZ256,1,Holidays[Date]),BC256),"")</f>
        <v/>
      </c>
      <c r="BC256" s="78"/>
      <c r="BD256" s="80"/>
      <c r="BE256" s="68"/>
      <c r="BF256" s="77" t="str">
        <f>IF(BK256="","",WORKDAY.INTL(BK256,BI256*-1,1,Holidays[Date]))</f>
        <v/>
      </c>
      <c r="BG256" s="77" t="str">
        <f ca="1">IFERROR(IF(BH256="",WORKDAY.INTL(BB256,BE256,1,Holidays[Date]),BH256),"")</f>
        <v/>
      </c>
      <c r="BH256" s="78"/>
      <c r="BI256" s="80"/>
      <c r="BJ256" s="68"/>
      <c r="BK256" s="77" t="str">
        <f>IF(BP256="","",WORKDAY.INTL(BP256,BN256*-1,1,Holidays[Date]))</f>
        <v/>
      </c>
      <c r="BL256" s="77" t="str">
        <f ca="1">IFERROR(IF(BM256="",WORKDAY.INTL(BG256,BJ256,1,Holidays[Date]),BM256),"")</f>
        <v/>
      </c>
      <c r="BM256" s="78"/>
      <c r="BN256" s="80"/>
      <c r="BO256" s="68"/>
      <c r="BP256" s="77" t="str">
        <f>IF(BU256="","",WORKDAY.INTL(BU256,BS256*-1,1,Holidays[Date]))</f>
        <v/>
      </c>
      <c r="BQ256" s="77" t="str">
        <f ca="1">IFERROR(IF(BR256="",WORKDAY.INTL(BL256,BO256,1,Holidays[Date]),BR256),"")</f>
        <v/>
      </c>
      <c r="BR256" s="78"/>
      <c r="BS256" s="80"/>
      <c r="BT256" s="68"/>
      <c r="BU256" s="77" t="str">
        <f>IF(BZ256="","",WORKDAY.INTL(BZ256,BX256*-1,1,Holidays[Date]))</f>
        <v/>
      </c>
      <c r="BV256" s="77" t="str">
        <f ca="1">IFERROR(IF(BW256="",WORKDAY.INTL(BQ256,BT256,1,Holidays[Date]),BW256),"")</f>
        <v/>
      </c>
      <c r="BW256" s="78"/>
      <c r="BX256" s="80"/>
      <c r="BY256" s="68"/>
      <c r="BZ256" s="81"/>
      <c r="CA256" s="77" t="str">
        <f ca="1">IFERROR(IF(CB256="",WORKDAY.INTL(BV256,BY256,1,Holidays[Date]),CB256),"")</f>
        <v/>
      </c>
      <c r="CB256" s="78"/>
    </row>
    <row r="257" spans="1:80" ht="19" customHeight="1" x14ac:dyDescent="0.35">
      <c r="A257" s="31"/>
      <c r="B257" s="82"/>
      <c r="C257" s="1"/>
      <c r="D257" s="8"/>
      <c r="E257" s="8"/>
      <c r="F257" s="8"/>
      <c r="G257" s="8"/>
      <c r="H257" s="8"/>
      <c r="I257" s="9"/>
      <c r="J257" s="8"/>
      <c r="K257" s="8"/>
      <c r="L257" s="8"/>
      <c r="M257" s="8"/>
      <c r="N257" s="8"/>
      <c r="O257" s="8"/>
      <c r="P257" s="8"/>
      <c r="Q257" s="2"/>
      <c r="R257" s="2"/>
      <c r="S257" s="88" t="str">
        <f>IF(tblProcRegister[[#This Row],[Award]]&lt;&gt;"",tblProcRegister[[#This Row],[Budget]]-tblProcRegister[[#This Row],[Award]],"")</f>
        <v/>
      </c>
      <c r="T257" s="68"/>
      <c r="U257" s="68"/>
      <c r="V257" s="68"/>
      <c r="W257" s="77" t="str">
        <f>IF(AB257="","",WORKDAY.INTL(AB257,Z257*-1,1,Holidays[Date]))</f>
        <v/>
      </c>
      <c r="X257" s="77" t="str">
        <f t="shared" ca="1" si="3"/>
        <v/>
      </c>
      <c r="Y257" s="78"/>
      <c r="Z257" s="79"/>
      <c r="AA257" s="68"/>
      <c r="AB257" s="77" t="str">
        <f>IF(AG257="","",WORKDAY.INTL(AG257,AE257*-1,1,Holidays[Date]))</f>
        <v/>
      </c>
      <c r="AC257" s="77" t="str">
        <f ca="1">IFERROR(IF(AD257="",WORKDAY.INTL(X257,AA257,1,Holidays[Date]),AD257),"")</f>
        <v/>
      </c>
      <c r="AD257" s="78"/>
      <c r="AE257" s="80"/>
      <c r="AF257" s="68"/>
      <c r="AG257" s="77" t="str">
        <f>IF(AL257="","",WORKDAY.INTL(AL257,AJ257*-1,1,Holidays[Date]))</f>
        <v/>
      </c>
      <c r="AH257" s="77" t="str">
        <f ca="1">IFERROR(IF(AI257="",WORKDAY.INTL(AC257,AF257,1,Holidays[Date]),AI257),"")</f>
        <v/>
      </c>
      <c r="AI257" s="78"/>
      <c r="AJ257" s="80"/>
      <c r="AK257" s="68"/>
      <c r="AL257" s="77" t="str">
        <f>IF(AQ257="","",WORKDAY.INTL(AQ257,AO257*-1,1,Holidays[Date]))</f>
        <v/>
      </c>
      <c r="AM257" s="77" t="str">
        <f ca="1">IFERROR(IF(AN257="",WORKDAY.INTL(AH257,AK257,1,Holidays[Date]),AN257),"")</f>
        <v/>
      </c>
      <c r="AN257" s="78"/>
      <c r="AO257" s="80"/>
      <c r="AP257" s="68"/>
      <c r="AQ257" s="77" t="str">
        <f>IF(AV257="","",WORKDAY.INTL(AV257,AT257*-1,1,Holidays[Date]))</f>
        <v/>
      </c>
      <c r="AR257" s="77" t="str">
        <f ca="1">IFERROR(IF(AS257="",WORKDAY.INTL(AM257,AP257,1,Holidays[Date]),AS257),"")</f>
        <v/>
      </c>
      <c r="AS257" s="78"/>
      <c r="AT257" s="80"/>
      <c r="AU257" s="68"/>
      <c r="AV257" s="77" t="str">
        <f>IF(BA257="","",WORKDAY.INTL(BA257,AY257*-1,1,Holidays[Date]))</f>
        <v/>
      </c>
      <c r="AW257" s="77" t="str">
        <f ca="1">IFERROR(IF(AX257="",WORKDAY.INTL(AR257,AU257,1,Holidays[Date]),AX257),"")</f>
        <v/>
      </c>
      <c r="AX257" s="78"/>
      <c r="AY257" s="80"/>
      <c r="AZ257" s="68"/>
      <c r="BA257" s="77" t="str">
        <f>IF(BF257="","",WORKDAY.INTL(BF257,BD257*-1,1,Holidays[Date]))</f>
        <v/>
      </c>
      <c r="BB257" s="77" t="str">
        <f ca="1">IFERROR(IF(BC257="",WORKDAY.INTL(AW257,AZ257,1,Holidays[Date]),BC257),"")</f>
        <v/>
      </c>
      <c r="BC257" s="78"/>
      <c r="BD257" s="80"/>
      <c r="BE257" s="68"/>
      <c r="BF257" s="77" t="str">
        <f>IF(BK257="","",WORKDAY.INTL(BK257,BI257*-1,1,Holidays[Date]))</f>
        <v/>
      </c>
      <c r="BG257" s="77" t="str">
        <f ca="1">IFERROR(IF(BH257="",WORKDAY.INTL(BB257,BE257,1,Holidays[Date]),BH257),"")</f>
        <v/>
      </c>
      <c r="BH257" s="78"/>
      <c r="BI257" s="80"/>
      <c r="BJ257" s="68"/>
      <c r="BK257" s="77" t="str">
        <f>IF(BP257="","",WORKDAY.INTL(BP257,BN257*-1,1,Holidays[Date]))</f>
        <v/>
      </c>
      <c r="BL257" s="77" t="str">
        <f ca="1">IFERROR(IF(BM257="",WORKDAY.INTL(BG257,BJ257,1,Holidays[Date]),BM257),"")</f>
        <v/>
      </c>
      <c r="BM257" s="78"/>
      <c r="BN257" s="80"/>
      <c r="BO257" s="68"/>
      <c r="BP257" s="77" t="str">
        <f>IF(BU257="","",WORKDAY.INTL(BU257,BS257*-1,1,Holidays[Date]))</f>
        <v/>
      </c>
      <c r="BQ257" s="77" t="str">
        <f ca="1">IFERROR(IF(BR257="",WORKDAY.INTL(BL257,BO257,1,Holidays[Date]),BR257),"")</f>
        <v/>
      </c>
      <c r="BR257" s="78"/>
      <c r="BS257" s="80"/>
      <c r="BT257" s="68"/>
      <c r="BU257" s="77" t="str">
        <f>IF(BZ257="","",WORKDAY.INTL(BZ257,BX257*-1,1,Holidays[Date]))</f>
        <v/>
      </c>
      <c r="BV257" s="77" t="str">
        <f ca="1">IFERROR(IF(BW257="",WORKDAY.INTL(BQ257,BT257,1,Holidays[Date]),BW257),"")</f>
        <v/>
      </c>
      <c r="BW257" s="78"/>
      <c r="BX257" s="80"/>
      <c r="BY257" s="68"/>
      <c r="BZ257" s="81"/>
      <c r="CA257" s="77" t="str">
        <f ca="1">IFERROR(IF(CB257="",WORKDAY.INTL(BV257,BY257,1,Holidays[Date]),CB257),"")</f>
        <v/>
      </c>
      <c r="CB257" s="78"/>
    </row>
    <row r="258" spans="1:80" ht="19" customHeight="1" x14ac:dyDescent="0.35">
      <c r="A258" s="31"/>
      <c r="B258" s="82"/>
      <c r="C258" s="1"/>
      <c r="D258" s="8"/>
      <c r="E258" s="8"/>
      <c r="F258" s="8"/>
      <c r="G258" s="8"/>
      <c r="H258" s="8"/>
      <c r="I258" s="9"/>
      <c r="J258" s="8"/>
      <c r="K258" s="8"/>
      <c r="L258" s="8"/>
      <c r="M258" s="8"/>
      <c r="N258" s="8"/>
      <c r="O258" s="8"/>
      <c r="P258" s="8"/>
      <c r="Q258" s="2"/>
      <c r="R258" s="2"/>
      <c r="S258" s="88" t="str">
        <f>IF(tblProcRegister[[#This Row],[Award]]&lt;&gt;"",tblProcRegister[[#This Row],[Budget]]-tblProcRegister[[#This Row],[Award]],"")</f>
        <v/>
      </c>
      <c r="T258" s="68"/>
      <c r="U258" s="68"/>
      <c r="V258" s="68"/>
      <c r="W258" s="77" t="str">
        <f>IF(AB258="","",WORKDAY.INTL(AB258,Z258*-1,1,Holidays[Date]))</f>
        <v/>
      </c>
      <c r="X258" s="77" t="str">
        <f t="shared" ca="1" si="3"/>
        <v/>
      </c>
      <c r="Y258" s="78"/>
      <c r="Z258" s="79"/>
      <c r="AA258" s="68"/>
      <c r="AB258" s="77" t="str">
        <f>IF(AG258="","",WORKDAY.INTL(AG258,AE258*-1,1,Holidays[Date]))</f>
        <v/>
      </c>
      <c r="AC258" s="77" t="str">
        <f ca="1">IFERROR(IF(AD258="",WORKDAY.INTL(X258,AA258,1,Holidays[Date]),AD258),"")</f>
        <v/>
      </c>
      <c r="AD258" s="78"/>
      <c r="AE258" s="80"/>
      <c r="AF258" s="68"/>
      <c r="AG258" s="77" t="str">
        <f>IF(AL258="","",WORKDAY.INTL(AL258,AJ258*-1,1,Holidays[Date]))</f>
        <v/>
      </c>
      <c r="AH258" s="77" t="str">
        <f ca="1">IFERROR(IF(AI258="",WORKDAY.INTL(AC258,AF258,1,Holidays[Date]),AI258),"")</f>
        <v/>
      </c>
      <c r="AI258" s="78"/>
      <c r="AJ258" s="80"/>
      <c r="AK258" s="68"/>
      <c r="AL258" s="77" t="str">
        <f>IF(AQ258="","",WORKDAY.INTL(AQ258,AO258*-1,1,Holidays[Date]))</f>
        <v/>
      </c>
      <c r="AM258" s="77" t="str">
        <f ca="1">IFERROR(IF(AN258="",WORKDAY.INTL(AH258,AK258,1,Holidays[Date]),AN258),"")</f>
        <v/>
      </c>
      <c r="AN258" s="78"/>
      <c r="AO258" s="80"/>
      <c r="AP258" s="68"/>
      <c r="AQ258" s="77" t="str">
        <f>IF(AV258="","",WORKDAY.INTL(AV258,AT258*-1,1,Holidays[Date]))</f>
        <v/>
      </c>
      <c r="AR258" s="77" t="str">
        <f ca="1">IFERROR(IF(AS258="",WORKDAY.INTL(AM258,AP258,1,Holidays[Date]),AS258),"")</f>
        <v/>
      </c>
      <c r="AS258" s="78"/>
      <c r="AT258" s="80"/>
      <c r="AU258" s="68"/>
      <c r="AV258" s="77" t="str">
        <f>IF(BA258="","",WORKDAY.INTL(BA258,AY258*-1,1,Holidays[Date]))</f>
        <v/>
      </c>
      <c r="AW258" s="77" t="str">
        <f ca="1">IFERROR(IF(AX258="",WORKDAY.INTL(AR258,AU258,1,Holidays[Date]),AX258),"")</f>
        <v/>
      </c>
      <c r="AX258" s="78"/>
      <c r="AY258" s="80"/>
      <c r="AZ258" s="68"/>
      <c r="BA258" s="77" t="str">
        <f>IF(BF258="","",WORKDAY.INTL(BF258,BD258*-1,1,Holidays[Date]))</f>
        <v/>
      </c>
      <c r="BB258" s="77" t="str">
        <f ca="1">IFERROR(IF(BC258="",WORKDAY.INTL(AW258,AZ258,1,Holidays[Date]),BC258),"")</f>
        <v/>
      </c>
      <c r="BC258" s="78"/>
      <c r="BD258" s="80"/>
      <c r="BE258" s="68"/>
      <c r="BF258" s="77" t="str">
        <f>IF(BK258="","",WORKDAY.INTL(BK258,BI258*-1,1,Holidays[Date]))</f>
        <v/>
      </c>
      <c r="BG258" s="77" t="str">
        <f ca="1">IFERROR(IF(BH258="",WORKDAY.INTL(BB258,BE258,1,Holidays[Date]),BH258),"")</f>
        <v/>
      </c>
      <c r="BH258" s="78"/>
      <c r="BI258" s="80"/>
      <c r="BJ258" s="68"/>
      <c r="BK258" s="77" t="str">
        <f>IF(BP258="","",WORKDAY.INTL(BP258,BN258*-1,1,Holidays[Date]))</f>
        <v/>
      </c>
      <c r="BL258" s="77" t="str">
        <f ca="1">IFERROR(IF(BM258="",WORKDAY.INTL(BG258,BJ258,1,Holidays[Date]),BM258),"")</f>
        <v/>
      </c>
      <c r="BM258" s="78"/>
      <c r="BN258" s="80"/>
      <c r="BO258" s="68"/>
      <c r="BP258" s="77" t="str">
        <f>IF(BU258="","",WORKDAY.INTL(BU258,BS258*-1,1,Holidays[Date]))</f>
        <v/>
      </c>
      <c r="BQ258" s="77" t="str">
        <f ca="1">IFERROR(IF(BR258="",WORKDAY.INTL(BL258,BO258,1,Holidays[Date]),BR258),"")</f>
        <v/>
      </c>
      <c r="BR258" s="78"/>
      <c r="BS258" s="80"/>
      <c r="BT258" s="68"/>
      <c r="BU258" s="77" t="str">
        <f>IF(BZ258="","",WORKDAY.INTL(BZ258,BX258*-1,1,Holidays[Date]))</f>
        <v/>
      </c>
      <c r="BV258" s="77" t="str">
        <f ca="1">IFERROR(IF(BW258="",WORKDAY.INTL(BQ258,BT258,1,Holidays[Date]),BW258),"")</f>
        <v/>
      </c>
      <c r="BW258" s="78"/>
      <c r="BX258" s="80"/>
      <c r="BY258" s="68"/>
      <c r="BZ258" s="81"/>
      <c r="CA258" s="77" t="str">
        <f ca="1">IFERROR(IF(CB258="",WORKDAY.INTL(BV258,BY258,1,Holidays[Date]),CB258),"")</f>
        <v/>
      </c>
      <c r="CB258" s="78"/>
    </row>
    <row r="259" spans="1:80" ht="19" customHeight="1" x14ac:dyDescent="0.35">
      <c r="A259" s="31"/>
      <c r="B259" s="82"/>
      <c r="C259" s="1"/>
      <c r="D259" s="8"/>
      <c r="E259" s="8"/>
      <c r="F259" s="8"/>
      <c r="G259" s="8"/>
      <c r="H259" s="8"/>
      <c r="I259" s="9"/>
      <c r="J259" s="8"/>
      <c r="K259" s="8"/>
      <c r="L259" s="8"/>
      <c r="M259" s="8"/>
      <c r="N259" s="8"/>
      <c r="O259" s="8"/>
      <c r="P259" s="8"/>
      <c r="Q259" s="2"/>
      <c r="R259" s="2"/>
      <c r="S259" s="88" t="str">
        <f>IF(tblProcRegister[[#This Row],[Award]]&lt;&gt;"",tblProcRegister[[#This Row],[Budget]]-tblProcRegister[[#This Row],[Award]],"")</f>
        <v/>
      </c>
      <c r="T259" s="68"/>
      <c r="U259" s="68"/>
      <c r="V259" s="68"/>
      <c r="W259" s="77" t="str">
        <f>IF(AB259="","",WORKDAY.INTL(AB259,Z259*-1,1,Holidays[Date]))</f>
        <v/>
      </c>
      <c r="X259" s="77" t="str">
        <f t="shared" ca="1" si="3"/>
        <v/>
      </c>
      <c r="Y259" s="78"/>
      <c r="Z259" s="79"/>
      <c r="AA259" s="68"/>
      <c r="AB259" s="77" t="str">
        <f>IF(AG259="","",WORKDAY.INTL(AG259,AE259*-1,1,Holidays[Date]))</f>
        <v/>
      </c>
      <c r="AC259" s="77" t="str">
        <f ca="1">IFERROR(IF(AD259="",WORKDAY.INTL(X259,AA259,1,Holidays[Date]),AD259),"")</f>
        <v/>
      </c>
      <c r="AD259" s="78"/>
      <c r="AE259" s="80"/>
      <c r="AF259" s="68"/>
      <c r="AG259" s="77" t="str">
        <f>IF(AL259="","",WORKDAY.INTL(AL259,AJ259*-1,1,Holidays[Date]))</f>
        <v/>
      </c>
      <c r="AH259" s="77" t="str">
        <f ca="1">IFERROR(IF(AI259="",WORKDAY.INTL(AC259,AF259,1,Holidays[Date]),AI259),"")</f>
        <v/>
      </c>
      <c r="AI259" s="78"/>
      <c r="AJ259" s="80"/>
      <c r="AK259" s="68"/>
      <c r="AL259" s="77" t="str">
        <f>IF(AQ259="","",WORKDAY.INTL(AQ259,AO259*-1,1,Holidays[Date]))</f>
        <v/>
      </c>
      <c r="AM259" s="77" t="str">
        <f ca="1">IFERROR(IF(AN259="",WORKDAY.INTL(AH259,AK259,1,Holidays[Date]),AN259),"")</f>
        <v/>
      </c>
      <c r="AN259" s="78"/>
      <c r="AO259" s="80"/>
      <c r="AP259" s="68"/>
      <c r="AQ259" s="77" t="str">
        <f>IF(AV259="","",WORKDAY.INTL(AV259,AT259*-1,1,Holidays[Date]))</f>
        <v/>
      </c>
      <c r="AR259" s="77" t="str">
        <f ca="1">IFERROR(IF(AS259="",WORKDAY.INTL(AM259,AP259,1,Holidays[Date]),AS259),"")</f>
        <v/>
      </c>
      <c r="AS259" s="78"/>
      <c r="AT259" s="80"/>
      <c r="AU259" s="68"/>
      <c r="AV259" s="77" t="str">
        <f>IF(BA259="","",WORKDAY.INTL(BA259,AY259*-1,1,Holidays[Date]))</f>
        <v/>
      </c>
      <c r="AW259" s="77" t="str">
        <f ca="1">IFERROR(IF(AX259="",WORKDAY.INTL(AR259,AU259,1,Holidays[Date]),AX259),"")</f>
        <v/>
      </c>
      <c r="AX259" s="78"/>
      <c r="AY259" s="80"/>
      <c r="AZ259" s="68"/>
      <c r="BA259" s="77" t="str">
        <f>IF(BF259="","",WORKDAY.INTL(BF259,BD259*-1,1,Holidays[Date]))</f>
        <v/>
      </c>
      <c r="BB259" s="77" t="str">
        <f ca="1">IFERROR(IF(BC259="",WORKDAY.INTL(AW259,AZ259,1,Holidays[Date]),BC259),"")</f>
        <v/>
      </c>
      <c r="BC259" s="78"/>
      <c r="BD259" s="80"/>
      <c r="BE259" s="68"/>
      <c r="BF259" s="77" t="str">
        <f>IF(BK259="","",WORKDAY.INTL(BK259,BI259*-1,1,Holidays[Date]))</f>
        <v/>
      </c>
      <c r="BG259" s="77" t="str">
        <f ca="1">IFERROR(IF(BH259="",WORKDAY.INTL(BB259,BE259,1,Holidays[Date]),BH259),"")</f>
        <v/>
      </c>
      <c r="BH259" s="78"/>
      <c r="BI259" s="80"/>
      <c r="BJ259" s="68"/>
      <c r="BK259" s="77" t="str">
        <f>IF(BP259="","",WORKDAY.INTL(BP259,BN259*-1,1,Holidays[Date]))</f>
        <v/>
      </c>
      <c r="BL259" s="77" t="str">
        <f ca="1">IFERROR(IF(BM259="",WORKDAY.INTL(BG259,BJ259,1,Holidays[Date]),BM259),"")</f>
        <v/>
      </c>
      <c r="BM259" s="78"/>
      <c r="BN259" s="80"/>
      <c r="BO259" s="68"/>
      <c r="BP259" s="77" t="str">
        <f>IF(BU259="","",WORKDAY.INTL(BU259,BS259*-1,1,Holidays[Date]))</f>
        <v/>
      </c>
      <c r="BQ259" s="77" t="str">
        <f ca="1">IFERROR(IF(BR259="",WORKDAY.INTL(BL259,BO259,1,Holidays[Date]),BR259),"")</f>
        <v/>
      </c>
      <c r="BR259" s="78"/>
      <c r="BS259" s="80"/>
      <c r="BT259" s="68"/>
      <c r="BU259" s="77" t="str">
        <f>IF(BZ259="","",WORKDAY.INTL(BZ259,BX259*-1,1,Holidays[Date]))</f>
        <v/>
      </c>
      <c r="BV259" s="77" t="str">
        <f ca="1">IFERROR(IF(BW259="",WORKDAY.INTL(BQ259,BT259,1,Holidays[Date]),BW259),"")</f>
        <v/>
      </c>
      <c r="BW259" s="78"/>
      <c r="BX259" s="80"/>
      <c r="BY259" s="68"/>
      <c r="BZ259" s="81"/>
      <c r="CA259" s="77" t="str">
        <f ca="1">IFERROR(IF(CB259="",WORKDAY.INTL(BV259,BY259,1,Holidays[Date]),CB259),"")</f>
        <v/>
      </c>
      <c r="CB259" s="78"/>
    </row>
    <row r="260" spans="1:80" ht="19" customHeight="1" x14ac:dyDescent="0.35">
      <c r="A260" s="31"/>
      <c r="B260" s="82"/>
      <c r="C260" s="1"/>
      <c r="D260" s="8"/>
      <c r="E260" s="8"/>
      <c r="F260" s="8"/>
      <c r="G260" s="8"/>
      <c r="H260" s="8"/>
      <c r="I260" s="9"/>
      <c r="J260" s="8"/>
      <c r="K260" s="8"/>
      <c r="L260" s="8"/>
      <c r="M260" s="8"/>
      <c r="N260" s="8"/>
      <c r="O260" s="8"/>
      <c r="P260" s="8"/>
      <c r="Q260" s="2"/>
      <c r="R260" s="2"/>
      <c r="S260" s="88" t="str">
        <f>IF(tblProcRegister[[#This Row],[Award]]&lt;&gt;"",tblProcRegister[[#This Row],[Budget]]-tblProcRegister[[#This Row],[Award]],"")</f>
        <v/>
      </c>
      <c r="T260" s="68"/>
      <c r="U260" s="68"/>
      <c r="V260" s="68"/>
      <c r="W260" s="77" t="str">
        <f>IF(AB260="","",WORKDAY.INTL(AB260,Z260*-1,1,Holidays[Date]))</f>
        <v/>
      </c>
      <c r="X260" s="77" t="str">
        <f t="shared" ca="1" si="3"/>
        <v/>
      </c>
      <c r="Y260" s="78"/>
      <c r="Z260" s="79"/>
      <c r="AA260" s="68"/>
      <c r="AB260" s="77" t="str">
        <f>IF(AG260="","",WORKDAY.INTL(AG260,AE260*-1,1,Holidays[Date]))</f>
        <v/>
      </c>
      <c r="AC260" s="77" t="str">
        <f ca="1">IFERROR(IF(AD260="",WORKDAY.INTL(X260,AA260,1,Holidays[Date]),AD260),"")</f>
        <v/>
      </c>
      <c r="AD260" s="78"/>
      <c r="AE260" s="80"/>
      <c r="AF260" s="68"/>
      <c r="AG260" s="77" t="str">
        <f>IF(AL260="","",WORKDAY.INTL(AL260,AJ260*-1,1,Holidays[Date]))</f>
        <v/>
      </c>
      <c r="AH260" s="77" t="str">
        <f ca="1">IFERROR(IF(AI260="",WORKDAY.INTL(AC260,AF260,1,Holidays[Date]),AI260),"")</f>
        <v/>
      </c>
      <c r="AI260" s="78"/>
      <c r="AJ260" s="80"/>
      <c r="AK260" s="68"/>
      <c r="AL260" s="77" t="str">
        <f>IF(AQ260="","",WORKDAY.INTL(AQ260,AO260*-1,1,Holidays[Date]))</f>
        <v/>
      </c>
      <c r="AM260" s="77" t="str">
        <f ca="1">IFERROR(IF(AN260="",WORKDAY.INTL(AH260,AK260,1,Holidays[Date]),AN260),"")</f>
        <v/>
      </c>
      <c r="AN260" s="78"/>
      <c r="AO260" s="80"/>
      <c r="AP260" s="68"/>
      <c r="AQ260" s="77" t="str">
        <f>IF(AV260="","",WORKDAY.INTL(AV260,AT260*-1,1,Holidays[Date]))</f>
        <v/>
      </c>
      <c r="AR260" s="77" t="str">
        <f ca="1">IFERROR(IF(AS260="",WORKDAY.INTL(AM260,AP260,1,Holidays[Date]),AS260),"")</f>
        <v/>
      </c>
      <c r="AS260" s="78"/>
      <c r="AT260" s="80"/>
      <c r="AU260" s="68"/>
      <c r="AV260" s="77" t="str">
        <f>IF(BA260="","",WORKDAY.INTL(BA260,AY260*-1,1,Holidays[Date]))</f>
        <v/>
      </c>
      <c r="AW260" s="77" t="str">
        <f ca="1">IFERROR(IF(AX260="",WORKDAY.INTL(AR260,AU260,1,Holidays[Date]),AX260),"")</f>
        <v/>
      </c>
      <c r="AX260" s="78"/>
      <c r="AY260" s="80"/>
      <c r="AZ260" s="68"/>
      <c r="BA260" s="77" t="str">
        <f>IF(BF260="","",WORKDAY.INTL(BF260,BD260*-1,1,Holidays[Date]))</f>
        <v/>
      </c>
      <c r="BB260" s="77" t="str">
        <f ca="1">IFERROR(IF(BC260="",WORKDAY.INTL(AW260,AZ260,1,Holidays[Date]),BC260),"")</f>
        <v/>
      </c>
      <c r="BC260" s="78"/>
      <c r="BD260" s="80"/>
      <c r="BE260" s="68"/>
      <c r="BF260" s="77" t="str">
        <f>IF(BK260="","",WORKDAY.INTL(BK260,BI260*-1,1,Holidays[Date]))</f>
        <v/>
      </c>
      <c r="BG260" s="77" t="str">
        <f ca="1">IFERROR(IF(BH260="",WORKDAY.INTL(BB260,BE260,1,Holidays[Date]),BH260),"")</f>
        <v/>
      </c>
      <c r="BH260" s="78"/>
      <c r="BI260" s="80"/>
      <c r="BJ260" s="68"/>
      <c r="BK260" s="77" t="str">
        <f>IF(BP260="","",WORKDAY.INTL(BP260,BN260*-1,1,Holidays[Date]))</f>
        <v/>
      </c>
      <c r="BL260" s="77" t="str">
        <f ca="1">IFERROR(IF(BM260="",WORKDAY.INTL(BG260,BJ260,1,Holidays[Date]),BM260),"")</f>
        <v/>
      </c>
      <c r="BM260" s="78"/>
      <c r="BN260" s="80"/>
      <c r="BO260" s="68"/>
      <c r="BP260" s="77" t="str">
        <f>IF(BU260="","",WORKDAY.INTL(BU260,BS260*-1,1,Holidays[Date]))</f>
        <v/>
      </c>
      <c r="BQ260" s="77" t="str">
        <f ca="1">IFERROR(IF(BR260="",WORKDAY.INTL(BL260,BO260,1,Holidays[Date]),BR260),"")</f>
        <v/>
      </c>
      <c r="BR260" s="78"/>
      <c r="BS260" s="80"/>
      <c r="BT260" s="68"/>
      <c r="BU260" s="77" t="str">
        <f>IF(BZ260="","",WORKDAY.INTL(BZ260,BX260*-1,1,Holidays[Date]))</f>
        <v/>
      </c>
      <c r="BV260" s="77" t="str">
        <f ca="1">IFERROR(IF(BW260="",WORKDAY.INTL(BQ260,BT260,1,Holidays[Date]),BW260),"")</f>
        <v/>
      </c>
      <c r="BW260" s="78"/>
      <c r="BX260" s="80"/>
      <c r="BY260" s="68"/>
      <c r="BZ260" s="81"/>
      <c r="CA260" s="77" t="str">
        <f ca="1">IFERROR(IF(CB260="",WORKDAY.INTL(BV260,BY260,1,Holidays[Date]),CB260),"")</f>
        <v/>
      </c>
      <c r="CB260" s="78"/>
    </row>
    <row r="261" spans="1:80" ht="19" customHeight="1" x14ac:dyDescent="0.35">
      <c r="A261" s="31"/>
      <c r="B261" s="82"/>
      <c r="C261" s="1"/>
      <c r="D261" s="8"/>
      <c r="E261" s="8"/>
      <c r="F261" s="8"/>
      <c r="G261" s="8"/>
      <c r="H261" s="8"/>
      <c r="I261" s="9"/>
      <c r="J261" s="8"/>
      <c r="K261" s="8"/>
      <c r="L261" s="8"/>
      <c r="M261" s="8"/>
      <c r="N261" s="8"/>
      <c r="O261" s="8"/>
      <c r="P261" s="8"/>
      <c r="Q261" s="2"/>
      <c r="R261" s="2"/>
      <c r="S261" s="88" t="str">
        <f>IF(tblProcRegister[[#This Row],[Award]]&lt;&gt;"",tblProcRegister[[#This Row],[Budget]]-tblProcRegister[[#This Row],[Award]],"")</f>
        <v/>
      </c>
      <c r="T261" s="68"/>
      <c r="U261" s="68"/>
      <c r="V261" s="68"/>
      <c r="W261" s="77" t="str">
        <f>IF(AB261="","",WORKDAY.INTL(AB261,Z261*-1,1,Holidays[Date]))</f>
        <v/>
      </c>
      <c r="X261" s="77" t="str">
        <f t="shared" ca="1" si="3"/>
        <v/>
      </c>
      <c r="Y261" s="78"/>
      <c r="Z261" s="79"/>
      <c r="AA261" s="68"/>
      <c r="AB261" s="77" t="str">
        <f>IF(AG261="","",WORKDAY.INTL(AG261,AE261*-1,1,Holidays[Date]))</f>
        <v/>
      </c>
      <c r="AC261" s="77" t="str">
        <f ca="1">IFERROR(IF(AD261="",WORKDAY.INTL(X261,AA261,1,Holidays[Date]),AD261),"")</f>
        <v/>
      </c>
      <c r="AD261" s="78"/>
      <c r="AE261" s="80"/>
      <c r="AF261" s="68"/>
      <c r="AG261" s="77" t="str">
        <f>IF(AL261="","",WORKDAY.INTL(AL261,AJ261*-1,1,Holidays[Date]))</f>
        <v/>
      </c>
      <c r="AH261" s="77" t="str">
        <f ca="1">IFERROR(IF(AI261="",WORKDAY.INTL(AC261,AF261,1,Holidays[Date]),AI261),"")</f>
        <v/>
      </c>
      <c r="AI261" s="78"/>
      <c r="AJ261" s="80"/>
      <c r="AK261" s="68"/>
      <c r="AL261" s="77" t="str">
        <f>IF(AQ261="","",WORKDAY.INTL(AQ261,AO261*-1,1,Holidays[Date]))</f>
        <v/>
      </c>
      <c r="AM261" s="77" t="str">
        <f ca="1">IFERROR(IF(AN261="",WORKDAY.INTL(AH261,AK261,1,Holidays[Date]),AN261),"")</f>
        <v/>
      </c>
      <c r="AN261" s="78"/>
      <c r="AO261" s="80"/>
      <c r="AP261" s="68"/>
      <c r="AQ261" s="77" t="str">
        <f>IF(AV261="","",WORKDAY.INTL(AV261,AT261*-1,1,Holidays[Date]))</f>
        <v/>
      </c>
      <c r="AR261" s="77" t="str">
        <f ca="1">IFERROR(IF(AS261="",WORKDAY.INTL(AM261,AP261,1,Holidays[Date]),AS261),"")</f>
        <v/>
      </c>
      <c r="AS261" s="78"/>
      <c r="AT261" s="80"/>
      <c r="AU261" s="68"/>
      <c r="AV261" s="77" t="str">
        <f>IF(BA261="","",WORKDAY.INTL(BA261,AY261*-1,1,Holidays[Date]))</f>
        <v/>
      </c>
      <c r="AW261" s="77" t="str">
        <f ca="1">IFERROR(IF(AX261="",WORKDAY.INTL(AR261,AU261,1,Holidays[Date]),AX261),"")</f>
        <v/>
      </c>
      <c r="AX261" s="78"/>
      <c r="AY261" s="80"/>
      <c r="AZ261" s="68"/>
      <c r="BA261" s="77" t="str">
        <f>IF(BF261="","",WORKDAY.INTL(BF261,BD261*-1,1,Holidays[Date]))</f>
        <v/>
      </c>
      <c r="BB261" s="77" t="str">
        <f ca="1">IFERROR(IF(BC261="",WORKDAY.INTL(AW261,AZ261,1,Holidays[Date]),BC261),"")</f>
        <v/>
      </c>
      <c r="BC261" s="78"/>
      <c r="BD261" s="80"/>
      <c r="BE261" s="68"/>
      <c r="BF261" s="77" t="str">
        <f>IF(BK261="","",WORKDAY.INTL(BK261,BI261*-1,1,Holidays[Date]))</f>
        <v/>
      </c>
      <c r="BG261" s="77" t="str">
        <f ca="1">IFERROR(IF(BH261="",WORKDAY.INTL(BB261,BE261,1,Holidays[Date]),BH261),"")</f>
        <v/>
      </c>
      <c r="BH261" s="78"/>
      <c r="BI261" s="80"/>
      <c r="BJ261" s="68"/>
      <c r="BK261" s="77" t="str">
        <f>IF(BP261="","",WORKDAY.INTL(BP261,BN261*-1,1,Holidays[Date]))</f>
        <v/>
      </c>
      <c r="BL261" s="77" t="str">
        <f ca="1">IFERROR(IF(BM261="",WORKDAY.INTL(BG261,BJ261,1,Holidays[Date]),BM261),"")</f>
        <v/>
      </c>
      <c r="BM261" s="78"/>
      <c r="BN261" s="80"/>
      <c r="BO261" s="68"/>
      <c r="BP261" s="77" t="str">
        <f>IF(BU261="","",WORKDAY.INTL(BU261,BS261*-1,1,Holidays[Date]))</f>
        <v/>
      </c>
      <c r="BQ261" s="77" t="str">
        <f ca="1">IFERROR(IF(BR261="",WORKDAY.INTL(BL261,BO261,1,Holidays[Date]),BR261),"")</f>
        <v/>
      </c>
      <c r="BR261" s="78"/>
      <c r="BS261" s="80"/>
      <c r="BT261" s="68"/>
      <c r="BU261" s="77" t="str">
        <f>IF(BZ261="","",WORKDAY.INTL(BZ261,BX261*-1,1,Holidays[Date]))</f>
        <v/>
      </c>
      <c r="BV261" s="77" t="str">
        <f ca="1">IFERROR(IF(BW261="",WORKDAY.INTL(BQ261,BT261,1,Holidays[Date]),BW261),"")</f>
        <v/>
      </c>
      <c r="BW261" s="78"/>
      <c r="BX261" s="80"/>
      <c r="BY261" s="68"/>
      <c r="BZ261" s="81"/>
      <c r="CA261" s="77" t="str">
        <f ca="1">IFERROR(IF(CB261="",WORKDAY.INTL(BV261,BY261,1,Holidays[Date]),CB261),"")</f>
        <v/>
      </c>
      <c r="CB261" s="78"/>
    </row>
    <row r="262" spans="1:80" ht="19" customHeight="1" x14ac:dyDescent="0.35">
      <c r="A262" s="31"/>
      <c r="B262" s="82"/>
      <c r="C262" s="1"/>
      <c r="D262" s="8"/>
      <c r="E262" s="8"/>
      <c r="F262" s="8"/>
      <c r="G262" s="8"/>
      <c r="H262" s="8"/>
      <c r="I262" s="9"/>
      <c r="J262" s="8"/>
      <c r="K262" s="8"/>
      <c r="L262" s="8"/>
      <c r="M262" s="8"/>
      <c r="N262" s="8"/>
      <c r="O262" s="8"/>
      <c r="P262" s="8"/>
      <c r="Q262" s="2"/>
      <c r="R262" s="2"/>
      <c r="S262" s="88" t="str">
        <f>IF(tblProcRegister[[#This Row],[Award]]&lt;&gt;"",tblProcRegister[[#This Row],[Budget]]-tblProcRegister[[#This Row],[Award]],"")</f>
        <v/>
      </c>
      <c r="T262" s="68"/>
      <c r="U262" s="68"/>
      <c r="V262" s="68"/>
      <c r="W262" s="77" t="str">
        <f>IF(AB262="","",WORKDAY.INTL(AB262,Z262*-1,1,Holidays[Date]))</f>
        <v/>
      </c>
      <c r="X262" s="77" t="str">
        <f t="shared" ca="1" si="3"/>
        <v/>
      </c>
      <c r="Y262" s="78"/>
      <c r="Z262" s="79"/>
      <c r="AA262" s="68"/>
      <c r="AB262" s="77" t="str">
        <f>IF(AG262="","",WORKDAY.INTL(AG262,AE262*-1,1,Holidays[Date]))</f>
        <v/>
      </c>
      <c r="AC262" s="77" t="str">
        <f ca="1">IFERROR(IF(AD262="",WORKDAY.INTL(X262,AA262,1,Holidays[Date]),AD262),"")</f>
        <v/>
      </c>
      <c r="AD262" s="78"/>
      <c r="AE262" s="80"/>
      <c r="AF262" s="68"/>
      <c r="AG262" s="77" t="str">
        <f>IF(AL262="","",WORKDAY.INTL(AL262,AJ262*-1,1,Holidays[Date]))</f>
        <v/>
      </c>
      <c r="AH262" s="77" t="str">
        <f ca="1">IFERROR(IF(AI262="",WORKDAY.INTL(AC262,AF262,1,Holidays[Date]),AI262),"")</f>
        <v/>
      </c>
      <c r="AI262" s="78"/>
      <c r="AJ262" s="80"/>
      <c r="AK262" s="68"/>
      <c r="AL262" s="77" t="str">
        <f>IF(AQ262="","",WORKDAY.INTL(AQ262,AO262*-1,1,Holidays[Date]))</f>
        <v/>
      </c>
      <c r="AM262" s="77" t="str">
        <f ca="1">IFERROR(IF(AN262="",WORKDAY.INTL(AH262,AK262,1,Holidays[Date]),AN262),"")</f>
        <v/>
      </c>
      <c r="AN262" s="78"/>
      <c r="AO262" s="80"/>
      <c r="AP262" s="68"/>
      <c r="AQ262" s="77" t="str">
        <f>IF(AV262="","",WORKDAY.INTL(AV262,AT262*-1,1,Holidays[Date]))</f>
        <v/>
      </c>
      <c r="AR262" s="77" t="str">
        <f ca="1">IFERROR(IF(AS262="",WORKDAY.INTL(AM262,AP262,1,Holidays[Date]),AS262),"")</f>
        <v/>
      </c>
      <c r="AS262" s="78"/>
      <c r="AT262" s="80"/>
      <c r="AU262" s="68"/>
      <c r="AV262" s="77" t="str">
        <f>IF(BA262="","",WORKDAY.INTL(BA262,AY262*-1,1,Holidays[Date]))</f>
        <v/>
      </c>
      <c r="AW262" s="77" t="str">
        <f ca="1">IFERROR(IF(AX262="",WORKDAY.INTL(AR262,AU262,1,Holidays[Date]),AX262),"")</f>
        <v/>
      </c>
      <c r="AX262" s="78"/>
      <c r="AY262" s="80"/>
      <c r="AZ262" s="68"/>
      <c r="BA262" s="77" t="str">
        <f>IF(BF262="","",WORKDAY.INTL(BF262,BD262*-1,1,Holidays[Date]))</f>
        <v/>
      </c>
      <c r="BB262" s="77" t="str">
        <f ca="1">IFERROR(IF(BC262="",WORKDAY.INTL(AW262,AZ262,1,Holidays[Date]),BC262),"")</f>
        <v/>
      </c>
      <c r="BC262" s="78"/>
      <c r="BD262" s="80"/>
      <c r="BE262" s="68"/>
      <c r="BF262" s="77" t="str">
        <f>IF(BK262="","",WORKDAY.INTL(BK262,BI262*-1,1,Holidays[Date]))</f>
        <v/>
      </c>
      <c r="BG262" s="77" t="str">
        <f ca="1">IFERROR(IF(BH262="",WORKDAY.INTL(BB262,BE262,1,Holidays[Date]),BH262),"")</f>
        <v/>
      </c>
      <c r="BH262" s="78"/>
      <c r="BI262" s="80"/>
      <c r="BJ262" s="68"/>
      <c r="BK262" s="77" t="str">
        <f>IF(BP262="","",WORKDAY.INTL(BP262,BN262*-1,1,Holidays[Date]))</f>
        <v/>
      </c>
      <c r="BL262" s="77" t="str">
        <f ca="1">IFERROR(IF(BM262="",WORKDAY.INTL(BG262,BJ262,1,Holidays[Date]),BM262),"")</f>
        <v/>
      </c>
      <c r="BM262" s="78"/>
      <c r="BN262" s="80"/>
      <c r="BO262" s="68"/>
      <c r="BP262" s="77" t="str">
        <f>IF(BU262="","",WORKDAY.INTL(BU262,BS262*-1,1,Holidays[Date]))</f>
        <v/>
      </c>
      <c r="BQ262" s="77" t="str">
        <f ca="1">IFERROR(IF(BR262="",WORKDAY.INTL(BL262,BO262,1,Holidays[Date]),BR262),"")</f>
        <v/>
      </c>
      <c r="BR262" s="78"/>
      <c r="BS262" s="80"/>
      <c r="BT262" s="68"/>
      <c r="BU262" s="77" t="str">
        <f>IF(BZ262="","",WORKDAY.INTL(BZ262,BX262*-1,1,Holidays[Date]))</f>
        <v/>
      </c>
      <c r="BV262" s="77" t="str">
        <f ca="1">IFERROR(IF(BW262="",WORKDAY.INTL(BQ262,BT262,1,Holidays[Date]),BW262),"")</f>
        <v/>
      </c>
      <c r="BW262" s="78"/>
      <c r="BX262" s="80"/>
      <c r="BY262" s="68"/>
      <c r="BZ262" s="81"/>
      <c r="CA262" s="77" t="str">
        <f ca="1">IFERROR(IF(CB262="",WORKDAY.INTL(BV262,BY262,1,Holidays[Date]),CB262),"")</f>
        <v/>
      </c>
      <c r="CB262" s="78"/>
    </row>
    <row r="263" spans="1:80" ht="19" customHeight="1" x14ac:dyDescent="0.35">
      <c r="A263" s="31"/>
      <c r="B263" s="82"/>
      <c r="C263" s="1"/>
      <c r="D263" s="8"/>
      <c r="E263" s="8"/>
      <c r="F263" s="8"/>
      <c r="G263" s="8"/>
      <c r="H263" s="8"/>
      <c r="I263" s="9"/>
      <c r="J263" s="8"/>
      <c r="K263" s="8"/>
      <c r="L263" s="8"/>
      <c r="M263" s="8"/>
      <c r="N263" s="8"/>
      <c r="O263" s="8"/>
      <c r="P263" s="8"/>
      <c r="Q263" s="2"/>
      <c r="R263" s="2"/>
      <c r="S263" s="88" t="str">
        <f>IF(tblProcRegister[[#This Row],[Award]]&lt;&gt;"",tblProcRegister[[#This Row],[Budget]]-tblProcRegister[[#This Row],[Award]],"")</f>
        <v/>
      </c>
      <c r="T263" s="68"/>
      <c r="U263" s="68"/>
      <c r="V263" s="68"/>
      <c r="W263" s="77" t="str">
        <f>IF(AB263="","",WORKDAY.INTL(AB263,Z263*-1,1,Holidays[Date]))</f>
        <v/>
      </c>
      <c r="X263" s="77" t="str">
        <f t="shared" ca="1" si="3"/>
        <v/>
      </c>
      <c r="Y263" s="78"/>
      <c r="Z263" s="79"/>
      <c r="AA263" s="68"/>
      <c r="AB263" s="77" t="str">
        <f>IF(AG263="","",WORKDAY.INTL(AG263,AE263*-1,1,Holidays[Date]))</f>
        <v/>
      </c>
      <c r="AC263" s="77" t="str">
        <f ca="1">IFERROR(IF(AD263="",WORKDAY.INTL(X263,AA263,1,Holidays[Date]),AD263),"")</f>
        <v/>
      </c>
      <c r="AD263" s="78"/>
      <c r="AE263" s="80"/>
      <c r="AF263" s="68"/>
      <c r="AG263" s="77" t="str">
        <f>IF(AL263="","",WORKDAY.INTL(AL263,AJ263*-1,1,Holidays[Date]))</f>
        <v/>
      </c>
      <c r="AH263" s="77" t="str">
        <f ca="1">IFERROR(IF(AI263="",WORKDAY.INTL(AC263,AF263,1,Holidays[Date]),AI263),"")</f>
        <v/>
      </c>
      <c r="AI263" s="78"/>
      <c r="AJ263" s="80"/>
      <c r="AK263" s="68"/>
      <c r="AL263" s="77" t="str">
        <f>IF(AQ263="","",WORKDAY.INTL(AQ263,AO263*-1,1,Holidays[Date]))</f>
        <v/>
      </c>
      <c r="AM263" s="77" t="str">
        <f ca="1">IFERROR(IF(AN263="",WORKDAY.INTL(AH263,AK263,1,Holidays[Date]),AN263),"")</f>
        <v/>
      </c>
      <c r="AN263" s="78"/>
      <c r="AO263" s="80"/>
      <c r="AP263" s="68"/>
      <c r="AQ263" s="77" t="str">
        <f>IF(AV263="","",WORKDAY.INTL(AV263,AT263*-1,1,Holidays[Date]))</f>
        <v/>
      </c>
      <c r="AR263" s="77" t="str">
        <f ca="1">IFERROR(IF(AS263="",WORKDAY.INTL(AM263,AP263,1,Holidays[Date]),AS263),"")</f>
        <v/>
      </c>
      <c r="AS263" s="78"/>
      <c r="AT263" s="80"/>
      <c r="AU263" s="68"/>
      <c r="AV263" s="77" t="str">
        <f>IF(BA263="","",WORKDAY.INTL(BA263,AY263*-1,1,Holidays[Date]))</f>
        <v/>
      </c>
      <c r="AW263" s="77" t="str">
        <f ca="1">IFERROR(IF(AX263="",WORKDAY.INTL(AR263,AU263,1,Holidays[Date]),AX263),"")</f>
        <v/>
      </c>
      <c r="AX263" s="78"/>
      <c r="AY263" s="80"/>
      <c r="AZ263" s="68"/>
      <c r="BA263" s="77" t="str">
        <f>IF(BF263="","",WORKDAY.INTL(BF263,BD263*-1,1,Holidays[Date]))</f>
        <v/>
      </c>
      <c r="BB263" s="77" t="str">
        <f ca="1">IFERROR(IF(BC263="",WORKDAY.INTL(AW263,AZ263,1,Holidays[Date]),BC263),"")</f>
        <v/>
      </c>
      <c r="BC263" s="78"/>
      <c r="BD263" s="80"/>
      <c r="BE263" s="68"/>
      <c r="BF263" s="77" t="str">
        <f>IF(BK263="","",WORKDAY.INTL(BK263,BI263*-1,1,Holidays[Date]))</f>
        <v/>
      </c>
      <c r="BG263" s="77" t="str">
        <f ca="1">IFERROR(IF(BH263="",WORKDAY.INTL(BB263,BE263,1,Holidays[Date]),BH263),"")</f>
        <v/>
      </c>
      <c r="BH263" s="78"/>
      <c r="BI263" s="80"/>
      <c r="BJ263" s="68"/>
      <c r="BK263" s="77" t="str">
        <f>IF(BP263="","",WORKDAY.INTL(BP263,BN263*-1,1,Holidays[Date]))</f>
        <v/>
      </c>
      <c r="BL263" s="77" t="str">
        <f ca="1">IFERROR(IF(BM263="",WORKDAY.INTL(BG263,BJ263,1,Holidays[Date]),BM263),"")</f>
        <v/>
      </c>
      <c r="BM263" s="78"/>
      <c r="BN263" s="80"/>
      <c r="BO263" s="68"/>
      <c r="BP263" s="77" t="str">
        <f>IF(BU263="","",WORKDAY.INTL(BU263,BS263*-1,1,Holidays[Date]))</f>
        <v/>
      </c>
      <c r="BQ263" s="77" t="str">
        <f ca="1">IFERROR(IF(BR263="",WORKDAY.INTL(BL263,BO263,1,Holidays[Date]),BR263),"")</f>
        <v/>
      </c>
      <c r="BR263" s="78"/>
      <c r="BS263" s="80"/>
      <c r="BT263" s="68"/>
      <c r="BU263" s="77" t="str">
        <f>IF(BZ263="","",WORKDAY.INTL(BZ263,BX263*-1,1,Holidays[Date]))</f>
        <v/>
      </c>
      <c r="BV263" s="77" t="str">
        <f ca="1">IFERROR(IF(BW263="",WORKDAY.INTL(BQ263,BT263,1,Holidays[Date]),BW263),"")</f>
        <v/>
      </c>
      <c r="BW263" s="78"/>
      <c r="BX263" s="80"/>
      <c r="BY263" s="68"/>
      <c r="BZ263" s="81"/>
      <c r="CA263" s="77" t="str">
        <f ca="1">IFERROR(IF(CB263="",WORKDAY.INTL(BV263,BY263,1,Holidays[Date]),CB263),"")</f>
        <v/>
      </c>
      <c r="CB263" s="78"/>
    </row>
    <row r="264" spans="1:80" ht="19" customHeight="1" x14ac:dyDescent="0.35">
      <c r="A264" s="31"/>
      <c r="B264" s="82"/>
      <c r="C264" s="1"/>
      <c r="D264" s="8"/>
      <c r="E264" s="8"/>
      <c r="F264" s="8"/>
      <c r="G264" s="8"/>
      <c r="H264" s="8"/>
      <c r="I264" s="9"/>
      <c r="J264" s="8"/>
      <c r="K264" s="8"/>
      <c r="L264" s="8"/>
      <c r="M264" s="8"/>
      <c r="N264" s="8"/>
      <c r="O264" s="8"/>
      <c r="P264" s="8"/>
      <c r="Q264" s="2"/>
      <c r="R264" s="2"/>
      <c r="S264" s="88" t="str">
        <f>IF(tblProcRegister[[#This Row],[Award]]&lt;&gt;"",tblProcRegister[[#This Row],[Budget]]-tblProcRegister[[#This Row],[Award]],"")</f>
        <v/>
      </c>
      <c r="T264" s="68"/>
      <c r="U264" s="68"/>
      <c r="V264" s="68"/>
      <c r="W264" s="77" t="str">
        <f>IF(AB264="","",WORKDAY.INTL(AB264,Z264*-1,1,Holidays[Date]))</f>
        <v/>
      </c>
      <c r="X264" s="77" t="str">
        <f t="shared" ca="1" si="3"/>
        <v/>
      </c>
      <c r="Y264" s="78"/>
      <c r="Z264" s="79"/>
      <c r="AA264" s="68"/>
      <c r="AB264" s="77" t="str">
        <f>IF(AG264="","",WORKDAY.INTL(AG264,AE264*-1,1,Holidays[Date]))</f>
        <v/>
      </c>
      <c r="AC264" s="77" t="str">
        <f ca="1">IFERROR(IF(AD264="",WORKDAY.INTL(X264,AA264,1,Holidays[Date]),AD264),"")</f>
        <v/>
      </c>
      <c r="AD264" s="78"/>
      <c r="AE264" s="80"/>
      <c r="AF264" s="68"/>
      <c r="AG264" s="77" t="str">
        <f>IF(AL264="","",WORKDAY.INTL(AL264,AJ264*-1,1,Holidays[Date]))</f>
        <v/>
      </c>
      <c r="AH264" s="77" t="str">
        <f ca="1">IFERROR(IF(AI264="",WORKDAY.INTL(AC264,AF264,1,Holidays[Date]),AI264),"")</f>
        <v/>
      </c>
      <c r="AI264" s="78"/>
      <c r="AJ264" s="80"/>
      <c r="AK264" s="68"/>
      <c r="AL264" s="77" t="str">
        <f>IF(AQ264="","",WORKDAY.INTL(AQ264,AO264*-1,1,Holidays[Date]))</f>
        <v/>
      </c>
      <c r="AM264" s="77" t="str">
        <f ca="1">IFERROR(IF(AN264="",WORKDAY.INTL(AH264,AK264,1,Holidays[Date]),AN264),"")</f>
        <v/>
      </c>
      <c r="AN264" s="78"/>
      <c r="AO264" s="80"/>
      <c r="AP264" s="68"/>
      <c r="AQ264" s="77" t="str">
        <f>IF(AV264="","",WORKDAY.INTL(AV264,AT264*-1,1,Holidays[Date]))</f>
        <v/>
      </c>
      <c r="AR264" s="77" t="str">
        <f ca="1">IFERROR(IF(AS264="",WORKDAY.INTL(AM264,AP264,1,Holidays[Date]),AS264),"")</f>
        <v/>
      </c>
      <c r="AS264" s="78"/>
      <c r="AT264" s="80"/>
      <c r="AU264" s="68"/>
      <c r="AV264" s="77" t="str">
        <f>IF(BA264="","",WORKDAY.INTL(BA264,AY264*-1,1,Holidays[Date]))</f>
        <v/>
      </c>
      <c r="AW264" s="77" t="str">
        <f ca="1">IFERROR(IF(AX264="",WORKDAY.INTL(AR264,AU264,1,Holidays[Date]),AX264),"")</f>
        <v/>
      </c>
      <c r="AX264" s="78"/>
      <c r="AY264" s="80"/>
      <c r="AZ264" s="68"/>
      <c r="BA264" s="77" t="str">
        <f>IF(BF264="","",WORKDAY.INTL(BF264,BD264*-1,1,Holidays[Date]))</f>
        <v/>
      </c>
      <c r="BB264" s="77" t="str">
        <f ca="1">IFERROR(IF(BC264="",WORKDAY.INTL(AW264,AZ264,1,Holidays[Date]),BC264),"")</f>
        <v/>
      </c>
      <c r="BC264" s="78"/>
      <c r="BD264" s="80"/>
      <c r="BE264" s="68"/>
      <c r="BF264" s="77" t="str">
        <f>IF(BK264="","",WORKDAY.INTL(BK264,BI264*-1,1,Holidays[Date]))</f>
        <v/>
      </c>
      <c r="BG264" s="77" t="str">
        <f ca="1">IFERROR(IF(BH264="",WORKDAY.INTL(BB264,BE264,1,Holidays[Date]),BH264),"")</f>
        <v/>
      </c>
      <c r="BH264" s="78"/>
      <c r="BI264" s="80"/>
      <c r="BJ264" s="68"/>
      <c r="BK264" s="77" t="str">
        <f>IF(BP264="","",WORKDAY.INTL(BP264,BN264*-1,1,Holidays[Date]))</f>
        <v/>
      </c>
      <c r="BL264" s="77" t="str">
        <f ca="1">IFERROR(IF(BM264="",WORKDAY.INTL(BG264,BJ264,1,Holidays[Date]),BM264),"")</f>
        <v/>
      </c>
      <c r="BM264" s="78"/>
      <c r="BN264" s="80"/>
      <c r="BO264" s="68"/>
      <c r="BP264" s="77" t="str">
        <f>IF(BU264="","",WORKDAY.INTL(BU264,BS264*-1,1,Holidays[Date]))</f>
        <v/>
      </c>
      <c r="BQ264" s="77" t="str">
        <f ca="1">IFERROR(IF(BR264="",WORKDAY.INTL(BL264,BO264,1,Holidays[Date]),BR264),"")</f>
        <v/>
      </c>
      <c r="BR264" s="78"/>
      <c r="BS264" s="80"/>
      <c r="BT264" s="68"/>
      <c r="BU264" s="77" t="str">
        <f>IF(BZ264="","",WORKDAY.INTL(BZ264,BX264*-1,1,Holidays[Date]))</f>
        <v/>
      </c>
      <c r="BV264" s="77" t="str">
        <f ca="1">IFERROR(IF(BW264="",WORKDAY.INTL(BQ264,BT264,1,Holidays[Date]),BW264),"")</f>
        <v/>
      </c>
      <c r="BW264" s="78"/>
      <c r="BX264" s="80"/>
      <c r="BY264" s="68"/>
      <c r="BZ264" s="81"/>
      <c r="CA264" s="77" t="str">
        <f ca="1">IFERROR(IF(CB264="",WORKDAY.INTL(BV264,BY264,1,Holidays[Date]),CB264),"")</f>
        <v/>
      </c>
      <c r="CB264" s="78"/>
    </row>
    <row r="265" spans="1:80" ht="19" customHeight="1" x14ac:dyDescent="0.35">
      <c r="A265" s="31"/>
      <c r="B265" s="82"/>
      <c r="C265" s="1"/>
      <c r="D265" s="8"/>
      <c r="E265" s="8"/>
      <c r="F265" s="8"/>
      <c r="G265" s="8"/>
      <c r="H265" s="8"/>
      <c r="I265" s="9"/>
      <c r="J265" s="8"/>
      <c r="K265" s="8"/>
      <c r="L265" s="8"/>
      <c r="M265" s="8"/>
      <c r="N265" s="8"/>
      <c r="O265" s="8"/>
      <c r="P265" s="8"/>
      <c r="Q265" s="2"/>
      <c r="R265" s="2"/>
      <c r="S265" s="88" t="str">
        <f>IF(tblProcRegister[[#This Row],[Award]]&lt;&gt;"",tblProcRegister[[#This Row],[Budget]]-tblProcRegister[[#This Row],[Award]],"")</f>
        <v/>
      </c>
      <c r="T265" s="68"/>
      <c r="U265" s="68"/>
      <c r="V265" s="68"/>
      <c r="W265" s="77" t="str">
        <f>IF(AB265="","",WORKDAY.INTL(AB265,Z265*-1,1,Holidays[Date]))</f>
        <v/>
      </c>
      <c r="X265" s="77" t="str">
        <f t="shared" ca="1" si="3"/>
        <v/>
      </c>
      <c r="Y265" s="78"/>
      <c r="Z265" s="79"/>
      <c r="AA265" s="68"/>
      <c r="AB265" s="77" t="str">
        <f>IF(AG265="","",WORKDAY.INTL(AG265,AE265*-1,1,Holidays[Date]))</f>
        <v/>
      </c>
      <c r="AC265" s="77" t="str">
        <f ca="1">IFERROR(IF(AD265="",WORKDAY.INTL(X265,AA265,1,Holidays[Date]),AD265),"")</f>
        <v/>
      </c>
      <c r="AD265" s="78"/>
      <c r="AE265" s="80"/>
      <c r="AF265" s="68"/>
      <c r="AG265" s="77" t="str">
        <f>IF(AL265="","",WORKDAY.INTL(AL265,AJ265*-1,1,Holidays[Date]))</f>
        <v/>
      </c>
      <c r="AH265" s="77" t="str">
        <f ca="1">IFERROR(IF(AI265="",WORKDAY.INTL(AC265,AF265,1,Holidays[Date]),AI265),"")</f>
        <v/>
      </c>
      <c r="AI265" s="78"/>
      <c r="AJ265" s="80"/>
      <c r="AK265" s="68"/>
      <c r="AL265" s="77" t="str">
        <f>IF(AQ265="","",WORKDAY.INTL(AQ265,AO265*-1,1,Holidays[Date]))</f>
        <v/>
      </c>
      <c r="AM265" s="77" t="str">
        <f ca="1">IFERROR(IF(AN265="",WORKDAY.INTL(AH265,AK265,1,Holidays[Date]),AN265),"")</f>
        <v/>
      </c>
      <c r="AN265" s="78"/>
      <c r="AO265" s="80"/>
      <c r="AP265" s="68"/>
      <c r="AQ265" s="77" t="str">
        <f>IF(AV265="","",WORKDAY.INTL(AV265,AT265*-1,1,Holidays[Date]))</f>
        <v/>
      </c>
      <c r="AR265" s="77" t="str">
        <f ca="1">IFERROR(IF(AS265="",WORKDAY.INTL(AM265,AP265,1,Holidays[Date]),AS265),"")</f>
        <v/>
      </c>
      <c r="AS265" s="78"/>
      <c r="AT265" s="80"/>
      <c r="AU265" s="68"/>
      <c r="AV265" s="77" t="str">
        <f>IF(BA265="","",WORKDAY.INTL(BA265,AY265*-1,1,Holidays[Date]))</f>
        <v/>
      </c>
      <c r="AW265" s="77" t="str">
        <f ca="1">IFERROR(IF(AX265="",WORKDAY.INTL(AR265,AU265,1,Holidays[Date]),AX265),"")</f>
        <v/>
      </c>
      <c r="AX265" s="78"/>
      <c r="AY265" s="80"/>
      <c r="AZ265" s="68"/>
      <c r="BA265" s="77" t="str">
        <f>IF(BF265="","",WORKDAY.INTL(BF265,BD265*-1,1,Holidays[Date]))</f>
        <v/>
      </c>
      <c r="BB265" s="77" t="str">
        <f ca="1">IFERROR(IF(BC265="",WORKDAY.INTL(AW265,AZ265,1,Holidays[Date]),BC265),"")</f>
        <v/>
      </c>
      <c r="BC265" s="78"/>
      <c r="BD265" s="80"/>
      <c r="BE265" s="68"/>
      <c r="BF265" s="77" t="str">
        <f>IF(BK265="","",WORKDAY.INTL(BK265,BI265*-1,1,Holidays[Date]))</f>
        <v/>
      </c>
      <c r="BG265" s="77" t="str">
        <f ca="1">IFERROR(IF(BH265="",WORKDAY.INTL(BB265,BE265,1,Holidays[Date]),BH265),"")</f>
        <v/>
      </c>
      <c r="BH265" s="78"/>
      <c r="BI265" s="80"/>
      <c r="BJ265" s="68"/>
      <c r="BK265" s="77" t="str">
        <f>IF(BP265="","",WORKDAY.INTL(BP265,BN265*-1,1,Holidays[Date]))</f>
        <v/>
      </c>
      <c r="BL265" s="77" t="str">
        <f ca="1">IFERROR(IF(BM265="",WORKDAY.INTL(BG265,BJ265,1,Holidays[Date]),BM265),"")</f>
        <v/>
      </c>
      <c r="BM265" s="78"/>
      <c r="BN265" s="80"/>
      <c r="BO265" s="68"/>
      <c r="BP265" s="77" t="str">
        <f>IF(BU265="","",WORKDAY.INTL(BU265,BS265*-1,1,Holidays[Date]))</f>
        <v/>
      </c>
      <c r="BQ265" s="77" t="str">
        <f ca="1">IFERROR(IF(BR265="",WORKDAY.INTL(BL265,BO265,1,Holidays[Date]),BR265),"")</f>
        <v/>
      </c>
      <c r="BR265" s="78"/>
      <c r="BS265" s="80"/>
      <c r="BT265" s="68"/>
      <c r="BU265" s="77" t="str">
        <f>IF(BZ265="","",WORKDAY.INTL(BZ265,BX265*-1,1,Holidays[Date]))</f>
        <v/>
      </c>
      <c r="BV265" s="77" t="str">
        <f ca="1">IFERROR(IF(BW265="",WORKDAY.INTL(BQ265,BT265,1,Holidays[Date]),BW265),"")</f>
        <v/>
      </c>
      <c r="BW265" s="78"/>
      <c r="BX265" s="80"/>
      <c r="BY265" s="68"/>
      <c r="BZ265" s="81"/>
      <c r="CA265" s="77" t="str">
        <f ca="1">IFERROR(IF(CB265="",WORKDAY.INTL(BV265,BY265,1,Holidays[Date]),CB265),"")</f>
        <v/>
      </c>
      <c r="CB265" s="78"/>
    </row>
    <row r="266" spans="1:80" ht="19" customHeight="1" x14ac:dyDescent="0.35">
      <c r="A266" s="31"/>
      <c r="B266" s="82"/>
      <c r="C266" s="1"/>
      <c r="D266" s="8"/>
      <c r="E266" s="8"/>
      <c r="F266" s="8"/>
      <c r="G266" s="8"/>
      <c r="H266" s="8"/>
      <c r="I266" s="9"/>
      <c r="J266" s="8"/>
      <c r="K266" s="8"/>
      <c r="L266" s="8"/>
      <c r="M266" s="8"/>
      <c r="N266" s="8"/>
      <c r="O266" s="8"/>
      <c r="P266" s="8"/>
      <c r="Q266" s="2"/>
      <c r="R266" s="2"/>
      <c r="S266" s="88" t="str">
        <f>IF(tblProcRegister[[#This Row],[Award]]&lt;&gt;"",tblProcRegister[[#This Row],[Budget]]-tblProcRegister[[#This Row],[Award]],"")</f>
        <v/>
      </c>
      <c r="T266" s="68"/>
      <c r="U266" s="68"/>
      <c r="V266" s="68"/>
      <c r="W266" s="77" t="str">
        <f>IF(AB266="","",WORKDAY.INTL(AB266,Z266*-1,1,Holidays[Date]))</f>
        <v/>
      </c>
      <c r="X266" s="77" t="str">
        <f t="shared" ca="1" si="3"/>
        <v/>
      </c>
      <c r="Y266" s="78"/>
      <c r="Z266" s="79"/>
      <c r="AA266" s="68"/>
      <c r="AB266" s="77" t="str">
        <f>IF(AG266="","",WORKDAY.INTL(AG266,AE266*-1,1,Holidays[Date]))</f>
        <v/>
      </c>
      <c r="AC266" s="77" t="str">
        <f ca="1">IFERROR(IF(AD266="",WORKDAY.INTL(X266,AA266,1,Holidays[Date]),AD266),"")</f>
        <v/>
      </c>
      <c r="AD266" s="78"/>
      <c r="AE266" s="80"/>
      <c r="AF266" s="68"/>
      <c r="AG266" s="77" t="str">
        <f>IF(AL266="","",WORKDAY.INTL(AL266,AJ266*-1,1,Holidays[Date]))</f>
        <v/>
      </c>
      <c r="AH266" s="77" t="str">
        <f ca="1">IFERROR(IF(AI266="",WORKDAY.INTL(AC266,AF266,1,Holidays[Date]),AI266),"")</f>
        <v/>
      </c>
      <c r="AI266" s="78"/>
      <c r="AJ266" s="80"/>
      <c r="AK266" s="68"/>
      <c r="AL266" s="77" t="str">
        <f>IF(AQ266="","",WORKDAY.INTL(AQ266,AO266*-1,1,Holidays[Date]))</f>
        <v/>
      </c>
      <c r="AM266" s="77" t="str">
        <f ca="1">IFERROR(IF(AN266="",WORKDAY.INTL(AH266,AK266,1,Holidays[Date]),AN266),"")</f>
        <v/>
      </c>
      <c r="AN266" s="78"/>
      <c r="AO266" s="80"/>
      <c r="AP266" s="68"/>
      <c r="AQ266" s="77" t="str">
        <f>IF(AV266="","",WORKDAY.INTL(AV266,AT266*-1,1,Holidays[Date]))</f>
        <v/>
      </c>
      <c r="AR266" s="77" t="str">
        <f ca="1">IFERROR(IF(AS266="",WORKDAY.INTL(AM266,AP266,1,Holidays[Date]),AS266),"")</f>
        <v/>
      </c>
      <c r="AS266" s="78"/>
      <c r="AT266" s="80"/>
      <c r="AU266" s="68"/>
      <c r="AV266" s="77" t="str">
        <f>IF(BA266="","",WORKDAY.INTL(BA266,AY266*-1,1,Holidays[Date]))</f>
        <v/>
      </c>
      <c r="AW266" s="77" t="str">
        <f ca="1">IFERROR(IF(AX266="",WORKDAY.INTL(AR266,AU266,1,Holidays[Date]),AX266),"")</f>
        <v/>
      </c>
      <c r="AX266" s="78"/>
      <c r="AY266" s="80"/>
      <c r="AZ266" s="68"/>
      <c r="BA266" s="77" t="str">
        <f>IF(BF266="","",WORKDAY.INTL(BF266,BD266*-1,1,Holidays[Date]))</f>
        <v/>
      </c>
      <c r="BB266" s="77" t="str">
        <f ca="1">IFERROR(IF(BC266="",WORKDAY.INTL(AW266,AZ266,1,Holidays[Date]),BC266),"")</f>
        <v/>
      </c>
      <c r="BC266" s="78"/>
      <c r="BD266" s="80"/>
      <c r="BE266" s="68"/>
      <c r="BF266" s="77" t="str">
        <f>IF(BK266="","",WORKDAY.INTL(BK266,BI266*-1,1,Holidays[Date]))</f>
        <v/>
      </c>
      <c r="BG266" s="77" t="str">
        <f ca="1">IFERROR(IF(BH266="",WORKDAY.INTL(BB266,BE266,1,Holidays[Date]),BH266),"")</f>
        <v/>
      </c>
      <c r="BH266" s="78"/>
      <c r="BI266" s="80"/>
      <c r="BJ266" s="68"/>
      <c r="BK266" s="77" t="str">
        <f>IF(BP266="","",WORKDAY.INTL(BP266,BN266*-1,1,Holidays[Date]))</f>
        <v/>
      </c>
      <c r="BL266" s="77" t="str">
        <f ca="1">IFERROR(IF(BM266="",WORKDAY.INTL(BG266,BJ266,1,Holidays[Date]),BM266),"")</f>
        <v/>
      </c>
      <c r="BM266" s="78"/>
      <c r="BN266" s="80"/>
      <c r="BO266" s="68"/>
      <c r="BP266" s="77" t="str">
        <f>IF(BU266="","",WORKDAY.INTL(BU266,BS266*-1,1,Holidays[Date]))</f>
        <v/>
      </c>
      <c r="BQ266" s="77" t="str">
        <f ca="1">IFERROR(IF(BR266="",WORKDAY.INTL(BL266,BO266,1,Holidays[Date]),BR266),"")</f>
        <v/>
      </c>
      <c r="BR266" s="78"/>
      <c r="BS266" s="80"/>
      <c r="BT266" s="68"/>
      <c r="BU266" s="77" t="str">
        <f>IF(BZ266="","",WORKDAY.INTL(BZ266,BX266*-1,1,Holidays[Date]))</f>
        <v/>
      </c>
      <c r="BV266" s="77" t="str">
        <f ca="1">IFERROR(IF(BW266="",WORKDAY.INTL(BQ266,BT266,1,Holidays[Date]),BW266),"")</f>
        <v/>
      </c>
      <c r="BW266" s="78"/>
      <c r="BX266" s="80"/>
      <c r="BY266" s="68"/>
      <c r="BZ266" s="81"/>
      <c r="CA266" s="77" t="str">
        <f ca="1">IFERROR(IF(CB266="",WORKDAY.INTL(BV266,BY266,1,Holidays[Date]),CB266),"")</f>
        <v/>
      </c>
      <c r="CB266" s="78"/>
    </row>
    <row r="267" spans="1:80" ht="19" customHeight="1" x14ac:dyDescent="0.35">
      <c r="A267" s="31"/>
      <c r="B267" s="82"/>
      <c r="C267" s="1"/>
      <c r="D267" s="8"/>
      <c r="E267" s="8"/>
      <c r="F267" s="8"/>
      <c r="G267" s="8"/>
      <c r="H267" s="8"/>
      <c r="I267" s="9"/>
      <c r="J267" s="8"/>
      <c r="K267" s="8"/>
      <c r="L267" s="8"/>
      <c r="M267" s="8"/>
      <c r="N267" s="8"/>
      <c r="O267" s="8"/>
      <c r="P267" s="8"/>
      <c r="Q267" s="2"/>
      <c r="R267" s="2"/>
      <c r="S267" s="88" t="str">
        <f>IF(tblProcRegister[[#This Row],[Award]]&lt;&gt;"",tblProcRegister[[#This Row],[Budget]]-tblProcRegister[[#This Row],[Award]],"")</f>
        <v/>
      </c>
      <c r="T267" s="68"/>
      <c r="U267" s="68"/>
      <c r="V267" s="68"/>
      <c r="W267" s="77" t="str">
        <f>IF(AB267="","",WORKDAY.INTL(AB267,Z267*-1,1,Holidays[Date]))</f>
        <v/>
      </c>
      <c r="X267" s="77" t="str">
        <f t="shared" ca="1" si="3"/>
        <v/>
      </c>
      <c r="Y267" s="78"/>
      <c r="Z267" s="79"/>
      <c r="AA267" s="68"/>
      <c r="AB267" s="77" t="str">
        <f>IF(AG267="","",WORKDAY.INTL(AG267,AE267*-1,1,Holidays[Date]))</f>
        <v/>
      </c>
      <c r="AC267" s="77" t="str">
        <f ca="1">IFERROR(IF(AD267="",WORKDAY.INTL(X267,AA267,1,Holidays[Date]),AD267),"")</f>
        <v/>
      </c>
      <c r="AD267" s="78"/>
      <c r="AE267" s="80"/>
      <c r="AF267" s="68"/>
      <c r="AG267" s="77" t="str">
        <f>IF(AL267="","",WORKDAY.INTL(AL267,AJ267*-1,1,Holidays[Date]))</f>
        <v/>
      </c>
      <c r="AH267" s="77" t="str">
        <f ca="1">IFERROR(IF(AI267="",WORKDAY.INTL(AC267,AF267,1,Holidays[Date]),AI267),"")</f>
        <v/>
      </c>
      <c r="AI267" s="78"/>
      <c r="AJ267" s="80"/>
      <c r="AK267" s="68"/>
      <c r="AL267" s="77" t="str">
        <f>IF(AQ267="","",WORKDAY.INTL(AQ267,AO267*-1,1,Holidays[Date]))</f>
        <v/>
      </c>
      <c r="AM267" s="77" t="str">
        <f ca="1">IFERROR(IF(AN267="",WORKDAY.INTL(AH267,AK267,1,Holidays[Date]),AN267),"")</f>
        <v/>
      </c>
      <c r="AN267" s="78"/>
      <c r="AO267" s="80"/>
      <c r="AP267" s="68"/>
      <c r="AQ267" s="77" t="str">
        <f>IF(AV267="","",WORKDAY.INTL(AV267,AT267*-1,1,Holidays[Date]))</f>
        <v/>
      </c>
      <c r="AR267" s="77" t="str">
        <f ca="1">IFERROR(IF(AS267="",WORKDAY.INTL(AM267,AP267,1,Holidays[Date]),AS267),"")</f>
        <v/>
      </c>
      <c r="AS267" s="78"/>
      <c r="AT267" s="80"/>
      <c r="AU267" s="68"/>
      <c r="AV267" s="77" t="str">
        <f>IF(BA267="","",WORKDAY.INTL(BA267,AY267*-1,1,Holidays[Date]))</f>
        <v/>
      </c>
      <c r="AW267" s="77" t="str">
        <f ca="1">IFERROR(IF(AX267="",WORKDAY.INTL(AR267,AU267,1,Holidays[Date]),AX267),"")</f>
        <v/>
      </c>
      <c r="AX267" s="78"/>
      <c r="AY267" s="80"/>
      <c r="AZ267" s="68"/>
      <c r="BA267" s="77" t="str">
        <f>IF(BF267="","",WORKDAY.INTL(BF267,BD267*-1,1,Holidays[Date]))</f>
        <v/>
      </c>
      <c r="BB267" s="77" t="str">
        <f ca="1">IFERROR(IF(BC267="",WORKDAY.INTL(AW267,AZ267,1,Holidays[Date]),BC267),"")</f>
        <v/>
      </c>
      <c r="BC267" s="78"/>
      <c r="BD267" s="80"/>
      <c r="BE267" s="68"/>
      <c r="BF267" s="77" t="str">
        <f>IF(BK267="","",WORKDAY.INTL(BK267,BI267*-1,1,Holidays[Date]))</f>
        <v/>
      </c>
      <c r="BG267" s="77" t="str">
        <f ca="1">IFERROR(IF(BH267="",WORKDAY.INTL(BB267,BE267,1,Holidays[Date]),BH267),"")</f>
        <v/>
      </c>
      <c r="BH267" s="78"/>
      <c r="BI267" s="80"/>
      <c r="BJ267" s="68"/>
      <c r="BK267" s="77" t="str">
        <f>IF(BP267="","",WORKDAY.INTL(BP267,BN267*-1,1,Holidays[Date]))</f>
        <v/>
      </c>
      <c r="BL267" s="77" t="str">
        <f ca="1">IFERROR(IF(BM267="",WORKDAY.INTL(BG267,BJ267,1,Holidays[Date]),BM267),"")</f>
        <v/>
      </c>
      <c r="BM267" s="78"/>
      <c r="BN267" s="80"/>
      <c r="BO267" s="68"/>
      <c r="BP267" s="77" t="str">
        <f>IF(BU267="","",WORKDAY.INTL(BU267,BS267*-1,1,Holidays[Date]))</f>
        <v/>
      </c>
      <c r="BQ267" s="77" t="str">
        <f ca="1">IFERROR(IF(BR267="",WORKDAY.INTL(BL267,BO267,1,Holidays[Date]),BR267),"")</f>
        <v/>
      </c>
      <c r="BR267" s="78"/>
      <c r="BS267" s="80"/>
      <c r="BT267" s="68"/>
      <c r="BU267" s="77" t="str">
        <f>IF(BZ267="","",WORKDAY.INTL(BZ267,BX267*-1,1,Holidays[Date]))</f>
        <v/>
      </c>
      <c r="BV267" s="77" t="str">
        <f ca="1">IFERROR(IF(BW267="",WORKDAY.INTL(BQ267,BT267,1,Holidays[Date]),BW267),"")</f>
        <v/>
      </c>
      <c r="BW267" s="78"/>
      <c r="BX267" s="80"/>
      <c r="BY267" s="68"/>
      <c r="BZ267" s="81"/>
      <c r="CA267" s="77" t="str">
        <f ca="1">IFERROR(IF(CB267="",WORKDAY.INTL(BV267,BY267,1,Holidays[Date]),CB267),"")</f>
        <v/>
      </c>
      <c r="CB267" s="78"/>
    </row>
    <row r="268" spans="1:80" ht="19" customHeight="1" x14ac:dyDescent="0.35">
      <c r="A268" s="31"/>
      <c r="B268" s="82"/>
      <c r="C268" s="1"/>
      <c r="D268" s="8"/>
      <c r="E268" s="8"/>
      <c r="F268" s="8"/>
      <c r="G268" s="8"/>
      <c r="H268" s="8"/>
      <c r="I268" s="9"/>
      <c r="J268" s="8"/>
      <c r="K268" s="8"/>
      <c r="L268" s="8"/>
      <c r="M268" s="8"/>
      <c r="N268" s="8"/>
      <c r="O268" s="8"/>
      <c r="P268" s="8"/>
      <c r="Q268" s="2"/>
      <c r="R268" s="2"/>
      <c r="S268" s="88" t="str">
        <f>IF(tblProcRegister[[#This Row],[Award]]&lt;&gt;"",tblProcRegister[[#This Row],[Budget]]-tblProcRegister[[#This Row],[Award]],"")</f>
        <v/>
      </c>
      <c r="T268" s="68"/>
      <c r="U268" s="68"/>
      <c r="V268" s="68"/>
      <c r="W268" s="77" t="str">
        <f>IF(AB268="","",WORKDAY.INTL(AB268,Z268*-1,1,Holidays[Date]))</f>
        <v/>
      </c>
      <c r="X268" s="77" t="str">
        <f t="shared" ref="X268:X293" ca="1" si="4">IF(Y268="",IF(W268&gt;$C$8,W268,$C$8),Y268)</f>
        <v/>
      </c>
      <c r="Y268" s="78"/>
      <c r="Z268" s="79"/>
      <c r="AA268" s="68"/>
      <c r="AB268" s="77" t="str">
        <f>IF(AG268="","",WORKDAY.INTL(AG268,AE268*-1,1,Holidays[Date]))</f>
        <v/>
      </c>
      <c r="AC268" s="77" t="str">
        <f ca="1">IFERROR(IF(AD268="",WORKDAY.INTL(X268,AA268,1,Holidays[Date]),AD268),"")</f>
        <v/>
      </c>
      <c r="AD268" s="78"/>
      <c r="AE268" s="80"/>
      <c r="AF268" s="68"/>
      <c r="AG268" s="77" t="str">
        <f>IF(AL268="","",WORKDAY.INTL(AL268,AJ268*-1,1,Holidays[Date]))</f>
        <v/>
      </c>
      <c r="AH268" s="77" t="str">
        <f ca="1">IFERROR(IF(AI268="",WORKDAY.INTL(AC268,AF268,1,Holidays[Date]),AI268),"")</f>
        <v/>
      </c>
      <c r="AI268" s="78"/>
      <c r="AJ268" s="80"/>
      <c r="AK268" s="68"/>
      <c r="AL268" s="77" t="str">
        <f>IF(AQ268="","",WORKDAY.INTL(AQ268,AO268*-1,1,Holidays[Date]))</f>
        <v/>
      </c>
      <c r="AM268" s="77" t="str">
        <f ca="1">IFERROR(IF(AN268="",WORKDAY.INTL(AH268,AK268,1,Holidays[Date]),AN268),"")</f>
        <v/>
      </c>
      <c r="AN268" s="78"/>
      <c r="AO268" s="80"/>
      <c r="AP268" s="68"/>
      <c r="AQ268" s="77" t="str">
        <f>IF(AV268="","",WORKDAY.INTL(AV268,AT268*-1,1,Holidays[Date]))</f>
        <v/>
      </c>
      <c r="AR268" s="77" t="str">
        <f ca="1">IFERROR(IF(AS268="",WORKDAY.INTL(AM268,AP268,1,Holidays[Date]),AS268),"")</f>
        <v/>
      </c>
      <c r="AS268" s="78"/>
      <c r="AT268" s="80"/>
      <c r="AU268" s="68"/>
      <c r="AV268" s="77" t="str">
        <f>IF(BA268="","",WORKDAY.INTL(BA268,AY268*-1,1,Holidays[Date]))</f>
        <v/>
      </c>
      <c r="AW268" s="77" t="str">
        <f ca="1">IFERROR(IF(AX268="",WORKDAY.INTL(AR268,AU268,1,Holidays[Date]),AX268),"")</f>
        <v/>
      </c>
      <c r="AX268" s="78"/>
      <c r="AY268" s="80"/>
      <c r="AZ268" s="68"/>
      <c r="BA268" s="77" t="str">
        <f>IF(BF268="","",WORKDAY.INTL(BF268,BD268*-1,1,Holidays[Date]))</f>
        <v/>
      </c>
      <c r="BB268" s="77" t="str">
        <f ca="1">IFERROR(IF(BC268="",WORKDAY.INTL(AW268,AZ268,1,Holidays[Date]),BC268),"")</f>
        <v/>
      </c>
      <c r="BC268" s="78"/>
      <c r="BD268" s="80"/>
      <c r="BE268" s="68"/>
      <c r="BF268" s="77" t="str">
        <f>IF(BK268="","",WORKDAY.INTL(BK268,BI268*-1,1,Holidays[Date]))</f>
        <v/>
      </c>
      <c r="BG268" s="77" t="str">
        <f ca="1">IFERROR(IF(BH268="",WORKDAY.INTL(BB268,BE268,1,Holidays[Date]),BH268),"")</f>
        <v/>
      </c>
      <c r="BH268" s="78"/>
      <c r="BI268" s="80"/>
      <c r="BJ268" s="68"/>
      <c r="BK268" s="77" t="str">
        <f>IF(BP268="","",WORKDAY.INTL(BP268,BN268*-1,1,Holidays[Date]))</f>
        <v/>
      </c>
      <c r="BL268" s="77" t="str">
        <f ca="1">IFERROR(IF(BM268="",WORKDAY.INTL(BG268,BJ268,1,Holidays[Date]),BM268),"")</f>
        <v/>
      </c>
      <c r="BM268" s="78"/>
      <c r="BN268" s="80"/>
      <c r="BO268" s="68"/>
      <c r="BP268" s="77" t="str">
        <f>IF(BU268="","",WORKDAY.INTL(BU268,BS268*-1,1,Holidays[Date]))</f>
        <v/>
      </c>
      <c r="BQ268" s="77" t="str">
        <f ca="1">IFERROR(IF(BR268="",WORKDAY.INTL(BL268,BO268,1,Holidays[Date]),BR268),"")</f>
        <v/>
      </c>
      <c r="BR268" s="78"/>
      <c r="BS268" s="80"/>
      <c r="BT268" s="68"/>
      <c r="BU268" s="77" t="str">
        <f>IF(BZ268="","",WORKDAY.INTL(BZ268,BX268*-1,1,Holidays[Date]))</f>
        <v/>
      </c>
      <c r="BV268" s="77" t="str">
        <f ca="1">IFERROR(IF(BW268="",WORKDAY.INTL(BQ268,BT268,1,Holidays[Date]),BW268),"")</f>
        <v/>
      </c>
      <c r="BW268" s="78"/>
      <c r="BX268" s="80"/>
      <c r="BY268" s="68"/>
      <c r="BZ268" s="81"/>
      <c r="CA268" s="77" t="str">
        <f ca="1">IFERROR(IF(CB268="",WORKDAY.INTL(BV268,BY268,1,Holidays[Date]),CB268),"")</f>
        <v/>
      </c>
      <c r="CB268" s="78"/>
    </row>
    <row r="269" spans="1:80" ht="19" customHeight="1" x14ac:dyDescent="0.35">
      <c r="A269" s="31"/>
      <c r="B269" s="82"/>
      <c r="C269" s="1"/>
      <c r="D269" s="8"/>
      <c r="E269" s="8"/>
      <c r="F269" s="8"/>
      <c r="G269" s="8"/>
      <c r="H269" s="8"/>
      <c r="I269" s="9"/>
      <c r="J269" s="8"/>
      <c r="K269" s="8"/>
      <c r="L269" s="8"/>
      <c r="M269" s="8"/>
      <c r="N269" s="8"/>
      <c r="O269" s="8"/>
      <c r="P269" s="8"/>
      <c r="Q269" s="2"/>
      <c r="R269" s="2"/>
      <c r="S269" s="88" t="str">
        <f>IF(tblProcRegister[[#This Row],[Award]]&lt;&gt;"",tblProcRegister[[#This Row],[Budget]]-tblProcRegister[[#This Row],[Award]],"")</f>
        <v/>
      </c>
      <c r="T269" s="68"/>
      <c r="U269" s="68"/>
      <c r="V269" s="68"/>
      <c r="W269" s="77" t="str">
        <f>IF(AB269="","",WORKDAY.INTL(AB269,Z269*-1,1,Holidays[Date]))</f>
        <v/>
      </c>
      <c r="X269" s="77" t="str">
        <f t="shared" ca="1" si="4"/>
        <v/>
      </c>
      <c r="Y269" s="78"/>
      <c r="Z269" s="79"/>
      <c r="AA269" s="68"/>
      <c r="AB269" s="77" t="str">
        <f>IF(AG269="","",WORKDAY.INTL(AG269,AE269*-1,1,Holidays[Date]))</f>
        <v/>
      </c>
      <c r="AC269" s="77" t="str">
        <f ca="1">IFERROR(IF(AD269="",WORKDAY.INTL(X269,AA269,1,Holidays[Date]),AD269),"")</f>
        <v/>
      </c>
      <c r="AD269" s="78"/>
      <c r="AE269" s="80"/>
      <c r="AF269" s="68"/>
      <c r="AG269" s="77" t="str">
        <f>IF(AL269="","",WORKDAY.INTL(AL269,AJ269*-1,1,Holidays[Date]))</f>
        <v/>
      </c>
      <c r="AH269" s="77" t="str">
        <f ca="1">IFERROR(IF(AI269="",WORKDAY.INTL(AC269,AF269,1,Holidays[Date]),AI269),"")</f>
        <v/>
      </c>
      <c r="AI269" s="78"/>
      <c r="AJ269" s="80"/>
      <c r="AK269" s="68"/>
      <c r="AL269" s="77" t="str">
        <f>IF(AQ269="","",WORKDAY.INTL(AQ269,AO269*-1,1,Holidays[Date]))</f>
        <v/>
      </c>
      <c r="AM269" s="77" t="str">
        <f ca="1">IFERROR(IF(AN269="",WORKDAY.INTL(AH269,AK269,1,Holidays[Date]),AN269),"")</f>
        <v/>
      </c>
      <c r="AN269" s="78"/>
      <c r="AO269" s="80"/>
      <c r="AP269" s="68"/>
      <c r="AQ269" s="77" t="str">
        <f>IF(AV269="","",WORKDAY.INTL(AV269,AT269*-1,1,Holidays[Date]))</f>
        <v/>
      </c>
      <c r="AR269" s="77" t="str">
        <f ca="1">IFERROR(IF(AS269="",WORKDAY.INTL(AM269,AP269,1,Holidays[Date]),AS269),"")</f>
        <v/>
      </c>
      <c r="AS269" s="78"/>
      <c r="AT269" s="80"/>
      <c r="AU269" s="68"/>
      <c r="AV269" s="77" t="str">
        <f>IF(BA269="","",WORKDAY.INTL(BA269,AY269*-1,1,Holidays[Date]))</f>
        <v/>
      </c>
      <c r="AW269" s="77" t="str">
        <f ca="1">IFERROR(IF(AX269="",WORKDAY.INTL(AR269,AU269,1,Holidays[Date]),AX269),"")</f>
        <v/>
      </c>
      <c r="AX269" s="78"/>
      <c r="AY269" s="80"/>
      <c r="AZ269" s="68"/>
      <c r="BA269" s="77" t="str">
        <f>IF(BF269="","",WORKDAY.INTL(BF269,BD269*-1,1,Holidays[Date]))</f>
        <v/>
      </c>
      <c r="BB269" s="77" t="str">
        <f ca="1">IFERROR(IF(BC269="",WORKDAY.INTL(AW269,AZ269,1,Holidays[Date]),BC269),"")</f>
        <v/>
      </c>
      <c r="BC269" s="78"/>
      <c r="BD269" s="80"/>
      <c r="BE269" s="68"/>
      <c r="BF269" s="77" t="str">
        <f>IF(BK269="","",WORKDAY.INTL(BK269,BI269*-1,1,Holidays[Date]))</f>
        <v/>
      </c>
      <c r="BG269" s="77" t="str">
        <f ca="1">IFERROR(IF(BH269="",WORKDAY.INTL(BB269,BE269,1,Holidays[Date]),BH269),"")</f>
        <v/>
      </c>
      <c r="BH269" s="78"/>
      <c r="BI269" s="80"/>
      <c r="BJ269" s="68"/>
      <c r="BK269" s="77" t="str">
        <f>IF(BP269="","",WORKDAY.INTL(BP269,BN269*-1,1,Holidays[Date]))</f>
        <v/>
      </c>
      <c r="BL269" s="77" t="str">
        <f ca="1">IFERROR(IF(BM269="",WORKDAY.INTL(BG269,BJ269,1,Holidays[Date]),BM269),"")</f>
        <v/>
      </c>
      <c r="BM269" s="78"/>
      <c r="BN269" s="80"/>
      <c r="BO269" s="68"/>
      <c r="BP269" s="77" t="str">
        <f>IF(BU269="","",WORKDAY.INTL(BU269,BS269*-1,1,Holidays[Date]))</f>
        <v/>
      </c>
      <c r="BQ269" s="77" t="str">
        <f ca="1">IFERROR(IF(BR269="",WORKDAY.INTL(BL269,BO269,1,Holidays[Date]),BR269),"")</f>
        <v/>
      </c>
      <c r="BR269" s="78"/>
      <c r="BS269" s="80"/>
      <c r="BT269" s="68"/>
      <c r="BU269" s="77" t="str">
        <f>IF(BZ269="","",WORKDAY.INTL(BZ269,BX269*-1,1,Holidays[Date]))</f>
        <v/>
      </c>
      <c r="BV269" s="77" t="str">
        <f ca="1">IFERROR(IF(BW269="",WORKDAY.INTL(BQ269,BT269,1,Holidays[Date]),BW269),"")</f>
        <v/>
      </c>
      <c r="BW269" s="78"/>
      <c r="BX269" s="80"/>
      <c r="BY269" s="68"/>
      <c r="BZ269" s="81"/>
      <c r="CA269" s="77" t="str">
        <f ca="1">IFERROR(IF(CB269="",WORKDAY.INTL(BV269,BY269,1,Holidays[Date]),CB269),"")</f>
        <v/>
      </c>
      <c r="CB269" s="78"/>
    </row>
    <row r="270" spans="1:80" ht="19" customHeight="1" x14ac:dyDescent="0.35">
      <c r="A270" s="31"/>
      <c r="B270" s="82"/>
      <c r="C270" s="1"/>
      <c r="D270" s="8"/>
      <c r="E270" s="8"/>
      <c r="F270" s="8"/>
      <c r="G270" s="8"/>
      <c r="H270" s="8"/>
      <c r="I270" s="9"/>
      <c r="J270" s="8"/>
      <c r="K270" s="8"/>
      <c r="L270" s="8"/>
      <c r="M270" s="8"/>
      <c r="N270" s="8"/>
      <c r="O270" s="8"/>
      <c r="P270" s="8"/>
      <c r="Q270" s="2"/>
      <c r="R270" s="2"/>
      <c r="S270" s="88" t="str">
        <f>IF(tblProcRegister[[#This Row],[Award]]&lt;&gt;"",tblProcRegister[[#This Row],[Budget]]-tblProcRegister[[#This Row],[Award]],"")</f>
        <v/>
      </c>
      <c r="T270" s="68"/>
      <c r="U270" s="68"/>
      <c r="V270" s="68"/>
      <c r="W270" s="77" t="str">
        <f>IF(AB270="","",WORKDAY.INTL(AB270,Z270*-1,1,Holidays[Date]))</f>
        <v/>
      </c>
      <c r="X270" s="77" t="str">
        <f t="shared" ca="1" si="4"/>
        <v/>
      </c>
      <c r="Y270" s="78"/>
      <c r="Z270" s="79"/>
      <c r="AA270" s="68"/>
      <c r="AB270" s="77" t="str">
        <f>IF(AG270="","",WORKDAY.INTL(AG270,AE270*-1,1,Holidays[Date]))</f>
        <v/>
      </c>
      <c r="AC270" s="77" t="str">
        <f ca="1">IFERROR(IF(AD270="",WORKDAY.INTL(X270,AA270,1,Holidays[Date]),AD270),"")</f>
        <v/>
      </c>
      <c r="AD270" s="78"/>
      <c r="AE270" s="80"/>
      <c r="AF270" s="68"/>
      <c r="AG270" s="77" t="str">
        <f>IF(AL270="","",WORKDAY.INTL(AL270,AJ270*-1,1,Holidays[Date]))</f>
        <v/>
      </c>
      <c r="AH270" s="77" t="str">
        <f ca="1">IFERROR(IF(AI270="",WORKDAY.INTL(AC270,AF270,1,Holidays[Date]),AI270),"")</f>
        <v/>
      </c>
      <c r="AI270" s="78"/>
      <c r="AJ270" s="80"/>
      <c r="AK270" s="68"/>
      <c r="AL270" s="77" t="str">
        <f>IF(AQ270="","",WORKDAY.INTL(AQ270,AO270*-1,1,Holidays[Date]))</f>
        <v/>
      </c>
      <c r="AM270" s="77" t="str">
        <f ca="1">IFERROR(IF(AN270="",WORKDAY.INTL(AH270,AK270,1,Holidays[Date]),AN270),"")</f>
        <v/>
      </c>
      <c r="AN270" s="78"/>
      <c r="AO270" s="80"/>
      <c r="AP270" s="68"/>
      <c r="AQ270" s="77" t="str">
        <f>IF(AV270="","",WORKDAY.INTL(AV270,AT270*-1,1,Holidays[Date]))</f>
        <v/>
      </c>
      <c r="AR270" s="77" t="str">
        <f ca="1">IFERROR(IF(AS270="",WORKDAY.INTL(AM270,AP270,1,Holidays[Date]),AS270),"")</f>
        <v/>
      </c>
      <c r="AS270" s="78"/>
      <c r="AT270" s="80"/>
      <c r="AU270" s="68"/>
      <c r="AV270" s="77" t="str">
        <f>IF(BA270="","",WORKDAY.INTL(BA270,AY270*-1,1,Holidays[Date]))</f>
        <v/>
      </c>
      <c r="AW270" s="77" t="str">
        <f ca="1">IFERROR(IF(AX270="",WORKDAY.INTL(AR270,AU270,1,Holidays[Date]),AX270),"")</f>
        <v/>
      </c>
      <c r="AX270" s="78"/>
      <c r="AY270" s="80"/>
      <c r="AZ270" s="68"/>
      <c r="BA270" s="77" t="str">
        <f>IF(BF270="","",WORKDAY.INTL(BF270,BD270*-1,1,Holidays[Date]))</f>
        <v/>
      </c>
      <c r="BB270" s="77" t="str">
        <f ca="1">IFERROR(IF(BC270="",WORKDAY.INTL(AW270,AZ270,1,Holidays[Date]),BC270),"")</f>
        <v/>
      </c>
      <c r="BC270" s="78"/>
      <c r="BD270" s="80"/>
      <c r="BE270" s="68"/>
      <c r="BF270" s="77" t="str">
        <f>IF(BK270="","",WORKDAY.INTL(BK270,BI270*-1,1,Holidays[Date]))</f>
        <v/>
      </c>
      <c r="BG270" s="77" t="str">
        <f ca="1">IFERROR(IF(BH270="",WORKDAY.INTL(BB270,BE270,1,Holidays[Date]),BH270),"")</f>
        <v/>
      </c>
      <c r="BH270" s="78"/>
      <c r="BI270" s="80"/>
      <c r="BJ270" s="68"/>
      <c r="BK270" s="77" t="str">
        <f>IF(BP270="","",WORKDAY.INTL(BP270,BN270*-1,1,Holidays[Date]))</f>
        <v/>
      </c>
      <c r="BL270" s="77" t="str">
        <f ca="1">IFERROR(IF(BM270="",WORKDAY.INTL(BG270,BJ270,1,Holidays[Date]),BM270),"")</f>
        <v/>
      </c>
      <c r="BM270" s="78"/>
      <c r="BN270" s="80"/>
      <c r="BO270" s="68"/>
      <c r="BP270" s="77" t="str">
        <f>IF(BU270="","",WORKDAY.INTL(BU270,BS270*-1,1,Holidays[Date]))</f>
        <v/>
      </c>
      <c r="BQ270" s="77" t="str">
        <f ca="1">IFERROR(IF(BR270="",WORKDAY.INTL(BL270,BO270,1,Holidays[Date]),BR270),"")</f>
        <v/>
      </c>
      <c r="BR270" s="78"/>
      <c r="BS270" s="80"/>
      <c r="BT270" s="68"/>
      <c r="BU270" s="77" t="str">
        <f>IF(BZ270="","",WORKDAY.INTL(BZ270,BX270*-1,1,Holidays[Date]))</f>
        <v/>
      </c>
      <c r="BV270" s="77" t="str">
        <f ca="1">IFERROR(IF(BW270="",WORKDAY.INTL(BQ270,BT270,1,Holidays[Date]),BW270),"")</f>
        <v/>
      </c>
      <c r="BW270" s="78"/>
      <c r="BX270" s="80"/>
      <c r="BY270" s="68"/>
      <c r="BZ270" s="81"/>
      <c r="CA270" s="77" t="str">
        <f ca="1">IFERROR(IF(CB270="",WORKDAY.INTL(BV270,BY270,1,Holidays[Date]),CB270),"")</f>
        <v/>
      </c>
      <c r="CB270" s="78"/>
    </row>
    <row r="271" spans="1:80" ht="19" customHeight="1" x14ac:dyDescent="0.35">
      <c r="A271" s="31"/>
      <c r="B271" s="82"/>
      <c r="C271" s="1"/>
      <c r="D271" s="8"/>
      <c r="E271" s="8"/>
      <c r="F271" s="8"/>
      <c r="G271" s="8"/>
      <c r="H271" s="8"/>
      <c r="I271" s="9"/>
      <c r="J271" s="8"/>
      <c r="K271" s="8"/>
      <c r="L271" s="8"/>
      <c r="M271" s="8"/>
      <c r="N271" s="8"/>
      <c r="O271" s="8"/>
      <c r="P271" s="8"/>
      <c r="Q271" s="2"/>
      <c r="R271" s="2"/>
      <c r="S271" s="88" t="str">
        <f>IF(tblProcRegister[[#This Row],[Award]]&lt;&gt;"",tblProcRegister[[#This Row],[Budget]]-tblProcRegister[[#This Row],[Award]],"")</f>
        <v/>
      </c>
      <c r="T271" s="68"/>
      <c r="U271" s="68"/>
      <c r="V271" s="68"/>
      <c r="W271" s="77" t="str">
        <f>IF(AB271="","",WORKDAY.INTL(AB271,Z271*-1,1,Holidays[Date]))</f>
        <v/>
      </c>
      <c r="X271" s="77" t="str">
        <f t="shared" ca="1" si="4"/>
        <v/>
      </c>
      <c r="Y271" s="78"/>
      <c r="Z271" s="79"/>
      <c r="AA271" s="68"/>
      <c r="AB271" s="77" t="str">
        <f>IF(AG271="","",WORKDAY.INTL(AG271,AE271*-1,1,Holidays[Date]))</f>
        <v/>
      </c>
      <c r="AC271" s="77" t="str">
        <f ca="1">IFERROR(IF(AD271="",WORKDAY.INTL(X271,AA271,1,Holidays[Date]),AD271),"")</f>
        <v/>
      </c>
      <c r="AD271" s="78"/>
      <c r="AE271" s="80"/>
      <c r="AF271" s="68"/>
      <c r="AG271" s="77" t="str">
        <f>IF(AL271="","",WORKDAY.INTL(AL271,AJ271*-1,1,Holidays[Date]))</f>
        <v/>
      </c>
      <c r="AH271" s="77" t="str">
        <f ca="1">IFERROR(IF(AI271="",WORKDAY.INTL(AC271,AF271,1,Holidays[Date]),AI271),"")</f>
        <v/>
      </c>
      <c r="AI271" s="78"/>
      <c r="AJ271" s="80"/>
      <c r="AK271" s="68"/>
      <c r="AL271" s="77" t="str">
        <f>IF(AQ271="","",WORKDAY.INTL(AQ271,AO271*-1,1,Holidays[Date]))</f>
        <v/>
      </c>
      <c r="AM271" s="77" t="str">
        <f ca="1">IFERROR(IF(AN271="",WORKDAY.INTL(AH271,AK271,1,Holidays[Date]),AN271),"")</f>
        <v/>
      </c>
      <c r="AN271" s="78"/>
      <c r="AO271" s="80"/>
      <c r="AP271" s="68"/>
      <c r="AQ271" s="77" t="str">
        <f>IF(AV271="","",WORKDAY.INTL(AV271,AT271*-1,1,Holidays[Date]))</f>
        <v/>
      </c>
      <c r="AR271" s="77" t="str">
        <f ca="1">IFERROR(IF(AS271="",WORKDAY.INTL(AM271,AP271,1,Holidays[Date]),AS271),"")</f>
        <v/>
      </c>
      <c r="AS271" s="78"/>
      <c r="AT271" s="80"/>
      <c r="AU271" s="68"/>
      <c r="AV271" s="77" t="str">
        <f>IF(BA271="","",WORKDAY.INTL(BA271,AY271*-1,1,Holidays[Date]))</f>
        <v/>
      </c>
      <c r="AW271" s="77" t="str">
        <f ca="1">IFERROR(IF(AX271="",WORKDAY.INTL(AR271,AU271,1,Holidays[Date]),AX271),"")</f>
        <v/>
      </c>
      <c r="AX271" s="78"/>
      <c r="AY271" s="80"/>
      <c r="AZ271" s="68"/>
      <c r="BA271" s="77" t="str">
        <f>IF(BF271="","",WORKDAY.INTL(BF271,BD271*-1,1,Holidays[Date]))</f>
        <v/>
      </c>
      <c r="BB271" s="77" t="str">
        <f ca="1">IFERROR(IF(BC271="",WORKDAY.INTL(AW271,AZ271,1,Holidays[Date]),BC271),"")</f>
        <v/>
      </c>
      <c r="BC271" s="78"/>
      <c r="BD271" s="80"/>
      <c r="BE271" s="68"/>
      <c r="BF271" s="77" t="str">
        <f>IF(BK271="","",WORKDAY.INTL(BK271,BI271*-1,1,Holidays[Date]))</f>
        <v/>
      </c>
      <c r="BG271" s="77" t="str">
        <f ca="1">IFERROR(IF(BH271="",WORKDAY.INTL(BB271,BE271,1,Holidays[Date]),BH271),"")</f>
        <v/>
      </c>
      <c r="BH271" s="78"/>
      <c r="BI271" s="80"/>
      <c r="BJ271" s="68"/>
      <c r="BK271" s="77" t="str">
        <f>IF(BP271="","",WORKDAY.INTL(BP271,BN271*-1,1,Holidays[Date]))</f>
        <v/>
      </c>
      <c r="BL271" s="77" t="str">
        <f ca="1">IFERROR(IF(BM271="",WORKDAY.INTL(BG271,BJ271,1,Holidays[Date]),BM271),"")</f>
        <v/>
      </c>
      <c r="BM271" s="78"/>
      <c r="BN271" s="80"/>
      <c r="BO271" s="68"/>
      <c r="BP271" s="77" t="str">
        <f>IF(BU271="","",WORKDAY.INTL(BU271,BS271*-1,1,Holidays[Date]))</f>
        <v/>
      </c>
      <c r="BQ271" s="77" t="str">
        <f ca="1">IFERROR(IF(BR271="",WORKDAY.INTL(BL271,BO271,1,Holidays[Date]),BR271),"")</f>
        <v/>
      </c>
      <c r="BR271" s="78"/>
      <c r="BS271" s="80"/>
      <c r="BT271" s="68"/>
      <c r="BU271" s="77" t="str">
        <f>IF(BZ271="","",WORKDAY.INTL(BZ271,BX271*-1,1,Holidays[Date]))</f>
        <v/>
      </c>
      <c r="BV271" s="77" t="str">
        <f ca="1">IFERROR(IF(BW271="",WORKDAY.INTL(BQ271,BT271,1,Holidays[Date]),BW271),"")</f>
        <v/>
      </c>
      <c r="BW271" s="78"/>
      <c r="BX271" s="80"/>
      <c r="BY271" s="68"/>
      <c r="BZ271" s="81"/>
      <c r="CA271" s="77" t="str">
        <f ca="1">IFERROR(IF(CB271="",WORKDAY.INTL(BV271,BY271,1,Holidays[Date]),CB271),"")</f>
        <v/>
      </c>
      <c r="CB271" s="78"/>
    </row>
    <row r="272" spans="1:80" ht="19" customHeight="1" x14ac:dyDescent="0.35">
      <c r="A272" s="31"/>
      <c r="B272" s="82"/>
      <c r="C272" s="1"/>
      <c r="D272" s="8"/>
      <c r="E272" s="8"/>
      <c r="F272" s="8"/>
      <c r="G272" s="8"/>
      <c r="H272" s="8"/>
      <c r="I272" s="9"/>
      <c r="J272" s="8"/>
      <c r="K272" s="8"/>
      <c r="L272" s="8"/>
      <c r="M272" s="8"/>
      <c r="N272" s="8"/>
      <c r="O272" s="8"/>
      <c r="P272" s="8"/>
      <c r="Q272" s="2"/>
      <c r="R272" s="2"/>
      <c r="S272" s="88" t="str">
        <f>IF(tblProcRegister[[#This Row],[Award]]&lt;&gt;"",tblProcRegister[[#This Row],[Budget]]-tblProcRegister[[#This Row],[Award]],"")</f>
        <v/>
      </c>
      <c r="T272" s="68"/>
      <c r="U272" s="68"/>
      <c r="V272" s="68"/>
      <c r="W272" s="77" t="str">
        <f>IF(AB272="","",WORKDAY.INTL(AB272,Z272*-1,1,Holidays[Date]))</f>
        <v/>
      </c>
      <c r="X272" s="77" t="str">
        <f t="shared" ca="1" si="4"/>
        <v/>
      </c>
      <c r="Y272" s="78"/>
      <c r="Z272" s="79"/>
      <c r="AA272" s="68"/>
      <c r="AB272" s="77" t="str">
        <f>IF(AG272="","",WORKDAY.INTL(AG272,AE272*-1,1,Holidays[Date]))</f>
        <v/>
      </c>
      <c r="AC272" s="77" t="str">
        <f ca="1">IFERROR(IF(AD272="",WORKDAY.INTL(X272,AA272,1,Holidays[Date]),AD272),"")</f>
        <v/>
      </c>
      <c r="AD272" s="78"/>
      <c r="AE272" s="80"/>
      <c r="AF272" s="68"/>
      <c r="AG272" s="77" t="str">
        <f>IF(AL272="","",WORKDAY.INTL(AL272,AJ272*-1,1,Holidays[Date]))</f>
        <v/>
      </c>
      <c r="AH272" s="77" t="str">
        <f ca="1">IFERROR(IF(AI272="",WORKDAY.INTL(AC272,AF272,1,Holidays[Date]),AI272),"")</f>
        <v/>
      </c>
      <c r="AI272" s="78"/>
      <c r="AJ272" s="80"/>
      <c r="AK272" s="68"/>
      <c r="AL272" s="77" t="str">
        <f>IF(AQ272="","",WORKDAY.INTL(AQ272,AO272*-1,1,Holidays[Date]))</f>
        <v/>
      </c>
      <c r="AM272" s="77" t="str">
        <f ca="1">IFERROR(IF(AN272="",WORKDAY.INTL(AH272,AK272,1,Holidays[Date]),AN272),"")</f>
        <v/>
      </c>
      <c r="AN272" s="78"/>
      <c r="AO272" s="80"/>
      <c r="AP272" s="68"/>
      <c r="AQ272" s="77" t="str">
        <f>IF(AV272="","",WORKDAY.INTL(AV272,AT272*-1,1,Holidays[Date]))</f>
        <v/>
      </c>
      <c r="AR272" s="77" t="str">
        <f ca="1">IFERROR(IF(AS272="",WORKDAY.INTL(AM272,AP272,1,Holidays[Date]),AS272),"")</f>
        <v/>
      </c>
      <c r="AS272" s="78"/>
      <c r="AT272" s="80"/>
      <c r="AU272" s="68"/>
      <c r="AV272" s="77" t="str">
        <f>IF(BA272="","",WORKDAY.INTL(BA272,AY272*-1,1,Holidays[Date]))</f>
        <v/>
      </c>
      <c r="AW272" s="77" t="str">
        <f ca="1">IFERROR(IF(AX272="",WORKDAY.INTL(AR272,AU272,1,Holidays[Date]),AX272),"")</f>
        <v/>
      </c>
      <c r="AX272" s="78"/>
      <c r="AY272" s="80"/>
      <c r="AZ272" s="68"/>
      <c r="BA272" s="77" t="str">
        <f>IF(BF272="","",WORKDAY.INTL(BF272,BD272*-1,1,Holidays[Date]))</f>
        <v/>
      </c>
      <c r="BB272" s="77" t="str">
        <f ca="1">IFERROR(IF(BC272="",WORKDAY.INTL(AW272,AZ272,1,Holidays[Date]),BC272),"")</f>
        <v/>
      </c>
      <c r="BC272" s="78"/>
      <c r="BD272" s="80"/>
      <c r="BE272" s="68"/>
      <c r="BF272" s="77" t="str">
        <f>IF(BK272="","",WORKDAY.INTL(BK272,BI272*-1,1,Holidays[Date]))</f>
        <v/>
      </c>
      <c r="BG272" s="77" t="str">
        <f ca="1">IFERROR(IF(BH272="",WORKDAY.INTL(BB272,BE272,1,Holidays[Date]),BH272),"")</f>
        <v/>
      </c>
      <c r="BH272" s="78"/>
      <c r="BI272" s="80"/>
      <c r="BJ272" s="68"/>
      <c r="BK272" s="77" t="str">
        <f>IF(BP272="","",WORKDAY.INTL(BP272,BN272*-1,1,Holidays[Date]))</f>
        <v/>
      </c>
      <c r="BL272" s="77" t="str">
        <f ca="1">IFERROR(IF(BM272="",WORKDAY.INTL(BG272,BJ272,1,Holidays[Date]),BM272),"")</f>
        <v/>
      </c>
      <c r="BM272" s="78"/>
      <c r="BN272" s="80"/>
      <c r="BO272" s="68"/>
      <c r="BP272" s="77" t="str">
        <f>IF(BU272="","",WORKDAY.INTL(BU272,BS272*-1,1,Holidays[Date]))</f>
        <v/>
      </c>
      <c r="BQ272" s="77" t="str">
        <f ca="1">IFERROR(IF(BR272="",WORKDAY.INTL(BL272,BO272,1,Holidays[Date]),BR272),"")</f>
        <v/>
      </c>
      <c r="BR272" s="78"/>
      <c r="BS272" s="80"/>
      <c r="BT272" s="68"/>
      <c r="BU272" s="77" t="str">
        <f>IF(BZ272="","",WORKDAY.INTL(BZ272,BX272*-1,1,Holidays[Date]))</f>
        <v/>
      </c>
      <c r="BV272" s="77" t="str">
        <f ca="1">IFERROR(IF(BW272="",WORKDAY.INTL(BQ272,BT272,1,Holidays[Date]),BW272),"")</f>
        <v/>
      </c>
      <c r="BW272" s="78"/>
      <c r="BX272" s="80"/>
      <c r="BY272" s="68"/>
      <c r="BZ272" s="81"/>
      <c r="CA272" s="77" t="str">
        <f ca="1">IFERROR(IF(CB272="",WORKDAY.INTL(BV272,BY272,1,Holidays[Date]),CB272),"")</f>
        <v/>
      </c>
      <c r="CB272" s="78"/>
    </row>
    <row r="273" spans="1:80" ht="19" customHeight="1" x14ac:dyDescent="0.35">
      <c r="A273" s="31"/>
      <c r="B273" s="82"/>
      <c r="C273" s="1"/>
      <c r="D273" s="8"/>
      <c r="E273" s="8"/>
      <c r="F273" s="8"/>
      <c r="G273" s="8"/>
      <c r="H273" s="8"/>
      <c r="I273" s="9"/>
      <c r="J273" s="8"/>
      <c r="K273" s="8"/>
      <c r="L273" s="8"/>
      <c r="M273" s="8"/>
      <c r="N273" s="8"/>
      <c r="O273" s="8"/>
      <c r="P273" s="8"/>
      <c r="Q273" s="2"/>
      <c r="R273" s="2"/>
      <c r="S273" s="88" t="str">
        <f>IF(tblProcRegister[[#This Row],[Award]]&lt;&gt;"",tblProcRegister[[#This Row],[Budget]]-tblProcRegister[[#This Row],[Award]],"")</f>
        <v/>
      </c>
      <c r="T273" s="68"/>
      <c r="U273" s="68"/>
      <c r="V273" s="68"/>
      <c r="W273" s="77" t="str">
        <f>IF(AB273="","",WORKDAY.INTL(AB273,Z273*-1,1,Holidays[Date]))</f>
        <v/>
      </c>
      <c r="X273" s="77" t="str">
        <f t="shared" ca="1" si="4"/>
        <v/>
      </c>
      <c r="Y273" s="78"/>
      <c r="Z273" s="79"/>
      <c r="AA273" s="68"/>
      <c r="AB273" s="77" t="str">
        <f>IF(AG273="","",WORKDAY.INTL(AG273,AE273*-1,1,Holidays[Date]))</f>
        <v/>
      </c>
      <c r="AC273" s="77" t="str">
        <f ca="1">IFERROR(IF(AD273="",WORKDAY.INTL(X273,AA273,1,Holidays[Date]),AD273),"")</f>
        <v/>
      </c>
      <c r="AD273" s="78"/>
      <c r="AE273" s="80"/>
      <c r="AF273" s="68"/>
      <c r="AG273" s="77" t="str">
        <f>IF(AL273="","",WORKDAY.INTL(AL273,AJ273*-1,1,Holidays[Date]))</f>
        <v/>
      </c>
      <c r="AH273" s="77" t="str">
        <f ca="1">IFERROR(IF(AI273="",WORKDAY.INTL(AC273,AF273,1,Holidays[Date]),AI273),"")</f>
        <v/>
      </c>
      <c r="AI273" s="78"/>
      <c r="AJ273" s="80"/>
      <c r="AK273" s="68"/>
      <c r="AL273" s="77" t="str">
        <f>IF(AQ273="","",WORKDAY.INTL(AQ273,AO273*-1,1,Holidays[Date]))</f>
        <v/>
      </c>
      <c r="AM273" s="77" t="str">
        <f ca="1">IFERROR(IF(AN273="",WORKDAY.INTL(AH273,AK273,1,Holidays[Date]),AN273),"")</f>
        <v/>
      </c>
      <c r="AN273" s="78"/>
      <c r="AO273" s="80"/>
      <c r="AP273" s="68"/>
      <c r="AQ273" s="77" t="str">
        <f>IF(AV273="","",WORKDAY.INTL(AV273,AT273*-1,1,Holidays[Date]))</f>
        <v/>
      </c>
      <c r="AR273" s="77" t="str">
        <f ca="1">IFERROR(IF(AS273="",WORKDAY.INTL(AM273,AP273,1,Holidays[Date]),AS273),"")</f>
        <v/>
      </c>
      <c r="AS273" s="78"/>
      <c r="AT273" s="80"/>
      <c r="AU273" s="68"/>
      <c r="AV273" s="77" t="str">
        <f>IF(BA273="","",WORKDAY.INTL(BA273,AY273*-1,1,Holidays[Date]))</f>
        <v/>
      </c>
      <c r="AW273" s="77" t="str">
        <f ca="1">IFERROR(IF(AX273="",WORKDAY.INTL(AR273,AU273,1,Holidays[Date]),AX273),"")</f>
        <v/>
      </c>
      <c r="AX273" s="78"/>
      <c r="AY273" s="80"/>
      <c r="AZ273" s="68"/>
      <c r="BA273" s="77" t="str">
        <f>IF(BF273="","",WORKDAY.INTL(BF273,BD273*-1,1,Holidays[Date]))</f>
        <v/>
      </c>
      <c r="BB273" s="77" t="str">
        <f ca="1">IFERROR(IF(BC273="",WORKDAY.INTL(AW273,AZ273,1,Holidays[Date]),BC273),"")</f>
        <v/>
      </c>
      <c r="BC273" s="78"/>
      <c r="BD273" s="80"/>
      <c r="BE273" s="68"/>
      <c r="BF273" s="77" t="str">
        <f>IF(BK273="","",WORKDAY.INTL(BK273,BI273*-1,1,Holidays[Date]))</f>
        <v/>
      </c>
      <c r="BG273" s="77" t="str">
        <f ca="1">IFERROR(IF(BH273="",WORKDAY.INTL(BB273,BE273,1,Holidays[Date]),BH273),"")</f>
        <v/>
      </c>
      <c r="BH273" s="78"/>
      <c r="BI273" s="80"/>
      <c r="BJ273" s="68"/>
      <c r="BK273" s="77" t="str">
        <f>IF(BP273="","",WORKDAY.INTL(BP273,BN273*-1,1,Holidays[Date]))</f>
        <v/>
      </c>
      <c r="BL273" s="77" t="str">
        <f ca="1">IFERROR(IF(BM273="",WORKDAY.INTL(BG273,BJ273,1,Holidays[Date]),BM273),"")</f>
        <v/>
      </c>
      <c r="BM273" s="78"/>
      <c r="BN273" s="80"/>
      <c r="BO273" s="68"/>
      <c r="BP273" s="77" t="str">
        <f>IF(BU273="","",WORKDAY.INTL(BU273,BS273*-1,1,Holidays[Date]))</f>
        <v/>
      </c>
      <c r="BQ273" s="77" t="str">
        <f ca="1">IFERROR(IF(BR273="",WORKDAY.INTL(BL273,BO273,1,Holidays[Date]),BR273),"")</f>
        <v/>
      </c>
      <c r="BR273" s="78"/>
      <c r="BS273" s="80"/>
      <c r="BT273" s="68"/>
      <c r="BU273" s="77" t="str">
        <f>IF(BZ273="","",WORKDAY.INTL(BZ273,BX273*-1,1,Holidays[Date]))</f>
        <v/>
      </c>
      <c r="BV273" s="77" t="str">
        <f ca="1">IFERROR(IF(BW273="",WORKDAY.INTL(BQ273,BT273,1,Holidays[Date]),BW273),"")</f>
        <v/>
      </c>
      <c r="BW273" s="78"/>
      <c r="BX273" s="80"/>
      <c r="BY273" s="68"/>
      <c r="BZ273" s="81"/>
      <c r="CA273" s="77" t="str">
        <f ca="1">IFERROR(IF(CB273="",WORKDAY.INTL(BV273,BY273,1,Holidays[Date]),CB273),"")</f>
        <v/>
      </c>
      <c r="CB273" s="78"/>
    </row>
    <row r="274" spans="1:80" ht="19" customHeight="1" x14ac:dyDescent="0.35">
      <c r="A274" s="31"/>
      <c r="B274" s="82"/>
      <c r="C274" s="1"/>
      <c r="D274" s="8"/>
      <c r="E274" s="8"/>
      <c r="F274" s="8"/>
      <c r="G274" s="8"/>
      <c r="H274" s="8"/>
      <c r="I274" s="9"/>
      <c r="J274" s="8"/>
      <c r="K274" s="8"/>
      <c r="L274" s="8"/>
      <c r="M274" s="8"/>
      <c r="N274" s="8"/>
      <c r="O274" s="8"/>
      <c r="P274" s="8"/>
      <c r="Q274" s="2"/>
      <c r="R274" s="2"/>
      <c r="S274" s="88" t="str">
        <f>IF(tblProcRegister[[#This Row],[Award]]&lt;&gt;"",tblProcRegister[[#This Row],[Budget]]-tblProcRegister[[#This Row],[Award]],"")</f>
        <v/>
      </c>
      <c r="T274" s="68"/>
      <c r="U274" s="68"/>
      <c r="V274" s="68"/>
      <c r="W274" s="77" t="str">
        <f>IF(AB274="","",WORKDAY.INTL(AB274,Z274*-1,1,Holidays[Date]))</f>
        <v/>
      </c>
      <c r="X274" s="77" t="str">
        <f t="shared" ca="1" si="4"/>
        <v/>
      </c>
      <c r="Y274" s="78"/>
      <c r="Z274" s="79"/>
      <c r="AA274" s="68"/>
      <c r="AB274" s="77" t="str">
        <f>IF(AG274="","",WORKDAY.INTL(AG274,AE274*-1,1,Holidays[Date]))</f>
        <v/>
      </c>
      <c r="AC274" s="77" t="str">
        <f ca="1">IFERROR(IF(AD274="",WORKDAY.INTL(X274,AA274,1,Holidays[Date]),AD274),"")</f>
        <v/>
      </c>
      <c r="AD274" s="78"/>
      <c r="AE274" s="80"/>
      <c r="AF274" s="68"/>
      <c r="AG274" s="77" t="str">
        <f>IF(AL274="","",WORKDAY.INTL(AL274,AJ274*-1,1,Holidays[Date]))</f>
        <v/>
      </c>
      <c r="AH274" s="77" t="str">
        <f ca="1">IFERROR(IF(AI274="",WORKDAY.INTL(AC274,AF274,1,Holidays[Date]),AI274),"")</f>
        <v/>
      </c>
      <c r="AI274" s="78"/>
      <c r="AJ274" s="80"/>
      <c r="AK274" s="68"/>
      <c r="AL274" s="77" t="str">
        <f>IF(AQ274="","",WORKDAY.INTL(AQ274,AO274*-1,1,Holidays[Date]))</f>
        <v/>
      </c>
      <c r="AM274" s="77" t="str">
        <f ca="1">IFERROR(IF(AN274="",WORKDAY.INTL(AH274,AK274,1,Holidays[Date]),AN274),"")</f>
        <v/>
      </c>
      <c r="AN274" s="78"/>
      <c r="AO274" s="80"/>
      <c r="AP274" s="68"/>
      <c r="AQ274" s="77" t="str">
        <f>IF(AV274="","",WORKDAY.INTL(AV274,AT274*-1,1,Holidays[Date]))</f>
        <v/>
      </c>
      <c r="AR274" s="77" t="str">
        <f ca="1">IFERROR(IF(AS274="",WORKDAY.INTL(AM274,AP274,1,Holidays[Date]),AS274),"")</f>
        <v/>
      </c>
      <c r="AS274" s="78"/>
      <c r="AT274" s="80"/>
      <c r="AU274" s="68"/>
      <c r="AV274" s="77" t="str">
        <f>IF(BA274="","",WORKDAY.INTL(BA274,AY274*-1,1,Holidays[Date]))</f>
        <v/>
      </c>
      <c r="AW274" s="77" t="str">
        <f ca="1">IFERROR(IF(AX274="",WORKDAY.INTL(AR274,AU274,1,Holidays[Date]),AX274),"")</f>
        <v/>
      </c>
      <c r="AX274" s="78"/>
      <c r="AY274" s="80"/>
      <c r="AZ274" s="68"/>
      <c r="BA274" s="77" t="str">
        <f>IF(BF274="","",WORKDAY.INTL(BF274,BD274*-1,1,Holidays[Date]))</f>
        <v/>
      </c>
      <c r="BB274" s="77" t="str">
        <f ca="1">IFERROR(IF(BC274="",WORKDAY.INTL(AW274,AZ274,1,Holidays[Date]),BC274),"")</f>
        <v/>
      </c>
      <c r="BC274" s="78"/>
      <c r="BD274" s="80"/>
      <c r="BE274" s="68"/>
      <c r="BF274" s="77" t="str">
        <f>IF(BK274="","",WORKDAY.INTL(BK274,BI274*-1,1,Holidays[Date]))</f>
        <v/>
      </c>
      <c r="BG274" s="77" t="str">
        <f ca="1">IFERROR(IF(BH274="",WORKDAY.INTL(BB274,BE274,1,Holidays[Date]),BH274),"")</f>
        <v/>
      </c>
      <c r="BH274" s="78"/>
      <c r="BI274" s="80"/>
      <c r="BJ274" s="68"/>
      <c r="BK274" s="77" t="str">
        <f>IF(BP274="","",WORKDAY.INTL(BP274,BN274*-1,1,Holidays[Date]))</f>
        <v/>
      </c>
      <c r="BL274" s="77" t="str">
        <f ca="1">IFERROR(IF(BM274="",WORKDAY.INTL(BG274,BJ274,1,Holidays[Date]),BM274),"")</f>
        <v/>
      </c>
      <c r="BM274" s="78"/>
      <c r="BN274" s="80"/>
      <c r="BO274" s="68"/>
      <c r="BP274" s="77" t="str">
        <f>IF(BU274="","",WORKDAY.INTL(BU274,BS274*-1,1,Holidays[Date]))</f>
        <v/>
      </c>
      <c r="BQ274" s="77" t="str">
        <f ca="1">IFERROR(IF(BR274="",WORKDAY.INTL(BL274,BO274,1,Holidays[Date]),BR274),"")</f>
        <v/>
      </c>
      <c r="BR274" s="78"/>
      <c r="BS274" s="80"/>
      <c r="BT274" s="68"/>
      <c r="BU274" s="77" t="str">
        <f>IF(BZ274="","",WORKDAY.INTL(BZ274,BX274*-1,1,Holidays[Date]))</f>
        <v/>
      </c>
      <c r="BV274" s="77" t="str">
        <f ca="1">IFERROR(IF(BW274="",WORKDAY.INTL(BQ274,BT274,1,Holidays[Date]),BW274),"")</f>
        <v/>
      </c>
      <c r="BW274" s="78"/>
      <c r="BX274" s="80"/>
      <c r="BY274" s="68"/>
      <c r="BZ274" s="81"/>
      <c r="CA274" s="77" t="str">
        <f ca="1">IFERROR(IF(CB274="",WORKDAY.INTL(BV274,BY274,1,Holidays[Date]),CB274),"")</f>
        <v/>
      </c>
      <c r="CB274" s="78"/>
    </row>
    <row r="275" spans="1:80" ht="19" customHeight="1" x14ac:dyDescent="0.35">
      <c r="A275" s="31"/>
      <c r="B275" s="82"/>
      <c r="C275" s="1"/>
      <c r="D275" s="8"/>
      <c r="E275" s="8"/>
      <c r="F275" s="8"/>
      <c r="G275" s="8"/>
      <c r="H275" s="8"/>
      <c r="I275" s="9"/>
      <c r="J275" s="8"/>
      <c r="K275" s="8"/>
      <c r="L275" s="8"/>
      <c r="M275" s="8"/>
      <c r="N275" s="8"/>
      <c r="O275" s="8"/>
      <c r="P275" s="8"/>
      <c r="Q275" s="2"/>
      <c r="R275" s="2"/>
      <c r="S275" s="88" t="str">
        <f>IF(tblProcRegister[[#This Row],[Award]]&lt;&gt;"",tblProcRegister[[#This Row],[Budget]]-tblProcRegister[[#This Row],[Award]],"")</f>
        <v/>
      </c>
      <c r="T275" s="68"/>
      <c r="U275" s="68"/>
      <c r="V275" s="68"/>
      <c r="W275" s="77" t="str">
        <f>IF(AB275="","",WORKDAY.INTL(AB275,Z275*-1,1,Holidays[Date]))</f>
        <v/>
      </c>
      <c r="X275" s="77" t="str">
        <f t="shared" ca="1" si="4"/>
        <v/>
      </c>
      <c r="Y275" s="78"/>
      <c r="Z275" s="79"/>
      <c r="AA275" s="68"/>
      <c r="AB275" s="77" t="str">
        <f>IF(AG275="","",WORKDAY.INTL(AG275,AE275*-1,1,Holidays[Date]))</f>
        <v/>
      </c>
      <c r="AC275" s="77" t="str">
        <f ca="1">IFERROR(IF(AD275="",WORKDAY.INTL(X275,AA275,1,Holidays[Date]),AD275),"")</f>
        <v/>
      </c>
      <c r="AD275" s="78"/>
      <c r="AE275" s="80"/>
      <c r="AF275" s="68"/>
      <c r="AG275" s="77" t="str">
        <f>IF(AL275="","",WORKDAY.INTL(AL275,AJ275*-1,1,Holidays[Date]))</f>
        <v/>
      </c>
      <c r="AH275" s="77" t="str">
        <f ca="1">IFERROR(IF(AI275="",WORKDAY.INTL(AC275,AF275,1,Holidays[Date]),AI275),"")</f>
        <v/>
      </c>
      <c r="AI275" s="78"/>
      <c r="AJ275" s="80"/>
      <c r="AK275" s="68"/>
      <c r="AL275" s="77" t="str">
        <f>IF(AQ275="","",WORKDAY.INTL(AQ275,AO275*-1,1,Holidays[Date]))</f>
        <v/>
      </c>
      <c r="AM275" s="77" t="str">
        <f ca="1">IFERROR(IF(AN275="",WORKDAY.INTL(AH275,AK275,1,Holidays[Date]),AN275),"")</f>
        <v/>
      </c>
      <c r="AN275" s="78"/>
      <c r="AO275" s="80"/>
      <c r="AP275" s="68"/>
      <c r="AQ275" s="77" t="str">
        <f>IF(AV275="","",WORKDAY.INTL(AV275,AT275*-1,1,Holidays[Date]))</f>
        <v/>
      </c>
      <c r="AR275" s="77" t="str">
        <f ca="1">IFERROR(IF(AS275="",WORKDAY.INTL(AM275,AP275,1,Holidays[Date]),AS275),"")</f>
        <v/>
      </c>
      <c r="AS275" s="78"/>
      <c r="AT275" s="80"/>
      <c r="AU275" s="68"/>
      <c r="AV275" s="77" t="str">
        <f>IF(BA275="","",WORKDAY.INTL(BA275,AY275*-1,1,Holidays[Date]))</f>
        <v/>
      </c>
      <c r="AW275" s="77" t="str">
        <f ca="1">IFERROR(IF(AX275="",WORKDAY.INTL(AR275,AU275,1,Holidays[Date]),AX275),"")</f>
        <v/>
      </c>
      <c r="AX275" s="78"/>
      <c r="AY275" s="80"/>
      <c r="AZ275" s="68"/>
      <c r="BA275" s="77" t="str">
        <f>IF(BF275="","",WORKDAY.INTL(BF275,BD275*-1,1,Holidays[Date]))</f>
        <v/>
      </c>
      <c r="BB275" s="77" t="str">
        <f ca="1">IFERROR(IF(BC275="",WORKDAY.INTL(AW275,AZ275,1,Holidays[Date]),BC275),"")</f>
        <v/>
      </c>
      <c r="BC275" s="78"/>
      <c r="BD275" s="80"/>
      <c r="BE275" s="68"/>
      <c r="BF275" s="77" t="str">
        <f>IF(BK275="","",WORKDAY.INTL(BK275,BI275*-1,1,Holidays[Date]))</f>
        <v/>
      </c>
      <c r="BG275" s="77" t="str">
        <f ca="1">IFERROR(IF(BH275="",WORKDAY.INTL(BB275,BE275,1,Holidays[Date]),BH275),"")</f>
        <v/>
      </c>
      <c r="BH275" s="78"/>
      <c r="BI275" s="80"/>
      <c r="BJ275" s="68"/>
      <c r="BK275" s="77" t="str">
        <f>IF(BP275="","",WORKDAY.INTL(BP275,BN275*-1,1,Holidays[Date]))</f>
        <v/>
      </c>
      <c r="BL275" s="77" t="str">
        <f ca="1">IFERROR(IF(BM275="",WORKDAY.INTL(BG275,BJ275,1,Holidays[Date]),BM275),"")</f>
        <v/>
      </c>
      <c r="BM275" s="78"/>
      <c r="BN275" s="80"/>
      <c r="BO275" s="68"/>
      <c r="BP275" s="77" t="str">
        <f>IF(BU275="","",WORKDAY.INTL(BU275,BS275*-1,1,Holidays[Date]))</f>
        <v/>
      </c>
      <c r="BQ275" s="77" t="str">
        <f ca="1">IFERROR(IF(BR275="",WORKDAY.INTL(BL275,BO275,1,Holidays[Date]),BR275),"")</f>
        <v/>
      </c>
      <c r="BR275" s="78"/>
      <c r="BS275" s="80"/>
      <c r="BT275" s="68"/>
      <c r="BU275" s="77" t="str">
        <f>IF(BZ275="","",WORKDAY.INTL(BZ275,BX275*-1,1,Holidays[Date]))</f>
        <v/>
      </c>
      <c r="BV275" s="77" t="str">
        <f ca="1">IFERROR(IF(BW275="",WORKDAY.INTL(BQ275,BT275,1,Holidays[Date]),BW275),"")</f>
        <v/>
      </c>
      <c r="BW275" s="78"/>
      <c r="BX275" s="80"/>
      <c r="BY275" s="68"/>
      <c r="BZ275" s="81"/>
      <c r="CA275" s="77" t="str">
        <f ca="1">IFERROR(IF(CB275="",WORKDAY.INTL(BV275,BY275,1,Holidays[Date]),CB275),"")</f>
        <v/>
      </c>
      <c r="CB275" s="78"/>
    </row>
    <row r="276" spans="1:80" ht="19" customHeight="1" x14ac:dyDescent="0.35">
      <c r="A276" s="31"/>
      <c r="B276" s="82"/>
      <c r="C276" s="1"/>
      <c r="D276" s="8"/>
      <c r="E276" s="8"/>
      <c r="F276" s="8"/>
      <c r="G276" s="8"/>
      <c r="H276" s="8"/>
      <c r="I276" s="9"/>
      <c r="J276" s="8"/>
      <c r="K276" s="8"/>
      <c r="L276" s="8"/>
      <c r="M276" s="8"/>
      <c r="N276" s="8"/>
      <c r="O276" s="8"/>
      <c r="P276" s="8"/>
      <c r="Q276" s="2"/>
      <c r="R276" s="2"/>
      <c r="S276" s="88" t="str">
        <f>IF(tblProcRegister[[#This Row],[Award]]&lt;&gt;"",tblProcRegister[[#This Row],[Budget]]-tblProcRegister[[#This Row],[Award]],"")</f>
        <v/>
      </c>
      <c r="T276" s="68"/>
      <c r="U276" s="68"/>
      <c r="V276" s="68"/>
      <c r="W276" s="77" t="str">
        <f>IF(AB276="","",WORKDAY.INTL(AB276,Z276*-1,1,Holidays[Date]))</f>
        <v/>
      </c>
      <c r="X276" s="77" t="str">
        <f t="shared" ca="1" si="4"/>
        <v/>
      </c>
      <c r="Y276" s="78"/>
      <c r="Z276" s="79"/>
      <c r="AA276" s="68"/>
      <c r="AB276" s="77" t="str">
        <f>IF(AG276="","",WORKDAY.INTL(AG276,AE276*-1,1,Holidays[Date]))</f>
        <v/>
      </c>
      <c r="AC276" s="77" t="str">
        <f ca="1">IFERROR(IF(AD276="",WORKDAY.INTL(X276,AA276,1,Holidays[Date]),AD276),"")</f>
        <v/>
      </c>
      <c r="AD276" s="78"/>
      <c r="AE276" s="80"/>
      <c r="AF276" s="68"/>
      <c r="AG276" s="77" t="str">
        <f>IF(AL276="","",WORKDAY.INTL(AL276,AJ276*-1,1,Holidays[Date]))</f>
        <v/>
      </c>
      <c r="AH276" s="77" t="str">
        <f ca="1">IFERROR(IF(AI276="",WORKDAY.INTL(AC276,AF276,1,Holidays[Date]),AI276),"")</f>
        <v/>
      </c>
      <c r="AI276" s="78"/>
      <c r="AJ276" s="80"/>
      <c r="AK276" s="68"/>
      <c r="AL276" s="77" t="str">
        <f>IF(AQ276="","",WORKDAY.INTL(AQ276,AO276*-1,1,Holidays[Date]))</f>
        <v/>
      </c>
      <c r="AM276" s="77" t="str">
        <f ca="1">IFERROR(IF(AN276="",WORKDAY.INTL(AH276,AK276,1,Holidays[Date]),AN276),"")</f>
        <v/>
      </c>
      <c r="AN276" s="78"/>
      <c r="AO276" s="80"/>
      <c r="AP276" s="68"/>
      <c r="AQ276" s="77" t="str">
        <f>IF(AV276="","",WORKDAY.INTL(AV276,AT276*-1,1,Holidays[Date]))</f>
        <v/>
      </c>
      <c r="AR276" s="77" t="str">
        <f ca="1">IFERROR(IF(AS276="",WORKDAY.INTL(AM276,AP276,1,Holidays[Date]),AS276),"")</f>
        <v/>
      </c>
      <c r="AS276" s="78"/>
      <c r="AT276" s="80"/>
      <c r="AU276" s="68"/>
      <c r="AV276" s="77" t="str">
        <f>IF(BA276="","",WORKDAY.INTL(BA276,AY276*-1,1,Holidays[Date]))</f>
        <v/>
      </c>
      <c r="AW276" s="77" t="str">
        <f ca="1">IFERROR(IF(AX276="",WORKDAY.INTL(AR276,AU276,1,Holidays[Date]),AX276),"")</f>
        <v/>
      </c>
      <c r="AX276" s="78"/>
      <c r="AY276" s="80"/>
      <c r="AZ276" s="68"/>
      <c r="BA276" s="77" t="str">
        <f>IF(BF276="","",WORKDAY.INTL(BF276,BD276*-1,1,Holidays[Date]))</f>
        <v/>
      </c>
      <c r="BB276" s="77" t="str">
        <f ca="1">IFERROR(IF(BC276="",WORKDAY.INTL(AW276,AZ276,1,Holidays[Date]),BC276),"")</f>
        <v/>
      </c>
      <c r="BC276" s="78"/>
      <c r="BD276" s="80"/>
      <c r="BE276" s="68"/>
      <c r="BF276" s="77" t="str">
        <f>IF(BK276="","",WORKDAY.INTL(BK276,BI276*-1,1,Holidays[Date]))</f>
        <v/>
      </c>
      <c r="BG276" s="77" t="str">
        <f ca="1">IFERROR(IF(BH276="",WORKDAY.INTL(BB276,BE276,1,Holidays[Date]),BH276),"")</f>
        <v/>
      </c>
      <c r="BH276" s="78"/>
      <c r="BI276" s="80"/>
      <c r="BJ276" s="68"/>
      <c r="BK276" s="77" t="str">
        <f>IF(BP276="","",WORKDAY.INTL(BP276,BN276*-1,1,Holidays[Date]))</f>
        <v/>
      </c>
      <c r="BL276" s="77" t="str">
        <f ca="1">IFERROR(IF(BM276="",WORKDAY.INTL(BG276,BJ276,1,Holidays[Date]),BM276),"")</f>
        <v/>
      </c>
      <c r="BM276" s="78"/>
      <c r="BN276" s="80"/>
      <c r="BO276" s="68"/>
      <c r="BP276" s="77" t="str">
        <f>IF(BU276="","",WORKDAY.INTL(BU276,BS276*-1,1,Holidays[Date]))</f>
        <v/>
      </c>
      <c r="BQ276" s="77" t="str">
        <f ca="1">IFERROR(IF(BR276="",WORKDAY.INTL(BL276,BO276,1,Holidays[Date]),BR276),"")</f>
        <v/>
      </c>
      <c r="BR276" s="78"/>
      <c r="BS276" s="80"/>
      <c r="BT276" s="68"/>
      <c r="BU276" s="77" t="str">
        <f>IF(BZ276="","",WORKDAY.INTL(BZ276,BX276*-1,1,Holidays[Date]))</f>
        <v/>
      </c>
      <c r="BV276" s="77" t="str">
        <f ca="1">IFERROR(IF(BW276="",WORKDAY.INTL(BQ276,BT276,1,Holidays[Date]),BW276),"")</f>
        <v/>
      </c>
      <c r="BW276" s="78"/>
      <c r="BX276" s="80"/>
      <c r="BY276" s="68"/>
      <c r="BZ276" s="81"/>
      <c r="CA276" s="77" t="str">
        <f ca="1">IFERROR(IF(CB276="",WORKDAY.INTL(BV276,BY276,1,Holidays[Date]),CB276),"")</f>
        <v/>
      </c>
      <c r="CB276" s="78"/>
    </row>
    <row r="277" spans="1:80" ht="19" customHeight="1" x14ac:dyDescent="0.35">
      <c r="A277" s="31"/>
      <c r="B277" s="82"/>
      <c r="C277" s="1"/>
      <c r="D277" s="8"/>
      <c r="E277" s="8"/>
      <c r="F277" s="8"/>
      <c r="G277" s="8"/>
      <c r="H277" s="8"/>
      <c r="I277" s="9"/>
      <c r="J277" s="8"/>
      <c r="K277" s="8"/>
      <c r="L277" s="8"/>
      <c r="M277" s="8"/>
      <c r="N277" s="8"/>
      <c r="O277" s="8"/>
      <c r="P277" s="8"/>
      <c r="Q277" s="2"/>
      <c r="R277" s="2"/>
      <c r="S277" s="88" t="str">
        <f>IF(tblProcRegister[[#This Row],[Award]]&lt;&gt;"",tblProcRegister[[#This Row],[Budget]]-tblProcRegister[[#This Row],[Award]],"")</f>
        <v/>
      </c>
      <c r="T277" s="68"/>
      <c r="U277" s="68"/>
      <c r="V277" s="68"/>
      <c r="W277" s="77" t="str">
        <f>IF(AB277="","",WORKDAY.INTL(AB277,Z277*-1,1,Holidays[Date]))</f>
        <v/>
      </c>
      <c r="X277" s="77" t="str">
        <f t="shared" ca="1" si="4"/>
        <v/>
      </c>
      <c r="Y277" s="78"/>
      <c r="Z277" s="79"/>
      <c r="AA277" s="68"/>
      <c r="AB277" s="77" t="str">
        <f>IF(AG277="","",WORKDAY.INTL(AG277,AE277*-1,1,Holidays[Date]))</f>
        <v/>
      </c>
      <c r="AC277" s="77" t="str">
        <f ca="1">IFERROR(IF(AD277="",WORKDAY.INTL(X277,AA277,1,Holidays[Date]),AD277),"")</f>
        <v/>
      </c>
      <c r="AD277" s="78"/>
      <c r="AE277" s="80"/>
      <c r="AF277" s="68"/>
      <c r="AG277" s="77" t="str">
        <f>IF(AL277="","",WORKDAY.INTL(AL277,AJ277*-1,1,Holidays[Date]))</f>
        <v/>
      </c>
      <c r="AH277" s="77" t="str">
        <f ca="1">IFERROR(IF(AI277="",WORKDAY.INTL(AC277,AF277,1,Holidays[Date]),AI277),"")</f>
        <v/>
      </c>
      <c r="AI277" s="78"/>
      <c r="AJ277" s="80"/>
      <c r="AK277" s="68"/>
      <c r="AL277" s="77" t="str">
        <f>IF(AQ277="","",WORKDAY.INTL(AQ277,AO277*-1,1,Holidays[Date]))</f>
        <v/>
      </c>
      <c r="AM277" s="77" t="str">
        <f ca="1">IFERROR(IF(AN277="",WORKDAY.INTL(AH277,AK277,1,Holidays[Date]),AN277),"")</f>
        <v/>
      </c>
      <c r="AN277" s="78"/>
      <c r="AO277" s="80"/>
      <c r="AP277" s="68"/>
      <c r="AQ277" s="77" t="str">
        <f>IF(AV277="","",WORKDAY.INTL(AV277,AT277*-1,1,Holidays[Date]))</f>
        <v/>
      </c>
      <c r="AR277" s="77" t="str">
        <f ca="1">IFERROR(IF(AS277="",WORKDAY.INTL(AM277,AP277,1,Holidays[Date]),AS277),"")</f>
        <v/>
      </c>
      <c r="AS277" s="78"/>
      <c r="AT277" s="80"/>
      <c r="AU277" s="68"/>
      <c r="AV277" s="77" t="str">
        <f>IF(BA277="","",WORKDAY.INTL(BA277,AY277*-1,1,Holidays[Date]))</f>
        <v/>
      </c>
      <c r="AW277" s="77" t="str">
        <f ca="1">IFERROR(IF(AX277="",WORKDAY.INTL(AR277,AU277,1,Holidays[Date]),AX277),"")</f>
        <v/>
      </c>
      <c r="AX277" s="78"/>
      <c r="AY277" s="80"/>
      <c r="AZ277" s="68"/>
      <c r="BA277" s="77" t="str">
        <f>IF(BF277="","",WORKDAY.INTL(BF277,BD277*-1,1,Holidays[Date]))</f>
        <v/>
      </c>
      <c r="BB277" s="77" t="str">
        <f ca="1">IFERROR(IF(BC277="",WORKDAY.INTL(AW277,AZ277,1,Holidays[Date]),BC277),"")</f>
        <v/>
      </c>
      <c r="BC277" s="78"/>
      <c r="BD277" s="80"/>
      <c r="BE277" s="68"/>
      <c r="BF277" s="77" t="str">
        <f>IF(BK277="","",WORKDAY.INTL(BK277,BI277*-1,1,Holidays[Date]))</f>
        <v/>
      </c>
      <c r="BG277" s="77" t="str">
        <f ca="1">IFERROR(IF(BH277="",WORKDAY.INTL(BB277,BE277,1,Holidays[Date]),BH277),"")</f>
        <v/>
      </c>
      <c r="BH277" s="78"/>
      <c r="BI277" s="80"/>
      <c r="BJ277" s="68"/>
      <c r="BK277" s="77" t="str">
        <f>IF(BP277="","",WORKDAY.INTL(BP277,BN277*-1,1,Holidays[Date]))</f>
        <v/>
      </c>
      <c r="BL277" s="77" t="str">
        <f ca="1">IFERROR(IF(BM277="",WORKDAY.INTL(BG277,BJ277,1,Holidays[Date]),BM277),"")</f>
        <v/>
      </c>
      <c r="BM277" s="78"/>
      <c r="BN277" s="80"/>
      <c r="BO277" s="68"/>
      <c r="BP277" s="77" t="str">
        <f>IF(BU277="","",WORKDAY.INTL(BU277,BS277*-1,1,Holidays[Date]))</f>
        <v/>
      </c>
      <c r="BQ277" s="77" t="str">
        <f ca="1">IFERROR(IF(BR277="",WORKDAY.INTL(BL277,BO277,1,Holidays[Date]),BR277),"")</f>
        <v/>
      </c>
      <c r="BR277" s="78"/>
      <c r="BS277" s="80"/>
      <c r="BT277" s="68"/>
      <c r="BU277" s="77" t="str">
        <f>IF(BZ277="","",WORKDAY.INTL(BZ277,BX277*-1,1,Holidays[Date]))</f>
        <v/>
      </c>
      <c r="BV277" s="77" t="str">
        <f ca="1">IFERROR(IF(BW277="",WORKDAY.INTL(BQ277,BT277,1,Holidays[Date]),BW277),"")</f>
        <v/>
      </c>
      <c r="BW277" s="78"/>
      <c r="BX277" s="80"/>
      <c r="BY277" s="68"/>
      <c r="BZ277" s="81"/>
      <c r="CA277" s="77" t="str">
        <f ca="1">IFERROR(IF(CB277="",WORKDAY.INTL(BV277,BY277,1,Holidays[Date]),CB277),"")</f>
        <v/>
      </c>
      <c r="CB277" s="78"/>
    </row>
    <row r="278" spans="1:80" ht="19" customHeight="1" x14ac:dyDescent="0.35">
      <c r="A278" s="31"/>
      <c r="B278" s="82"/>
      <c r="C278" s="1"/>
      <c r="D278" s="8"/>
      <c r="E278" s="8"/>
      <c r="F278" s="8"/>
      <c r="G278" s="8"/>
      <c r="H278" s="8"/>
      <c r="I278" s="9"/>
      <c r="J278" s="8"/>
      <c r="K278" s="8"/>
      <c r="L278" s="8"/>
      <c r="M278" s="8"/>
      <c r="N278" s="8"/>
      <c r="O278" s="8"/>
      <c r="P278" s="8"/>
      <c r="Q278" s="2"/>
      <c r="R278" s="2"/>
      <c r="S278" s="88" t="str">
        <f>IF(tblProcRegister[[#This Row],[Award]]&lt;&gt;"",tblProcRegister[[#This Row],[Budget]]-tblProcRegister[[#This Row],[Award]],"")</f>
        <v/>
      </c>
      <c r="T278" s="68"/>
      <c r="U278" s="68"/>
      <c r="V278" s="68"/>
      <c r="W278" s="77" t="str">
        <f>IF(AB278="","",WORKDAY.INTL(AB278,Z278*-1,1,Holidays[Date]))</f>
        <v/>
      </c>
      <c r="X278" s="77" t="str">
        <f t="shared" ca="1" si="4"/>
        <v/>
      </c>
      <c r="Y278" s="78"/>
      <c r="Z278" s="79"/>
      <c r="AA278" s="68"/>
      <c r="AB278" s="77" t="str">
        <f>IF(AG278="","",WORKDAY.INTL(AG278,AE278*-1,1,Holidays[Date]))</f>
        <v/>
      </c>
      <c r="AC278" s="77" t="str">
        <f ca="1">IFERROR(IF(AD278="",WORKDAY.INTL(X278,AA278,1,Holidays[Date]),AD278),"")</f>
        <v/>
      </c>
      <c r="AD278" s="78"/>
      <c r="AE278" s="80"/>
      <c r="AF278" s="68"/>
      <c r="AG278" s="77" t="str">
        <f>IF(AL278="","",WORKDAY.INTL(AL278,AJ278*-1,1,Holidays[Date]))</f>
        <v/>
      </c>
      <c r="AH278" s="77" t="str">
        <f ca="1">IFERROR(IF(AI278="",WORKDAY.INTL(AC278,AF278,1,Holidays[Date]),AI278),"")</f>
        <v/>
      </c>
      <c r="AI278" s="78"/>
      <c r="AJ278" s="80"/>
      <c r="AK278" s="68"/>
      <c r="AL278" s="77" t="str">
        <f>IF(AQ278="","",WORKDAY.INTL(AQ278,AO278*-1,1,Holidays[Date]))</f>
        <v/>
      </c>
      <c r="AM278" s="77" t="str">
        <f ca="1">IFERROR(IF(AN278="",WORKDAY.INTL(AH278,AK278,1,Holidays[Date]),AN278),"")</f>
        <v/>
      </c>
      <c r="AN278" s="78"/>
      <c r="AO278" s="80"/>
      <c r="AP278" s="68"/>
      <c r="AQ278" s="77" t="str">
        <f>IF(AV278="","",WORKDAY.INTL(AV278,AT278*-1,1,Holidays[Date]))</f>
        <v/>
      </c>
      <c r="AR278" s="77" t="str">
        <f ca="1">IFERROR(IF(AS278="",WORKDAY.INTL(AM278,AP278,1,Holidays[Date]),AS278),"")</f>
        <v/>
      </c>
      <c r="AS278" s="78"/>
      <c r="AT278" s="80"/>
      <c r="AU278" s="68"/>
      <c r="AV278" s="77" t="str">
        <f>IF(BA278="","",WORKDAY.INTL(BA278,AY278*-1,1,Holidays[Date]))</f>
        <v/>
      </c>
      <c r="AW278" s="77" t="str">
        <f ca="1">IFERROR(IF(AX278="",WORKDAY.INTL(AR278,AU278,1,Holidays[Date]),AX278),"")</f>
        <v/>
      </c>
      <c r="AX278" s="78"/>
      <c r="AY278" s="80"/>
      <c r="AZ278" s="68"/>
      <c r="BA278" s="77" t="str">
        <f>IF(BF278="","",WORKDAY.INTL(BF278,BD278*-1,1,Holidays[Date]))</f>
        <v/>
      </c>
      <c r="BB278" s="77" t="str">
        <f ca="1">IFERROR(IF(BC278="",WORKDAY.INTL(AW278,AZ278,1,Holidays[Date]),BC278),"")</f>
        <v/>
      </c>
      <c r="BC278" s="78"/>
      <c r="BD278" s="80"/>
      <c r="BE278" s="68"/>
      <c r="BF278" s="77" t="str">
        <f>IF(BK278="","",WORKDAY.INTL(BK278,BI278*-1,1,Holidays[Date]))</f>
        <v/>
      </c>
      <c r="BG278" s="77" t="str">
        <f ca="1">IFERROR(IF(BH278="",WORKDAY.INTL(BB278,BE278,1,Holidays[Date]),BH278),"")</f>
        <v/>
      </c>
      <c r="BH278" s="78"/>
      <c r="BI278" s="80"/>
      <c r="BJ278" s="68"/>
      <c r="BK278" s="77" t="str">
        <f>IF(BP278="","",WORKDAY.INTL(BP278,BN278*-1,1,Holidays[Date]))</f>
        <v/>
      </c>
      <c r="BL278" s="77" t="str">
        <f ca="1">IFERROR(IF(BM278="",WORKDAY.INTL(BG278,BJ278,1,Holidays[Date]),BM278),"")</f>
        <v/>
      </c>
      <c r="BM278" s="78"/>
      <c r="BN278" s="80"/>
      <c r="BO278" s="68"/>
      <c r="BP278" s="77" t="str">
        <f>IF(BU278="","",WORKDAY.INTL(BU278,BS278*-1,1,Holidays[Date]))</f>
        <v/>
      </c>
      <c r="BQ278" s="77" t="str">
        <f ca="1">IFERROR(IF(BR278="",WORKDAY.INTL(BL278,BO278,1,Holidays[Date]),BR278),"")</f>
        <v/>
      </c>
      <c r="BR278" s="78"/>
      <c r="BS278" s="80"/>
      <c r="BT278" s="68"/>
      <c r="BU278" s="77" t="str">
        <f>IF(BZ278="","",WORKDAY.INTL(BZ278,BX278*-1,1,Holidays[Date]))</f>
        <v/>
      </c>
      <c r="BV278" s="77" t="str">
        <f ca="1">IFERROR(IF(BW278="",WORKDAY.INTL(BQ278,BT278,1,Holidays[Date]),BW278),"")</f>
        <v/>
      </c>
      <c r="BW278" s="78"/>
      <c r="BX278" s="80"/>
      <c r="BY278" s="68"/>
      <c r="BZ278" s="81"/>
      <c r="CA278" s="77" t="str">
        <f ca="1">IFERROR(IF(CB278="",WORKDAY.INTL(BV278,BY278,1,Holidays[Date]),CB278),"")</f>
        <v/>
      </c>
      <c r="CB278" s="78"/>
    </row>
    <row r="279" spans="1:80" ht="19" customHeight="1" x14ac:dyDescent="0.35">
      <c r="A279" s="31"/>
      <c r="B279" s="82"/>
      <c r="C279" s="1"/>
      <c r="D279" s="8"/>
      <c r="E279" s="8"/>
      <c r="F279" s="8"/>
      <c r="G279" s="8"/>
      <c r="H279" s="8"/>
      <c r="I279" s="9"/>
      <c r="J279" s="8"/>
      <c r="K279" s="8"/>
      <c r="L279" s="8"/>
      <c r="M279" s="8"/>
      <c r="N279" s="8"/>
      <c r="O279" s="8"/>
      <c r="P279" s="8"/>
      <c r="Q279" s="2"/>
      <c r="R279" s="2"/>
      <c r="S279" s="88" t="str">
        <f>IF(tblProcRegister[[#This Row],[Award]]&lt;&gt;"",tblProcRegister[[#This Row],[Budget]]-tblProcRegister[[#This Row],[Award]],"")</f>
        <v/>
      </c>
      <c r="T279" s="68"/>
      <c r="U279" s="68"/>
      <c r="V279" s="68"/>
      <c r="W279" s="77" t="str">
        <f>IF(AB279="","",WORKDAY.INTL(AB279,Z279*-1,1,Holidays[Date]))</f>
        <v/>
      </c>
      <c r="X279" s="77" t="str">
        <f t="shared" ca="1" si="4"/>
        <v/>
      </c>
      <c r="Y279" s="78"/>
      <c r="Z279" s="79"/>
      <c r="AA279" s="68"/>
      <c r="AB279" s="77" t="str">
        <f>IF(AG279="","",WORKDAY.INTL(AG279,AE279*-1,1,Holidays[Date]))</f>
        <v/>
      </c>
      <c r="AC279" s="77" t="str">
        <f ca="1">IFERROR(IF(AD279="",WORKDAY.INTL(X279,AA279,1,Holidays[Date]),AD279),"")</f>
        <v/>
      </c>
      <c r="AD279" s="78"/>
      <c r="AE279" s="80"/>
      <c r="AF279" s="68"/>
      <c r="AG279" s="77" t="str">
        <f>IF(AL279="","",WORKDAY.INTL(AL279,AJ279*-1,1,Holidays[Date]))</f>
        <v/>
      </c>
      <c r="AH279" s="77" t="str">
        <f ca="1">IFERROR(IF(AI279="",WORKDAY.INTL(AC279,AF279,1,Holidays[Date]),AI279),"")</f>
        <v/>
      </c>
      <c r="AI279" s="78"/>
      <c r="AJ279" s="80"/>
      <c r="AK279" s="68"/>
      <c r="AL279" s="77" t="str">
        <f>IF(AQ279="","",WORKDAY.INTL(AQ279,AO279*-1,1,Holidays[Date]))</f>
        <v/>
      </c>
      <c r="AM279" s="77" t="str">
        <f ca="1">IFERROR(IF(AN279="",WORKDAY.INTL(AH279,AK279,1,Holidays[Date]),AN279),"")</f>
        <v/>
      </c>
      <c r="AN279" s="78"/>
      <c r="AO279" s="80"/>
      <c r="AP279" s="68"/>
      <c r="AQ279" s="77" t="str">
        <f>IF(AV279="","",WORKDAY.INTL(AV279,AT279*-1,1,Holidays[Date]))</f>
        <v/>
      </c>
      <c r="AR279" s="77" t="str">
        <f ca="1">IFERROR(IF(AS279="",WORKDAY.INTL(AM279,AP279,1,Holidays[Date]),AS279),"")</f>
        <v/>
      </c>
      <c r="AS279" s="78"/>
      <c r="AT279" s="80"/>
      <c r="AU279" s="68"/>
      <c r="AV279" s="77" t="str">
        <f>IF(BA279="","",WORKDAY.INTL(BA279,AY279*-1,1,Holidays[Date]))</f>
        <v/>
      </c>
      <c r="AW279" s="77" t="str">
        <f ca="1">IFERROR(IF(AX279="",WORKDAY.INTL(AR279,AU279,1,Holidays[Date]),AX279),"")</f>
        <v/>
      </c>
      <c r="AX279" s="78"/>
      <c r="AY279" s="80"/>
      <c r="AZ279" s="68"/>
      <c r="BA279" s="77" t="str">
        <f>IF(BF279="","",WORKDAY.INTL(BF279,BD279*-1,1,Holidays[Date]))</f>
        <v/>
      </c>
      <c r="BB279" s="77" t="str">
        <f ca="1">IFERROR(IF(BC279="",WORKDAY.INTL(AW279,AZ279,1,Holidays[Date]),BC279),"")</f>
        <v/>
      </c>
      <c r="BC279" s="78"/>
      <c r="BD279" s="80"/>
      <c r="BE279" s="68"/>
      <c r="BF279" s="77" t="str">
        <f>IF(BK279="","",WORKDAY.INTL(BK279,BI279*-1,1,Holidays[Date]))</f>
        <v/>
      </c>
      <c r="BG279" s="77" t="str">
        <f ca="1">IFERROR(IF(BH279="",WORKDAY.INTL(BB279,BE279,1,Holidays[Date]),BH279),"")</f>
        <v/>
      </c>
      <c r="BH279" s="78"/>
      <c r="BI279" s="80"/>
      <c r="BJ279" s="68"/>
      <c r="BK279" s="77" t="str">
        <f>IF(BP279="","",WORKDAY.INTL(BP279,BN279*-1,1,Holidays[Date]))</f>
        <v/>
      </c>
      <c r="BL279" s="77" t="str">
        <f ca="1">IFERROR(IF(BM279="",WORKDAY.INTL(BG279,BJ279,1,Holidays[Date]),BM279),"")</f>
        <v/>
      </c>
      <c r="BM279" s="78"/>
      <c r="BN279" s="80"/>
      <c r="BO279" s="68"/>
      <c r="BP279" s="77" t="str">
        <f>IF(BU279="","",WORKDAY.INTL(BU279,BS279*-1,1,Holidays[Date]))</f>
        <v/>
      </c>
      <c r="BQ279" s="77" t="str">
        <f ca="1">IFERROR(IF(BR279="",WORKDAY.INTL(BL279,BO279,1,Holidays[Date]),BR279),"")</f>
        <v/>
      </c>
      <c r="BR279" s="78"/>
      <c r="BS279" s="80"/>
      <c r="BT279" s="68"/>
      <c r="BU279" s="77" t="str">
        <f>IF(BZ279="","",WORKDAY.INTL(BZ279,BX279*-1,1,Holidays[Date]))</f>
        <v/>
      </c>
      <c r="BV279" s="77" t="str">
        <f ca="1">IFERROR(IF(BW279="",WORKDAY.INTL(BQ279,BT279,1,Holidays[Date]),BW279),"")</f>
        <v/>
      </c>
      <c r="BW279" s="78"/>
      <c r="BX279" s="80"/>
      <c r="BY279" s="68"/>
      <c r="BZ279" s="81"/>
      <c r="CA279" s="77" t="str">
        <f ca="1">IFERROR(IF(CB279="",WORKDAY.INTL(BV279,BY279,1,Holidays[Date]),CB279),"")</f>
        <v/>
      </c>
      <c r="CB279" s="78"/>
    </row>
    <row r="280" spans="1:80" ht="19" customHeight="1" x14ac:dyDescent="0.35">
      <c r="A280" s="31"/>
      <c r="B280" s="82"/>
      <c r="C280" s="1"/>
      <c r="D280" s="8"/>
      <c r="E280" s="8"/>
      <c r="F280" s="8"/>
      <c r="G280" s="8"/>
      <c r="H280" s="8"/>
      <c r="I280" s="9"/>
      <c r="J280" s="8"/>
      <c r="K280" s="8"/>
      <c r="L280" s="8"/>
      <c r="M280" s="8"/>
      <c r="N280" s="8"/>
      <c r="O280" s="8"/>
      <c r="P280" s="8"/>
      <c r="Q280" s="2"/>
      <c r="R280" s="2"/>
      <c r="S280" s="88" t="str">
        <f>IF(tblProcRegister[[#This Row],[Award]]&lt;&gt;"",tblProcRegister[[#This Row],[Budget]]-tblProcRegister[[#This Row],[Award]],"")</f>
        <v/>
      </c>
      <c r="T280" s="68"/>
      <c r="U280" s="68"/>
      <c r="V280" s="68"/>
      <c r="W280" s="77" t="str">
        <f>IF(AB280="","",WORKDAY.INTL(AB280,Z280*-1,1,Holidays[Date]))</f>
        <v/>
      </c>
      <c r="X280" s="77" t="str">
        <f t="shared" ca="1" si="4"/>
        <v/>
      </c>
      <c r="Y280" s="78"/>
      <c r="Z280" s="79"/>
      <c r="AA280" s="68"/>
      <c r="AB280" s="77" t="str">
        <f>IF(AG280="","",WORKDAY.INTL(AG280,AE280*-1,1,Holidays[Date]))</f>
        <v/>
      </c>
      <c r="AC280" s="77" t="str">
        <f ca="1">IFERROR(IF(AD280="",WORKDAY.INTL(X280,AA280,1,Holidays[Date]),AD280),"")</f>
        <v/>
      </c>
      <c r="AD280" s="78"/>
      <c r="AE280" s="80"/>
      <c r="AF280" s="68"/>
      <c r="AG280" s="77" t="str">
        <f>IF(AL280="","",WORKDAY.INTL(AL280,AJ280*-1,1,Holidays[Date]))</f>
        <v/>
      </c>
      <c r="AH280" s="77" t="str">
        <f ca="1">IFERROR(IF(AI280="",WORKDAY.INTL(AC280,AF280,1,Holidays[Date]),AI280),"")</f>
        <v/>
      </c>
      <c r="AI280" s="78"/>
      <c r="AJ280" s="80"/>
      <c r="AK280" s="68"/>
      <c r="AL280" s="77" t="str">
        <f>IF(AQ280="","",WORKDAY.INTL(AQ280,AO280*-1,1,Holidays[Date]))</f>
        <v/>
      </c>
      <c r="AM280" s="77" t="str">
        <f ca="1">IFERROR(IF(AN280="",WORKDAY.INTL(AH280,AK280,1,Holidays[Date]),AN280),"")</f>
        <v/>
      </c>
      <c r="AN280" s="78"/>
      <c r="AO280" s="80"/>
      <c r="AP280" s="68"/>
      <c r="AQ280" s="77" t="str">
        <f>IF(AV280="","",WORKDAY.INTL(AV280,AT280*-1,1,Holidays[Date]))</f>
        <v/>
      </c>
      <c r="AR280" s="77" t="str">
        <f ca="1">IFERROR(IF(AS280="",WORKDAY.INTL(AM280,AP280,1,Holidays[Date]),AS280),"")</f>
        <v/>
      </c>
      <c r="AS280" s="78"/>
      <c r="AT280" s="80"/>
      <c r="AU280" s="68"/>
      <c r="AV280" s="77" t="str">
        <f>IF(BA280="","",WORKDAY.INTL(BA280,AY280*-1,1,Holidays[Date]))</f>
        <v/>
      </c>
      <c r="AW280" s="77" t="str">
        <f ca="1">IFERROR(IF(AX280="",WORKDAY.INTL(AR280,AU280,1,Holidays[Date]),AX280),"")</f>
        <v/>
      </c>
      <c r="AX280" s="78"/>
      <c r="AY280" s="80"/>
      <c r="AZ280" s="68"/>
      <c r="BA280" s="77" t="str">
        <f>IF(BF280="","",WORKDAY.INTL(BF280,BD280*-1,1,Holidays[Date]))</f>
        <v/>
      </c>
      <c r="BB280" s="77" t="str">
        <f ca="1">IFERROR(IF(BC280="",WORKDAY.INTL(AW280,AZ280,1,Holidays[Date]),BC280),"")</f>
        <v/>
      </c>
      <c r="BC280" s="78"/>
      <c r="BD280" s="80"/>
      <c r="BE280" s="68"/>
      <c r="BF280" s="77" t="str">
        <f>IF(BK280="","",WORKDAY.INTL(BK280,BI280*-1,1,Holidays[Date]))</f>
        <v/>
      </c>
      <c r="BG280" s="77" t="str">
        <f ca="1">IFERROR(IF(BH280="",WORKDAY.INTL(BB280,BE280,1,Holidays[Date]),BH280),"")</f>
        <v/>
      </c>
      <c r="BH280" s="78"/>
      <c r="BI280" s="80"/>
      <c r="BJ280" s="68"/>
      <c r="BK280" s="77" t="str">
        <f>IF(BP280="","",WORKDAY.INTL(BP280,BN280*-1,1,Holidays[Date]))</f>
        <v/>
      </c>
      <c r="BL280" s="77" t="str">
        <f ca="1">IFERROR(IF(BM280="",WORKDAY.INTL(BG280,BJ280,1,Holidays[Date]),BM280),"")</f>
        <v/>
      </c>
      <c r="BM280" s="78"/>
      <c r="BN280" s="80"/>
      <c r="BO280" s="68"/>
      <c r="BP280" s="77" t="str">
        <f>IF(BU280="","",WORKDAY.INTL(BU280,BS280*-1,1,Holidays[Date]))</f>
        <v/>
      </c>
      <c r="BQ280" s="77" t="str">
        <f ca="1">IFERROR(IF(BR280="",WORKDAY.INTL(BL280,BO280,1,Holidays[Date]),BR280),"")</f>
        <v/>
      </c>
      <c r="BR280" s="78"/>
      <c r="BS280" s="80"/>
      <c r="BT280" s="68"/>
      <c r="BU280" s="77" t="str">
        <f>IF(BZ280="","",WORKDAY.INTL(BZ280,BX280*-1,1,Holidays[Date]))</f>
        <v/>
      </c>
      <c r="BV280" s="77" t="str">
        <f ca="1">IFERROR(IF(BW280="",WORKDAY.INTL(BQ280,BT280,1,Holidays[Date]),BW280),"")</f>
        <v/>
      </c>
      <c r="BW280" s="78"/>
      <c r="BX280" s="80"/>
      <c r="BY280" s="68"/>
      <c r="BZ280" s="81"/>
      <c r="CA280" s="77" t="str">
        <f ca="1">IFERROR(IF(CB280="",WORKDAY.INTL(BV280,BY280,1,Holidays[Date]),CB280),"")</f>
        <v/>
      </c>
      <c r="CB280" s="78"/>
    </row>
    <row r="281" spans="1:80" ht="19" customHeight="1" x14ac:dyDescent="0.35">
      <c r="A281" s="31"/>
      <c r="B281" s="82"/>
      <c r="C281" s="1"/>
      <c r="D281" s="8"/>
      <c r="E281" s="8"/>
      <c r="F281" s="8"/>
      <c r="G281" s="8"/>
      <c r="H281" s="8"/>
      <c r="I281" s="9"/>
      <c r="J281" s="8"/>
      <c r="K281" s="8"/>
      <c r="L281" s="8"/>
      <c r="M281" s="8"/>
      <c r="N281" s="8"/>
      <c r="O281" s="8"/>
      <c r="P281" s="8"/>
      <c r="Q281" s="2"/>
      <c r="R281" s="2"/>
      <c r="S281" s="88" t="str">
        <f>IF(tblProcRegister[[#This Row],[Award]]&lt;&gt;"",tblProcRegister[[#This Row],[Budget]]-tblProcRegister[[#This Row],[Award]],"")</f>
        <v/>
      </c>
      <c r="T281" s="68"/>
      <c r="U281" s="68"/>
      <c r="V281" s="68"/>
      <c r="W281" s="77" t="str">
        <f>IF(AB281="","",WORKDAY.INTL(AB281,Z281*-1,1,Holidays[Date]))</f>
        <v/>
      </c>
      <c r="X281" s="77" t="str">
        <f t="shared" ca="1" si="4"/>
        <v/>
      </c>
      <c r="Y281" s="78"/>
      <c r="Z281" s="79"/>
      <c r="AA281" s="68"/>
      <c r="AB281" s="77" t="str">
        <f>IF(AG281="","",WORKDAY.INTL(AG281,AE281*-1,1,Holidays[Date]))</f>
        <v/>
      </c>
      <c r="AC281" s="77" t="str">
        <f ca="1">IFERROR(IF(AD281="",WORKDAY.INTL(X281,AA281,1,Holidays[Date]),AD281),"")</f>
        <v/>
      </c>
      <c r="AD281" s="78"/>
      <c r="AE281" s="80"/>
      <c r="AF281" s="68"/>
      <c r="AG281" s="77" t="str">
        <f>IF(AL281="","",WORKDAY.INTL(AL281,AJ281*-1,1,Holidays[Date]))</f>
        <v/>
      </c>
      <c r="AH281" s="77" t="str">
        <f ca="1">IFERROR(IF(AI281="",WORKDAY.INTL(AC281,AF281,1,Holidays[Date]),AI281),"")</f>
        <v/>
      </c>
      <c r="AI281" s="78"/>
      <c r="AJ281" s="80"/>
      <c r="AK281" s="68"/>
      <c r="AL281" s="77" t="str">
        <f>IF(AQ281="","",WORKDAY.INTL(AQ281,AO281*-1,1,Holidays[Date]))</f>
        <v/>
      </c>
      <c r="AM281" s="77" t="str">
        <f ca="1">IFERROR(IF(AN281="",WORKDAY.INTL(AH281,AK281,1,Holidays[Date]),AN281),"")</f>
        <v/>
      </c>
      <c r="AN281" s="78"/>
      <c r="AO281" s="80"/>
      <c r="AP281" s="68"/>
      <c r="AQ281" s="77" t="str">
        <f>IF(AV281="","",WORKDAY.INTL(AV281,AT281*-1,1,Holidays[Date]))</f>
        <v/>
      </c>
      <c r="AR281" s="77" t="str">
        <f ca="1">IFERROR(IF(AS281="",WORKDAY.INTL(AM281,AP281,1,Holidays[Date]),AS281),"")</f>
        <v/>
      </c>
      <c r="AS281" s="78"/>
      <c r="AT281" s="80"/>
      <c r="AU281" s="68"/>
      <c r="AV281" s="77" t="str">
        <f>IF(BA281="","",WORKDAY.INTL(BA281,AY281*-1,1,Holidays[Date]))</f>
        <v/>
      </c>
      <c r="AW281" s="77" t="str">
        <f ca="1">IFERROR(IF(AX281="",WORKDAY.INTL(AR281,AU281,1,Holidays[Date]),AX281),"")</f>
        <v/>
      </c>
      <c r="AX281" s="78"/>
      <c r="AY281" s="80"/>
      <c r="AZ281" s="68"/>
      <c r="BA281" s="77" t="str">
        <f>IF(BF281="","",WORKDAY.INTL(BF281,BD281*-1,1,Holidays[Date]))</f>
        <v/>
      </c>
      <c r="BB281" s="77" t="str">
        <f ca="1">IFERROR(IF(BC281="",WORKDAY.INTL(AW281,AZ281,1,Holidays[Date]),BC281),"")</f>
        <v/>
      </c>
      <c r="BC281" s="78"/>
      <c r="BD281" s="80"/>
      <c r="BE281" s="68"/>
      <c r="BF281" s="77" t="str">
        <f>IF(BK281="","",WORKDAY.INTL(BK281,BI281*-1,1,Holidays[Date]))</f>
        <v/>
      </c>
      <c r="BG281" s="77" t="str">
        <f ca="1">IFERROR(IF(BH281="",WORKDAY.INTL(BB281,BE281,1,Holidays[Date]),BH281),"")</f>
        <v/>
      </c>
      <c r="BH281" s="78"/>
      <c r="BI281" s="80"/>
      <c r="BJ281" s="68"/>
      <c r="BK281" s="77" t="str">
        <f>IF(BP281="","",WORKDAY.INTL(BP281,BN281*-1,1,Holidays[Date]))</f>
        <v/>
      </c>
      <c r="BL281" s="77" t="str">
        <f ca="1">IFERROR(IF(BM281="",WORKDAY.INTL(BG281,BJ281,1,Holidays[Date]),BM281),"")</f>
        <v/>
      </c>
      <c r="BM281" s="78"/>
      <c r="BN281" s="80"/>
      <c r="BO281" s="68"/>
      <c r="BP281" s="77" t="str">
        <f>IF(BU281="","",WORKDAY.INTL(BU281,BS281*-1,1,Holidays[Date]))</f>
        <v/>
      </c>
      <c r="BQ281" s="77" t="str">
        <f ca="1">IFERROR(IF(BR281="",WORKDAY.INTL(BL281,BO281,1,Holidays[Date]),BR281),"")</f>
        <v/>
      </c>
      <c r="BR281" s="78"/>
      <c r="BS281" s="80"/>
      <c r="BT281" s="68"/>
      <c r="BU281" s="77" t="str">
        <f>IF(BZ281="","",WORKDAY.INTL(BZ281,BX281*-1,1,Holidays[Date]))</f>
        <v/>
      </c>
      <c r="BV281" s="77" t="str">
        <f ca="1">IFERROR(IF(BW281="",WORKDAY.INTL(BQ281,BT281,1,Holidays[Date]),BW281),"")</f>
        <v/>
      </c>
      <c r="BW281" s="78"/>
      <c r="BX281" s="80"/>
      <c r="BY281" s="68"/>
      <c r="BZ281" s="81"/>
      <c r="CA281" s="77" t="str">
        <f ca="1">IFERROR(IF(CB281="",WORKDAY.INTL(BV281,BY281,1,Holidays[Date]),CB281),"")</f>
        <v/>
      </c>
      <c r="CB281" s="78"/>
    </row>
    <row r="282" spans="1:80" ht="19" customHeight="1" x14ac:dyDescent="0.35">
      <c r="A282" s="31"/>
      <c r="B282" s="82"/>
      <c r="C282" s="1"/>
      <c r="D282" s="8"/>
      <c r="E282" s="8"/>
      <c r="F282" s="8"/>
      <c r="G282" s="8"/>
      <c r="H282" s="8"/>
      <c r="I282" s="9"/>
      <c r="J282" s="8"/>
      <c r="K282" s="8"/>
      <c r="L282" s="8"/>
      <c r="M282" s="8"/>
      <c r="N282" s="8"/>
      <c r="O282" s="8"/>
      <c r="P282" s="8"/>
      <c r="Q282" s="2"/>
      <c r="R282" s="2"/>
      <c r="S282" s="88" t="str">
        <f>IF(tblProcRegister[[#This Row],[Award]]&lt;&gt;"",tblProcRegister[[#This Row],[Budget]]-tblProcRegister[[#This Row],[Award]],"")</f>
        <v/>
      </c>
      <c r="T282" s="68"/>
      <c r="U282" s="68"/>
      <c r="V282" s="68"/>
      <c r="W282" s="77" t="str">
        <f>IF(AB282="","",WORKDAY.INTL(AB282,Z282*-1,1,Holidays[Date]))</f>
        <v/>
      </c>
      <c r="X282" s="77" t="str">
        <f t="shared" ca="1" si="4"/>
        <v/>
      </c>
      <c r="Y282" s="78"/>
      <c r="Z282" s="79"/>
      <c r="AA282" s="68"/>
      <c r="AB282" s="77" t="str">
        <f>IF(AG282="","",WORKDAY.INTL(AG282,AE282*-1,1,Holidays[Date]))</f>
        <v/>
      </c>
      <c r="AC282" s="77" t="str">
        <f ca="1">IFERROR(IF(AD282="",WORKDAY.INTL(X282,AA282,1,Holidays[Date]),AD282),"")</f>
        <v/>
      </c>
      <c r="AD282" s="78"/>
      <c r="AE282" s="80"/>
      <c r="AF282" s="68"/>
      <c r="AG282" s="77" t="str">
        <f>IF(AL282="","",WORKDAY.INTL(AL282,AJ282*-1,1,Holidays[Date]))</f>
        <v/>
      </c>
      <c r="AH282" s="77" t="str">
        <f ca="1">IFERROR(IF(AI282="",WORKDAY.INTL(AC282,AF282,1,Holidays[Date]),AI282),"")</f>
        <v/>
      </c>
      <c r="AI282" s="78"/>
      <c r="AJ282" s="80"/>
      <c r="AK282" s="68"/>
      <c r="AL282" s="77" t="str">
        <f>IF(AQ282="","",WORKDAY.INTL(AQ282,AO282*-1,1,Holidays[Date]))</f>
        <v/>
      </c>
      <c r="AM282" s="77" t="str">
        <f ca="1">IFERROR(IF(AN282="",WORKDAY.INTL(AH282,AK282,1,Holidays[Date]),AN282),"")</f>
        <v/>
      </c>
      <c r="AN282" s="78"/>
      <c r="AO282" s="80"/>
      <c r="AP282" s="68"/>
      <c r="AQ282" s="77" t="str">
        <f>IF(AV282="","",WORKDAY.INTL(AV282,AT282*-1,1,Holidays[Date]))</f>
        <v/>
      </c>
      <c r="AR282" s="77" t="str">
        <f ca="1">IFERROR(IF(AS282="",WORKDAY.INTL(AM282,AP282,1,Holidays[Date]),AS282),"")</f>
        <v/>
      </c>
      <c r="AS282" s="78"/>
      <c r="AT282" s="80"/>
      <c r="AU282" s="68"/>
      <c r="AV282" s="77" t="str">
        <f>IF(BA282="","",WORKDAY.INTL(BA282,AY282*-1,1,Holidays[Date]))</f>
        <v/>
      </c>
      <c r="AW282" s="77" t="str">
        <f ca="1">IFERROR(IF(AX282="",WORKDAY.INTL(AR282,AU282,1,Holidays[Date]),AX282),"")</f>
        <v/>
      </c>
      <c r="AX282" s="78"/>
      <c r="AY282" s="80"/>
      <c r="AZ282" s="68"/>
      <c r="BA282" s="77" t="str">
        <f>IF(BF282="","",WORKDAY.INTL(BF282,BD282*-1,1,Holidays[Date]))</f>
        <v/>
      </c>
      <c r="BB282" s="77" t="str">
        <f ca="1">IFERROR(IF(BC282="",WORKDAY.INTL(AW282,AZ282,1,Holidays[Date]),BC282),"")</f>
        <v/>
      </c>
      <c r="BC282" s="78"/>
      <c r="BD282" s="80"/>
      <c r="BE282" s="68"/>
      <c r="BF282" s="77" t="str">
        <f>IF(BK282="","",WORKDAY.INTL(BK282,BI282*-1,1,Holidays[Date]))</f>
        <v/>
      </c>
      <c r="BG282" s="77" t="str">
        <f ca="1">IFERROR(IF(BH282="",WORKDAY.INTL(BB282,BE282,1,Holidays[Date]),BH282),"")</f>
        <v/>
      </c>
      <c r="BH282" s="78"/>
      <c r="BI282" s="80"/>
      <c r="BJ282" s="68"/>
      <c r="BK282" s="77" t="str">
        <f>IF(BP282="","",WORKDAY.INTL(BP282,BN282*-1,1,Holidays[Date]))</f>
        <v/>
      </c>
      <c r="BL282" s="77" t="str">
        <f ca="1">IFERROR(IF(BM282="",WORKDAY.INTL(BG282,BJ282,1,Holidays[Date]),BM282),"")</f>
        <v/>
      </c>
      <c r="BM282" s="78"/>
      <c r="BN282" s="80"/>
      <c r="BO282" s="68"/>
      <c r="BP282" s="77" t="str">
        <f>IF(BU282="","",WORKDAY.INTL(BU282,BS282*-1,1,Holidays[Date]))</f>
        <v/>
      </c>
      <c r="BQ282" s="77" t="str">
        <f ca="1">IFERROR(IF(BR282="",WORKDAY.INTL(BL282,BO282,1,Holidays[Date]),BR282),"")</f>
        <v/>
      </c>
      <c r="BR282" s="78"/>
      <c r="BS282" s="80"/>
      <c r="BT282" s="68"/>
      <c r="BU282" s="77" t="str">
        <f>IF(BZ282="","",WORKDAY.INTL(BZ282,BX282*-1,1,Holidays[Date]))</f>
        <v/>
      </c>
      <c r="BV282" s="77" t="str">
        <f ca="1">IFERROR(IF(BW282="",WORKDAY.INTL(BQ282,BT282,1,Holidays[Date]),BW282),"")</f>
        <v/>
      </c>
      <c r="BW282" s="78"/>
      <c r="BX282" s="80"/>
      <c r="BY282" s="68"/>
      <c r="BZ282" s="81"/>
      <c r="CA282" s="77" t="str">
        <f ca="1">IFERROR(IF(CB282="",WORKDAY.INTL(BV282,BY282,1,Holidays[Date]),CB282),"")</f>
        <v/>
      </c>
      <c r="CB282" s="78"/>
    </row>
    <row r="283" spans="1:80" ht="19" customHeight="1" x14ac:dyDescent="0.35">
      <c r="A283" s="31"/>
      <c r="B283" s="82"/>
      <c r="C283" s="1"/>
      <c r="D283" s="8"/>
      <c r="E283" s="8"/>
      <c r="F283" s="8"/>
      <c r="G283" s="8"/>
      <c r="H283" s="8"/>
      <c r="I283" s="9"/>
      <c r="J283" s="8"/>
      <c r="K283" s="8"/>
      <c r="L283" s="8"/>
      <c r="M283" s="8"/>
      <c r="N283" s="8"/>
      <c r="O283" s="8"/>
      <c r="P283" s="8"/>
      <c r="Q283" s="2"/>
      <c r="R283" s="2"/>
      <c r="S283" s="88" t="str">
        <f>IF(tblProcRegister[[#This Row],[Award]]&lt;&gt;"",tblProcRegister[[#This Row],[Budget]]-tblProcRegister[[#This Row],[Award]],"")</f>
        <v/>
      </c>
      <c r="T283" s="68"/>
      <c r="U283" s="68"/>
      <c r="V283" s="68"/>
      <c r="W283" s="77" t="str">
        <f>IF(AB283="","",WORKDAY.INTL(AB283,Z283*-1,1,Holidays[Date]))</f>
        <v/>
      </c>
      <c r="X283" s="77" t="str">
        <f t="shared" ca="1" si="4"/>
        <v/>
      </c>
      <c r="Y283" s="78"/>
      <c r="Z283" s="79"/>
      <c r="AA283" s="68"/>
      <c r="AB283" s="77" t="str">
        <f>IF(AG283="","",WORKDAY.INTL(AG283,AE283*-1,1,Holidays[Date]))</f>
        <v/>
      </c>
      <c r="AC283" s="77" t="str">
        <f ca="1">IFERROR(IF(AD283="",WORKDAY.INTL(X283,AA283,1,Holidays[Date]),AD283),"")</f>
        <v/>
      </c>
      <c r="AD283" s="78"/>
      <c r="AE283" s="80"/>
      <c r="AF283" s="68"/>
      <c r="AG283" s="77" t="str">
        <f>IF(AL283="","",WORKDAY.INTL(AL283,AJ283*-1,1,Holidays[Date]))</f>
        <v/>
      </c>
      <c r="AH283" s="77" t="str">
        <f ca="1">IFERROR(IF(AI283="",WORKDAY.INTL(AC283,AF283,1,Holidays[Date]),AI283),"")</f>
        <v/>
      </c>
      <c r="AI283" s="78"/>
      <c r="AJ283" s="80"/>
      <c r="AK283" s="68"/>
      <c r="AL283" s="77" t="str">
        <f>IF(AQ283="","",WORKDAY.INTL(AQ283,AO283*-1,1,Holidays[Date]))</f>
        <v/>
      </c>
      <c r="AM283" s="77" t="str">
        <f ca="1">IFERROR(IF(AN283="",WORKDAY.INTL(AH283,AK283,1,Holidays[Date]),AN283),"")</f>
        <v/>
      </c>
      <c r="AN283" s="78"/>
      <c r="AO283" s="80"/>
      <c r="AP283" s="68"/>
      <c r="AQ283" s="77" t="str">
        <f>IF(AV283="","",WORKDAY.INTL(AV283,AT283*-1,1,Holidays[Date]))</f>
        <v/>
      </c>
      <c r="AR283" s="77" t="str">
        <f ca="1">IFERROR(IF(AS283="",WORKDAY.INTL(AM283,AP283,1,Holidays[Date]),AS283),"")</f>
        <v/>
      </c>
      <c r="AS283" s="78"/>
      <c r="AT283" s="80"/>
      <c r="AU283" s="68"/>
      <c r="AV283" s="77" t="str">
        <f>IF(BA283="","",WORKDAY.INTL(BA283,AY283*-1,1,Holidays[Date]))</f>
        <v/>
      </c>
      <c r="AW283" s="77" t="str">
        <f ca="1">IFERROR(IF(AX283="",WORKDAY.INTL(AR283,AU283,1,Holidays[Date]),AX283),"")</f>
        <v/>
      </c>
      <c r="AX283" s="78"/>
      <c r="AY283" s="80"/>
      <c r="AZ283" s="68"/>
      <c r="BA283" s="77" t="str">
        <f>IF(BF283="","",WORKDAY.INTL(BF283,BD283*-1,1,Holidays[Date]))</f>
        <v/>
      </c>
      <c r="BB283" s="77" t="str">
        <f ca="1">IFERROR(IF(BC283="",WORKDAY.INTL(AW283,AZ283,1,Holidays[Date]),BC283),"")</f>
        <v/>
      </c>
      <c r="BC283" s="78"/>
      <c r="BD283" s="80"/>
      <c r="BE283" s="68"/>
      <c r="BF283" s="77" t="str">
        <f>IF(BK283="","",WORKDAY.INTL(BK283,BI283*-1,1,Holidays[Date]))</f>
        <v/>
      </c>
      <c r="BG283" s="77" t="str">
        <f ca="1">IFERROR(IF(BH283="",WORKDAY.INTL(BB283,BE283,1,Holidays[Date]),BH283),"")</f>
        <v/>
      </c>
      <c r="BH283" s="78"/>
      <c r="BI283" s="80"/>
      <c r="BJ283" s="68"/>
      <c r="BK283" s="77" t="str">
        <f>IF(BP283="","",WORKDAY.INTL(BP283,BN283*-1,1,Holidays[Date]))</f>
        <v/>
      </c>
      <c r="BL283" s="77" t="str">
        <f ca="1">IFERROR(IF(BM283="",WORKDAY.INTL(BG283,BJ283,1,Holidays[Date]),BM283),"")</f>
        <v/>
      </c>
      <c r="BM283" s="78"/>
      <c r="BN283" s="80"/>
      <c r="BO283" s="68"/>
      <c r="BP283" s="77" t="str">
        <f>IF(BU283="","",WORKDAY.INTL(BU283,BS283*-1,1,Holidays[Date]))</f>
        <v/>
      </c>
      <c r="BQ283" s="77" t="str">
        <f ca="1">IFERROR(IF(BR283="",WORKDAY.INTL(BL283,BO283,1,Holidays[Date]),BR283),"")</f>
        <v/>
      </c>
      <c r="BR283" s="78"/>
      <c r="BS283" s="80"/>
      <c r="BT283" s="68"/>
      <c r="BU283" s="77" t="str">
        <f>IF(BZ283="","",WORKDAY.INTL(BZ283,BX283*-1,1,Holidays[Date]))</f>
        <v/>
      </c>
      <c r="BV283" s="77" t="str">
        <f ca="1">IFERROR(IF(BW283="",WORKDAY.INTL(BQ283,BT283,1,Holidays[Date]),BW283),"")</f>
        <v/>
      </c>
      <c r="BW283" s="78"/>
      <c r="BX283" s="80"/>
      <c r="BY283" s="68"/>
      <c r="BZ283" s="81"/>
      <c r="CA283" s="77" t="str">
        <f ca="1">IFERROR(IF(CB283="",WORKDAY.INTL(BV283,BY283,1,Holidays[Date]),CB283),"")</f>
        <v/>
      </c>
      <c r="CB283" s="78"/>
    </row>
    <row r="284" spans="1:80" ht="19" customHeight="1" x14ac:dyDescent="0.35">
      <c r="B284" s="82"/>
      <c r="C284" s="1"/>
      <c r="D284" s="8"/>
      <c r="E284" s="8"/>
      <c r="F284" s="8"/>
      <c r="G284" s="8"/>
      <c r="H284" s="8"/>
      <c r="I284" s="9"/>
      <c r="J284" s="8"/>
      <c r="K284" s="8"/>
      <c r="L284" s="8"/>
      <c r="M284" s="8"/>
      <c r="N284" s="8"/>
      <c r="O284" s="8"/>
      <c r="P284" s="8"/>
      <c r="Q284" s="2"/>
      <c r="R284" s="2"/>
      <c r="S284" s="88" t="str">
        <f>IF(tblProcRegister[[#This Row],[Award]]&lt;&gt;"",tblProcRegister[[#This Row],[Budget]]-tblProcRegister[[#This Row],[Award]],"")</f>
        <v/>
      </c>
      <c r="T284" s="68"/>
      <c r="U284" s="68"/>
      <c r="V284" s="68"/>
      <c r="W284" s="77" t="str">
        <f>IF(AB284="","",WORKDAY.INTL(AB284,Z284*-1,1,Holidays[Date]))</f>
        <v/>
      </c>
      <c r="X284" s="77" t="str">
        <f t="shared" ca="1" si="4"/>
        <v/>
      </c>
      <c r="Y284" s="78"/>
      <c r="Z284" s="79"/>
      <c r="AA284" s="68"/>
      <c r="AB284" s="77" t="str">
        <f>IF(AG284="","",WORKDAY.INTL(AG284,AE284*-1,1,Holidays[Date]))</f>
        <v/>
      </c>
      <c r="AC284" s="77" t="str">
        <f ca="1">IFERROR(IF(AD284="",WORKDAY.INTL(X284,AA284,1,Holidays[Date]),AD284),"")</f>
        <v/>
      </c>
      <c r="AD284" s="78"/>
      <c r="AE284" s="80"/>
      <c r="AF284" s="68"/>
      <c r="AG284" s="77" t="str">
        <f>IF(AL284="","",WORKDAY.INTL(AL284,AJ284*-1,1,Holidays[Date]))</f>
        <v/>
      </c>
      <c r="AH284" s="77" t="str">
        <f ca="1">IFERROR(IF(AI284="",WORKDAY.INTL(AC284,AF284,1,Holidays[Date]),AI284),"")</f>
        <v/>
      </c>
      <c r="AI284" s="78"/>
      <c r="AJ284" s="80"/>
      <c r="AK284" s="68"/>
      <c r="AL284" s="77" t="str">
        <f>IF(AQ284="","",WORKDAY.INTL(AQ284,AO284*-1,1,Holidays[Date]))</f>
        <v/>
      </c>
      <c r="AM284" s="77" t="str">
        <f ca="1">IFERROR(IF(AN284="",WORKDAY.INTL(AH284,AK284,1,Holidays[Date]),AN284),"")</f>
        <v/>
      </c>
      <c r="AN284" s="78"/>
      <c r="AO284" s="80"/>
      <c r="AP284" s="68"/>
      <c r="AQ284" s="77" t="str">
        <f>IF(AV284="","",WORKDAY.INTL(AV284,AT284*-1,1,Holidays[Date]))</f>
        <v/>
      </c>
      <c r="AR284" s="77" t="str">
        <f ca="1">IFERROR(IF(AS284="",WORKDAY.INTL(AM284,AP284,1,Holidays[Date]),AS284),"")</f>
        <v/>
      </c>
      <c r="AS284" s="78"/>
      <c r="AT284" s="80"/>
      <c r="AU284" s="68"/>
      <c r="AV284" s="77" t="str">
        <f>IF(BA284="","",WORKDAY.INTL(BA284,AY284*-1,1,Holidays[Date]))</f>
        <v/>
      </c>
      <c r="AW284" s="77" t="str">
        <f ca="1">IFERROR(IF(AX284="",WORKDAY.INTL(AR284,AU284,1,Holidays[Date]),AX284),"")</f>
        <v/>
      </c>
      <c r="AX284" s="78"/>
      <c r="AY284" s="80"/>
      <c r="AZ284" s="68"/>
      <c r="BA284" s="77" t="str">
        <f>IF(BF284="","",WORKDAY.INTL(BF284,BD284*-1,1,Holidays[Date]))</f>
        <v/>
      </c>
      <c r="BB284" s="77" t="str">
        <f ca="1">IFERROR(IF(BC284="",WORKDAY.INTL(AW284,AZ284,1,Holidays[Date]),BC284),"")</f>
        <v/>
      </c>
      <c r="BC284" s="78"/>
      <c r="BD284" s="80"/>
      <c r="BE284" s="68"/>
      <c r="BF284" s="77" t="str">
        <f>IF(BK284="","",WORKDAY.INTL(BK284,BI284*-1,1,Holidays[Date]))</f>
        <v/>
      </c>
      <c r="BG284" s="77" t="str">
        <f ca="1">IFERROR(IF(BH284="",WORKDAY.INTL(BB284,BE284,1,Holidays[Date]),BH284),"")</f>
        <v/>
      </c>
      <c r="BH284" s="78"/>
      <c r="BI284" s="80"/>
      <c r="BJ284" s="68"/>
      <c r="BK284" s="77" t="str">
        <f>IF(BP284="","",WORKDAY.INTL(BP284,BN284*-1,1,Holidays[Date]))</f>
        <v/>
      </c>
      <c r="BL284" s="77" t="str">
        <f ca="1">IFERROR(IF(BM284="",WORKDAY.INTL(BG284,BJ284,1,Holidays[Date]),BM284),"")</f>
        <v/>
      </c>
      <c r="BM284" s="78"/>
      <c r="BN284" s="80"/>
      <c r="BO284" s="68"/>
      <c r="BP284" s="77" t="str">
        <f>IF(BU284="","",WORKDAY.INTL(BU284,BS284*-1,1,Holidays[Date]))</f>
        <v/>
      </c>
      <c r="BQ284" s="77" t="str">
        <f ca="1">IFERROR(IF(BR284="",WORKDAY.INTL(BL284,BO284,1,Holidays[Date]),BR284),"")</f>
        <v/>
      </c>
      <c r="BR284" s="78"/>
      <c r="BS284" s="80"/>
      <c r="BT284" s="68"/>
      <c r="BU284" s="77" t="str">
        <f>IF(BZ284="","",WORKDAY.INTL(BZ284,BX284*-1,1,Holidays[Date]))</f>
        <v/>
      </c>
      <c r="BV284" s="77" t="str">
        <f ca="1">IFERROR(IF(BW284="",WORKDAY.INTL(BQ284,BT284,1,Holidays[Date]),BW284),"")</f>
        <v/>
      </c>
      <c r="BW284" s="78"/>
      <c r="BX284" s="80"/>
      <c r="BY284" s="68"/>
      <c r="BZ284" s="81"/>
      <c r="CA284" s="77" t="str">
        <f ca="1">IFERROR(IF(CB284="",WORKDAY.INTL(BV284,BY284,1,Holidays[Date]),CB284),"")</f>
        <v/>
      </c>
      <c r="CB284" s="78"/>
    </row>
    <row r="285" spans="1:80" ht="19" customHeight="1" x14ac:dyDescent="0.35">
      <c r="B285" s="82"/>
      <c r="C285" s="1"/>
      <c r="D285" s="8"/>
      <c r="E285" s="8"/>
      <c r="F285" s="8"/>
      <c r="G285" s="8"/>
      <c r="H285" s="8"/>
      <c r="I285" s="9"/>
      <c r="J285" s="8"/>
      <c r="K285" s="8"/>
      <c r="L285" s="8"/>
      <c r="M285" s="8"/>
      <c r="N285" s="8"/>
      <c r="O285" s="8"/>
      <c r="P285" s="8"/>
      <c r="Q285" s="2"/>
      <c r="R285" s="2"/>
      <c r="S285" s="88" t="str">
        <f>IF(tblProcRegister[[#This Row],[Award]]&lt;&gt;"",tblProcRegister[[#This Row],[Budget]]-tblProcRegister[[#This Row],[Award]],"")</f>
        <v/>
      </c>
      <c r="T285" s="68"/>
      <c r="U285" s="68"/>
      <c r="V285" s="68"/>
      <c r="W285" s="77" t="str">
        <f>IF(AB285="","",WORKDAY.INTL(AB285,Z285*-1,1,Holidays[Date]))</f>
        <v/>
      </c>
      <c r="X285" s="77" t="str">
        <f t="shared" ca="1" si="4"/>
        <v/>
      </c>
      <c r="Y285" s="78"/>
      <c r="Z285" s="79"/>
      <c r="AA285" s="68"/>
      <c r="AB285" s="77" t="str">
        <f>IF(AG285="","",WORKDAY.INTL(AG285,AE285*-1,1,Holidays[Date]))</f>
        <v/>
      </c>
      <c r="AC285" s="77" t="str">
        <f ca="1">IFERROR(IF(AD285="",WORKDAY.INTL(X285,AA285,1,Holidays[Date]),AD285),"")</f>
        <v/>
      </c>
      <c r="AD285" s="78"/>
      <c r="AE285" s="80"/>
      <c r="AF285" s="68"/>
      <c r="AG285" s="77" t="str">
        <f>IF(AL285="","",WORKDAY.INTL(AL285,AJ285*-1,1,Holidays[Date]))</f>
        <v/>
      </c>
      <c r="AH285" s="77" t="str">
        <f ca="1">IFERROR(IF(AI285="",WORKDAY.INTL(AC285,AF285,1,Holidays[Date]),AI285),"")</f>
        <v/>
      </c>
      <c r="AI285" s="78"/>
      <c r="AJ285" s="80"/>
      <c r="AK285" s="68"/>
      <c r="AL285" s="77" t="str">
        <f>IF(AQ285="","",WORKDAY.INTL(AQ285,AO285*-1,1,Holidays[Date]))</f>
        <v/>
      </c>
      <c r="AM285" s="77" t="str">
        <f ca="1">IFERROR(IF(AN285="",WORKDAY.INTL(AH285,AK285,1,Holidays[Date]),AN285),"")</f>
        <v/>
      </c>
      <c r="AN285" s="78"/>
      <c r="AO285" s="80"/>
      <c r="AP285" s="68"/>
      <c r="AQ285" s="77" t="str">
        <f>IF(AV285="","",WORKDAY.INTL(AV285,AT285*-1,1,Holidays[Date]))</f>
        <v/>
      </c>
      <c r="AR285" s="77" t="str">
        <f ca="1">IFERROR(IF(AS285="",WORKDAY.INTL(AM285,AP285,1,Holidays[Date]),AS285),"")</f>
        <v/>
      </c>
      <c r="AS285" s="78"/>
      <c r="AT285" s="80"/>
      <c r="AU285" s="68"/>
      <c r="AV285" s="77" t="str">
        <f>IF(BA285="","",WORKDAY.INTL(BA285,AY285*-1,1,Holidays[Date]))</f>
        <v/>
      </c>
      <c r="AW285" s="77" t="str">
        <f ca="1">IFERROR(IF(AX285="",WORKDAY.INTL(AR285,AU285,1,Holidays[Date]),AX285),"")</f>
        <v/>
      </c>
      <c r="AX285" s="78"/>
      <c r="AY285" s="80"/>
      <c r="AZ285" s="68"/>
      <c r="BA285" s="77" t="str">
        <f>IF(BF285="","",WORKDAY.INTL(BF285,BD285*-1,1,Holidays[Date]))</f>
        <v/>
      </c>
      <c r="BB285" s="77" t="str">
        <f ca="1">IFERROR(IF(BC285="",WORKDAY.INTL(AW285,AZ285,1,Holidays[Date]),BC285),"")</f>
        <v/>
      </c>
      <c r="BC285" s="78"/>
      <c r="BD285" s="80"/>
      <c r="BE285" s="68"/>
      <c r="BF285" s="77" t="str">
        <f>IF(BK285="","",WORKDAY.INTL(BK285,BI285*-1,1,Holidays[Date]))</f>
        <v/>
      </c>
      <c r="BG285" s="77" t="str">
        <f ca="1">IFERROR(IF(BH285="",WORKDAY.INTL(BB285,BE285,1,Holidays[Date]),BH285),"")</f>
        <v/>
      </c>
      <c r="BH285" s="78"/>
      <c r="BI285" s="80"/>
      <c r="BJ285" s="68"/>
      <c r="BK285" s="77" t="str">
        <f>IF(BP285="","",WORKDAY.INTL(BP285,BN285*-1,1,Holidays[Date]))</f>
        <v/>
      </c>
      <c r="BL285" s="77" t="str">
        <f ca="1">IFERROR(IF(BM285="",WORKDAY.INTL(BG285,BJ285,1,Holidays[Date]),BM285),"")</f>
        <v/>
      </c>
      <c r="BM285" s="78"/>
      <c r="BN285" s="80"/>
      <c r="BO285" s="68"/>
      <c r="BP285" s="77" t="str">
        <f>IF(BU285="","",WORKDAY.INTL(BU285,BS285*-1,1,Holidays[Date]))</f>
        <v/>
      </c>
      <c r="BQ285" s="77" t="str">
        <f ca="1">IFERROR(IF(BR285="",WORKDAY.INTL(BL285,BO285,1,Holidays[Date]),BR285),"")</f>
        <v/>
      </c>
      <c r="BR285" s="78"/>
      <c r="BS285" s="80"/>
      <c r="BT285" s="68"/>
      <c r="BU285" s="77" t="str">
        <f>IF(BZ285="","",WORKDAY.INTL(BZ285,BX285*-1,1,Holidays[Date]))</f>
        <v/>
      </c>
      <c r="BV285" s="77" t="str">
        <f ca="1">IFERROR(IF(BW285="",WORKDAY.INTL(BQ285,BT285,1,Holidays[Date]),BW285),"")</f>
        <v/>
      </c>
      <c r="BW285" s="78"/>
      <c r="BX285" s="80"/>
      <c r="BY285" s="68"/>
      <c r="BZ285" s="81"/>
      <c r="CA285" s="77" t="str">
        <f ca="1">IFERROR(IF(CB285="",WORKDAY.INTL(BV285,BY285,1,Holidays[Date]),CB285),"")</f>
        <v/>
      </c>
      <c r="CB285" s="78"/>
    </row>
    <row r="286" spans="1:80" ht="19" customHeight="1" x14ac:dyDescent="0.35">
      <c r="B286" s="82"/>
      <c r="C286" s="1"/>
      <c r="D286" s="8"/>
      <c r="E286" s="8"/>
      <c r="F286" s="8"/>
      <c r="G286" s="8"/>
      <c r="H286" s="8"/>
      <c r="I286" s="9"/>
      <c r="J286" s="8"/>
      <c r="K286" s="8"/>
      <c r="L286" s="8"/>
      <c r="M286" s="8"/>
      <c r="N286" s="8"/>
      <c r="O286" s="8"/>
      <c r="P286" s="8"/>
      <c r="Q286" s="2"/>
      <c r="R286" s="2"/>
      <c r="S286" s="88" t="str">
        <f>IF(tblProcRegister[[#This Row],[Award]]&lt;&gt;"",tblProcRegister[[#This Row],[Budget]]-tblProcRegister[[#This Row],[Award]],"")</f>
        <v/>
      </c>
      <c r="T286" s="68"/>
      <c r="U286" s="68"/>
      <c r="V286" s="68"/>
      <c r="W286" s="77" t="str">
        <f>IF(AB286="","",WORKDAY.INTL(AB286,Z286*-1,1,Holidays[Date]))</f>
        <v/>
      </c>
      <c r="X286" s="77" t="str">
        <f t="shared" ca="1" si="4"/>
        <v/>
      </c>
      <c r="Y286" s="78"/>
      <c r="Z286" s="79"/>
      <c r="AA286" s="68"/>
      <c r="AB286" s="77" t="str">
        <f>IF(AG286="","",WORKDAY.INTL(AG286,AE286*-1,1,Holidays[Date]))</f>
        <v/>
      </c>
      <c r="AC286" s="77" t="str">
        <f ca="1">IFERROR(IF(AD286="",WORKDAY.INTL(X286,AA286,1,Holidays[Date]),AD286),"")</f>
        <v/>
      </c>
      <c r="AD286" s="78"/>
      <c r="AE286" s="80"/>
      <c r="AF286" s="68"/>
      <c r="AG286" s="77" t="str">
        <f>IF(AL286="","",WORKDAY.INTL(AL286,AJ286*-1,1,Holidays[Date]))</f>
        <v/>
      </c>
      <c r="AH286" s="77" t="str">
        <f ca="1">IFERROR(IF(AI286="",WORKDAY.INTL(AC286,AF286,1,Holidays[Date]),AI286),"")</f>
        <v/>
      </c>
      <c r="AI286" s="78"/>
      <c r="AJ286" s="80"/>
      <c r="AK286" s="68"/>
      <c r="AL286" s="77" t="str">
        <f>IF(AQ286="","",WORKDAY.INTL(AQ286,AO286*-1,1,Holidays[Date]))</f>
        <v/>
      </c>
      <c r="AM286" s="77" t="str">
        <f ca="1">IFERROR(IF(AN286="",WORKDAY.INTL(AH286,AK286,1,Holidays[Date]),AN286),"")</f>
        <v/>
      </c>
      <c r="AN286" s="78"/>
      <c r="AO286" s="80"/>
      <c r="AP286" s="68"/>
      <c r="AQ286" s="77" t="str">
        <f>IF(AV286="","",WORKDAY.INTL(AV286,AT286*-1,1,Holidays[Date]))</f>
        <v/>
      </c>
      <c r="AR286" s="77" t="str">
        <f ca="1">IFERROR(IF(AS286="",WORKDAY.INTL(AM286,AP286,1,Holidays[Date]),AS286),"")</f>
        <v/>
      </c>
      <c r="AS286" s="78"/>
      <c r="AT286" s="80"/>
      <c r="AU286" s="68"/>
      <c r="AV286" s="77" t="str">
        <f>IF(BA286="","",WORKDAY.INTL(BA286,AY286*-1,1,Holidays[Date]))</f>
        <v/>
      </c>
      <c r="AW286" s="77" t="str">
        <f ca="1">IFERROR(IF(AX286="",WORKDAY.INTL(AR286,AU286,1,Holidays[Date]),AX286),"")</f>
        <v/>
      </c>
      <c r="AX286" s="78"/>
      <c r="AY286" s="80"/>
      <c r="AZ286" s="68"/>
      <c r="BA286" s="77" t="str">
        <f>IF(BF286="","",WORKDAY.INTL(BF286,BD286*-1,1,Holidays[Date]))</f>
        <v/>
      </c>
      <c r="BB286" s="77" t="str">
        <f ca="1">IFERROR(IF(BC286="",WORKDAY.INTL(AW286,AZ286,1,Holidays[Date]),BC286),"")</f>
        <v/>
      </c>
      <c r="BC286" s="78"/>
      <c r="BD286" s="80"/>
      <c r="BE286" s="68"/>
      <c r="BF286" s="77" t="str">
        <f>IF(BK286="","",WORKDAY.INTL(BK286,BI286*-1,1,Holidays[Date]))</f>
        <v/>
      </c>
      <c r="BG286" s="77" t="str">
        <f ca="1">IFERROR(IF(BH286="",WORKDAY.INTL(BB286,BE286,1,Holidays[Date]),BH286),"")</f>
        <v/>
      </c>
      <c r="BH286" s="78"/>
      <c r="BI286" s="80"/>
      <c r="BJ286" s="68"/>
      <c r="BK286" s="77" t="str">
        <f>IF(BP286="","",WORKDAY.INTL(BP286,BN286*-1,1,Holidays[Date]))</f>
        <v/>
      </c>
      <c r="BL286" s="77" t="str">
        <f ca="1">IFERROR(IF(BM286="",WORKDAY.INTL(BG286,BJ286,1,Holidays[Date]),BM286),"")</f>
        <v/>
      </c>
      <c r="BM286" s="78"/>
      <c r="BN286" s="80"/>
      <c r="BO286" s="68"/>
      <c r="BP286" s="77" t="str">
        <f>IF(BU286="","",WORKDAY.INTL(BU286,BS286*-1,1,Holidays[Date]))</f>
        <v/>
      </c>
      <c r="BQ286" s="77" t="str">
        <f ca="1">IFERROR(IF(BR286="",WORKDAY.INTL(BL286,BO286,1,Holidays[Date]),BR286),"")</f>
        <v/>
      </c>
      <c r="BR286" s="78"/>
      <c r="BS286" s="80"/>
      <c r="BT286" s="68"/>
      <c r="BU286" s="77" t="str">
        <f>IF(BZ286="","",WORKDAY.INTL(BZ286,BX286*-1,1,Holidays[Date]))</f>
        <v/>
      </c>
      <c r="BV286" s="77" t="str">
        <f ca="1">IFERROR(IF(BW286="",WORKDAY.INTL(BQ286,BT286,1,Holidays[Date]),BW286),"")</f>
        <v/>
      </c>
      <c r="BW286" s="78"/>
      <c r="BX286" s="80"/>
      <c r="BY286" s="68"/>
      <c r="BZ286" s="81"/>
      <c r="CA286" s="77" t="str">
        <f ca="1">IFERROR(IF(CB286="",WORKDAY.INTL(BV286,BY286,1,Holidays[Date]),CB286),"")</f>
        <v/>
      </c>
      <c r="CB286" s="78"/>
    </row>
    <row r="287" spans="1:80" ht="19" customHeight="1" x14ac:dyDescent="0.35">
      <c r="B287" s="82"/>
      <c r="C287" s="1"/>
      <c r="D287" s="8"/>
      <c r="E287" s="8"/>
      <c r="F287" s="8"/>
      <c r="G287" s="8"/>
      <c r="H287" s="8"/>
      <c r="I287" s="9"/>
      <c r="J287" s="8"/>
      <c r="K287" s="8"/>
      <c r="L287" s="8"/>
      <c r="M287" s="8"/>
      <c r="N287" s="8"/>
      <c r="O287" s="8"/>
      <c r="P287" s="8"/>
      <c r="Q287" s="2"/>
      <c r="R287" s="2"/>
      <c r="S287" s="88" t="str">
        <f>IF(tblProcRegister[[#This Row],[Award]]&lt;&gt;"",tblProcRegister[[#This Row],[Budget]]-tblProcRegister[[#This Row],[Award]],"")</f>
        <v/>
      </c>
      <c r="T287" s="68"/>
      <c r="U287" s="68"/>
      <c r="V287" s="68"/>
      <c r="W287" s="77" t="str">
        <f>IF(AB287="","",WORKDAY.INTL(AB287,Z287*-1,1,Holidays[Date]))</f>
        <v/>
      </c>
      <c r="X287" s="77" t="str">
        <f t="shared" ca="1" si="4"/>
        <v/>
      </c>
      <c r="Y287" s="78"/>
      <c r="Z287" s="79"/>
      <c r="AA287" s="68"/>
      <c r="AB287" s="77" t="str">
        <f>IF(AG287="","",WORKDAY.INTL(AG287,AE287*-1,1,Holidays[Date]))</f>
        <v/>
      </c>
      <c r="AC287" s="77" t="str">
        <f ca="1">IFERROR(IF(AD287="",WORKDAY.INTL(X287,AA287,1,Holidays[Date]),AD287),"")</f>
        <v/>
      </c>
      <c r="AD287" s="78"/>
      <c r="AE287" s="80"/>
      <c r="AF287" s="68"/>
      <c r="AG287" s="77" t="str">
        <f>IF(AL287="","",WORKDAY.INTL(AL287,AJ287*-1,1,Holidays[Date]))</f>
        <v/>
      </c>
      <c r="AH287" s="77" t="str">
        <f ca="1">IFERROR(IF(AI287="",WORKDAY.INTL(AC287,AF287,1,Holidays[Date]),AI287),"")</f>
        <v/>
      </c>
      <c r="AI287" s="78"/>
      <c r="AJ287" s="80"/>
      <c r="AK287" s="68"/>
      <c r="AL287" s="77" t="str">
        <f>IF(AQ287="","",WORKDAY.INTL(AQ287,AO287*-1,1,Holidays[Date]))</f>
        <v/>
      </c>
      <c r="AM287" s="77" t="str">
        <f ca="1">IFERROR(IF(AN287="",WORKDAY.INTL(AH287,AK287,1,Holidays[Date]),AN287),"")</f>
        <v/>
      </c>
      <c r="AN287" s="78"/>
      <c r="AO287" s="80"/>
      <c r="AP287" s="68"/>
      <c r="AQ287" s="77" t="str">
        <f>IF(AV287="","",WORKDAY.INTL(AV287,AT287*-1,1,Holidays[Date]))</f>
        <v/>
      </c>
      <c r="AR287" s="77" t="str">
        <f ca="1">IFERROR(IF(AS287="",WORKDAY.INTL(AM287,AP287,1,Holidays[Date]),AS287),"")</f>
        <v/>
      </c>
      <c r="AS287" s="78"/>
      <c r="AT287" s="80"/>
      <c r="AU287" s="68"/>
      <c r="AV287" s="77" t="str">
        <f>IF(BA287="","",WORKDAY.INTL(BA287,AY287*-1,1,Holidays[Date]))</f>
        <v/>
      </c>
      <c r="AW287" s="77" t="str">
        <f ca="1">IFERROR(IF(AX287="",WORKDAY.INTL(AR287,AU287,1,Holidays[Date]),AX287),"")</f>
        <v/>
      </c>
      <c r="AX287" s="78"/>
      <c r="AY287" s="80"/>
      <c r="AZ287" s="68"/>
      <c r="BA287" s="77" t="str">
        <f>IF(BF287="","",WORKDAY.INTL(BF287,BD287*-1,1,Holidays[Date]))</f>
        <v/>
      </c>
      <c r="BB287" s="77" t="str">
        <f ca="1">IFERROR(IF(BC287="",WORKDAY.INTL(AW287,AZ287,1,Holidays[Date]),BC287),"")</f>
        <v/>
      </c>
      <c r="BC287" s="78"/>
      <c r="BD287" s="80"/>
      <c r="BE287" s="68"/>
      <c r="BF287" s="77" t="str">
        <f>IF(BK287="","",WORKDAY.INTL(BK287,BI287*-1,1,Holidays[Date]))</f>
        <v/>
      </c>
      <c r="BG287" s="77" t="str">
        <f ca="1">IFERROR(IF(BH287="",WORKDAY.INTL(BB287,BE287,1,Holidays[Date]),BH287),"")</f>
        <v/>
      </c>
      <c r="BH287" s="78"/>
      <c r="BI287" s="80"/>
      <c r="BJ287" s="68"/>
      <c r="BK287" s="77" t="str">
        <f>IF(BP287="","",WORKDAY.INTL(BP287,BN287*-1,1,Holidays[Date]))</f>
        <v/>
      </c>
      <c r="BL287" s="77" t="str">
        <f ca="1">IFERROR(IF(BM287="",WORKDAY.INTL(BG287,BJ287,1,Holidays[Date]),BM287),"")</f>
        <v/>
      </c>
      <c r="BM287" s="78"/>
      <c r="BN287" s="80"/>
      <c r="BO287" s="68"/>
      <c r="BP287" s="77" t="str">
        <f>IF(BU287="","",WORKDAY.INTL(BU287,BS287*-1,1,Holidays[Date]))</f>
        <v/>
      </c>
      <c r="BQ287" s="77" t="str">
        <f ca="1">IFERROR(IF(BR287="",WORKDAY.INTL(BL287,BO287,1,Holidays[Date]),BR287),"")</f>
        <v/>
      </c>
      <c r="BR287" s="78"/>
      <c r="BS287" s="80"/>
      <c r="BT287" s="68"/>
      <c r="BU287" s="77" t="str">
        <f>IF(BZ287="","",WORKDAY.INTL(BZ287,BX287*-1,1,Holidays[Date]))</f>
        <v/>
      </c>
      <c r="BV287" s="77" t="str">
        <f ca="1">IFERROR(IF(BW287="",WORKDAY.INTL(BQ287,BT287,1,Holidays[Date]),BW287),"")</f>
        <v/>
      </c>
      <c r="BW287" s="78"/>
      <c r="BX287" s="80"/>
      <c r="BY287" s="68"/>
      <c r="BZ287" s="81"/>
      <c r="CA287" s="77" t="str">
        <f ca="1">IFERROR(IF(CB287="",WORKDAY.INTL(BV287,BY287,1,Holidays[Date]),CB287),"")</f>
        <v/>
      </c>
      <c r="CB287" s="78"/>
    </row>
    <row r="288" spans="1:80" ht="19" customHeight="1" x14ac:dyDescent="0.35">
      <c r="B288" s="82"/>
      <c r="C288" s="1"/>
      <c r="D288" s="8"/>
      <c r="E288" s="8"/>
      <c r="F288" s="8"/>
      <c r="G288" s="8"/>
      <c r="H288" s="8"/>
      <c r="I288" s="9"/>
      <c r="J288" s="8"/>
      <c r="K288" s="8"/>
      <c r="L288" s="8"/>
      <c r="M288" s="8"/>
      <c r="N288" s="8"/>
      <c r="O288" s="8"/>
      <c r="P288" s="8"/>
      <c r="Q288" s="2"/>
      <c r="R288" s="2"/>
      <c r="S288" s="88" t="str">
        <f>IF(tblProcRegister[[#This Row],[Award]]&lt;&gt;"",tblProcRegister[[#This Row],[Budget]]-tblProcRegister[[#This Row],[Award]],"")</f>
        <v/>
      </c>
      <c r="T288" s="68"/>
      <c r="U288" s="68"/>
      <c r="V288" s="68"/>
      <c r="W288" s="77" t="str">
        <f>IF(AB288="","",WORKDAY.INTL(AB288,Z288*-1,1,Holidays[Date]))</f>
        <v/>
      </c>
      <c r="X288" s="77" t="str">
        <f t="shared" ca="1" si="4"/>
        <v/>
      </c>
      <c r="Y288" s="78"/>
      <c r="Z288" s="79"/>
      <c r="AA288" s="68"/>
      <c r="AB288" s="77" t="str">
        <f>IF(AG288="","",WORKDAY.INTL(AG288,AE288*-1,1,Holidays[Date]))</f>
        <v/>
      </c>
      <c r="AC288" s="77" t="str">
        <f ca="1">IFERROR(IF(AD288="",WORKDAY.INTL(X288,AA288,1,Holidays[Date]),AD288),"")</f>
        <v/>
      </c>
      <c r="AD288" s="78"/>
      <c r="AE288" s="80"/>
      <c r="AF288" s="68"/>
      <c r="AG288" s="77" t="str">
        <f>IF(AL288="","",WORKDAY.INTL(AL288,AJ288*-1,1,Holidays[Date]))</f>
        <v/>
      </c>
      <c r="AH288" s="77" t="str">
        <f ca="1">IFERROR(IF(AI288="",WORKDAY.INTL(AC288,AF288,1,Holidays[Date]),AI288),"")</f>
        <v/>
      </c>
      <c r="AI288" s="78"/>
      <c r="AJ288" s="80"/>
      <c r="AK288" s="68"/>
      <c r="AL288" s="77" t="str">
        <f>IF(AQ288="","",WORKDAY.INTL(AQ288,AO288*-1,1,Holidays[Date]))</f>
        <v/>
      </c>
      <c r="AM288" s="77" t="str">
        <f ca="1">IFERROR(IF(AN288="",WORKDAY.INTL(AH288,AK288,1,Holidays[Date]),AN288),"")</f>
        <v/>
      </c>
      <c r="AN288" s="78"/>
      <c r="AO288" s="80"/>
      <c r="AP288" s="68"/>
      <c r="AQ288" s="77" t="str">
        <f>IF(AV288="","",WORKDAY.INTL(AV288,AT288*-1,1,Holidays[Date]))</f>
        <v/>
      </c>
      <c r="AR288" s="77" t="str">
        <f ca="1">IFERROR(IF(AS288="",WORKDAY.INTL(AM288,AP288,1,Holidays[Date]),AS288),"")</f>
        <v/>
      </c>
      <c r="AS288" s="78"/>
      <c r="AT288" s="80"/>
      <c r="AU288" s="68"/>
      <c r="AV288" s="77" t="str">
        <f>IF(BA288="","",WORKDAY.INTL(BA288,AY288*-1,1,Holidays[Date]))</f>
        <v/>
      </c>
      <c r="AW288" s="77" t="str">
        <f ca="1">IFERROR(IF(AX288="",WORKDAY.INTL(AR288,AU288,1,Holidays[Date]),AX288),"")</f>
        <v/>
      </c>
      <c r="AX288" s="78"/>
      <c r="AY288" s="80"/>
      <c r="AZ288" s="68"/>
      <c r="BA288" s="77" t="str">
        <f>IF(BF288="","",WORKDAY.INTL(BF288,BD288*-1,1,Holidays[Date]))</f>
        <v/>
      </c>
      <c r="BB288" s="77" t="str">
        <f ca="1">IFERROR(IF(BC288="",WORKDAY.INTL(AW288,AZ288,1,Holidays[Date]),BC288),"")</f>
        <v/>
      </c>
      <c r="BC288" s="78"/>
      <c r="BD288" s="80"/>
      <c r="BE288" s="68"/>
      <c r="BF288" s="77" t="str">
        <f>IF(BK288="","",WORKDAY.INTL(BK288,BI288*-1,1,Holidays[Date]))</f>
        <v/>
      </c>
      <c r="BG288" s="77" t="str">
        <f ca="1">IFERROR(IF(BH288="",WORKDAY.INTL(BB288,BE288,1,Holidays[Date]),BH288),"")</f>
        <v/>
      </c>
      <c r="BH288" s="78"/>
      <c r="BI288" s="80"/>
      <c r="BJ288" s="68"/>
      <c r="BK288" s="77" t="str">
        <f>IF(BP288="","",WORKDAY.INTL(BP288,BN288*-1,1,Holidays[Date]))</f>
        <v/>
      </c>
      <c r="BL288" s="77" t="str">
        <f ca="1">IFERROR(IF(BM288="",WORKDAY.INTL(BG288,BJ288,1,Holidays[Date]),BM288),"")</f>
        <v/>
      </c>
      <c r="BM288" s="78"/>
      <c r="BN288" s="80"/>
      <c r="BO288" s="68"/>
      <c r="BP288" s="77" t="str">
        <f>IF(BU288="","",WORKDAY.INTL(BU288,BS288*-1,1,Holidays[Date]))</f>
        <v/>
      </c>
      <c r="BQ288" s="77" t="str">
        <f ca="1">IFERROR(IF(BR288="",WORKDAY.INTL(BL288,BO288,1,Holidays[Date]),BR288),"")</f>
        <v/>
      </c>
      <c r="BR288" s="78"/>
      <c r="BS288" s="80"/>
      <c r="BT288" s="68"/>
      <c r="BU288" s="77" t="str">
        <f>IF(BZ288="","",WORKDAY.INTL(BZ288,BX288*-1,1,Holidays[Date]))</f>
        <v/>
      </c>
      <c r="BV288" s="77" t="str">
        <f ca="1">IFERROR(IF(BW288="",WORKDAY.INTL(BQ288,BT288,1,Holidays[Date]),BW288),"")</f>
        <v/>
      </c>
      <c r="BW288" s="78"/>
      <c r="BX288" s="80"/>
      <c r="BY288" s="68"/>
      <c r="BZ288" s="81"/>
      <c r="CA288" s="77" t="str">
        <f ca="1">IFERROR(IF(CB288="",WORKDAY.INTL(BV288,BY288,1,Holidays[Date]),CB288),"")</f>
        <v/>
      </c>
      <c r="CB288" s="78"/>
    </row>
    <row r="289" spans="2:80" ht="19" customHeight="1" x14ac:dyDescent="0.35">
      <c r="B289" s="82"/>
      <c r="C289" s="1"/>
      <c r="D289" s="8"/>
      <c r="E289" s="8"/>
      <c r="F289" s="8"/>
      <c r="G289" s="8"/>
      <c r="H289" s="8"/>
      <c r="I289" s="9"/>
      <c r="J289" s="8"/>
      <c r="K289" s="8"/>
      <c r="L289" s="8"/>
      <c r="M289" s="8"/>
      <c r="N289" s="8"/>
      <c r="O289" s="8"/>
      <c r="P289" s="8"/>
      <c r="Q289" s="2"/>
      <c r="R289" s="2"/>
      <c r="S289" s="88" t="str">
        <f>IF(tblProcRegister[[#This Row],[Award]]&lt;&gt;"",tblProcRegister[[#This Row],[Budget]]-tblProcRegister[[#This Row],[Award]],"")</f>
        <v/>
      </c>
      <c r="T289" s="68"/>
      <c r="U289" s="68"/>
      <c r="V289" s="68"/>
      <c r="W289" s="77" t="str">
        <f>IF(AB289="","",WORKDAY.INTL(AB289,Z289*-1,1,Holidays[Date]))</f>
        <v/>
      </c>
      <c r="X289" s="77" t="str">
        <f t="shared" ca="1" si="4"/>
        <v/>
      </c>
      <c r="Y289" s="78"/>
      <c r="Z289" s="79"/>
      <c r="AA289" s="68"/>
      <c r="AB289" s="77" t="str">
        <f>IF(AG289="","",WORKDAY.INTL(AG289,AE289*-1,1,Holidays[Date]))</f>
        <v/>
      </c>
      <c r="AC289" s="77" t="str">
        <f ca="1">IFERROR(IF(AD289="",WORKDAY.INTL(X289,AA289,1,Holidays[Date]),AD289),"")</f>
        <v/>
      </c>
      <c r="AD289" s="78"/>
      <c r="AE289" s="80"/>
      <c r="AF289" s="68"/>
      <c r="AG289" s="77" t="str">
        <f>IF(AL289="","",WORKDAY.INTL(AL289,AJ289*-1,1,Holidays[Date]))</f>
        <v/>
      </c>
      <c r="AH289" s="77" t="str">
        <f ca="1">IFERROR(IF(AI289="",WORKDAY.INTL(AC289,AF289,1,Holidays[Date]),AI289),"")</f>
        <v/>
      </c>
      <c r="AI289" s="78"/>
      <c r="AJ289" s="80"/>
      <c r="AK289" s="68"/>
      <c r="AL289" s="77" t="str">
        <f>IF(AQ289="","",WORKDAY.INTL(AQ289,AO289*-1,1,Holidays[Date]))</f>
        <v/>
      </c>
      <c r="AM289" s="77" t="str">
        <f ca="1">IFERROR(IF(AN289="",WORKDAY.INTL(AH289,AK289,1,Holidays[Date]),AN289),"")</f>
        <v/>
      </c>
      <c r="AN289" s="78"/>
      <c r="AO289" s="80"/>
      <c r="AP289" s="68"/>
      <c r="AQ289" s="77" t="str">
        <f>IF(AV289="","",WORKDAY.INTL(AV289,AT289*-1,1,Holidays[Date]))</f>
        <v/>
      </c>
      <c r="AR289" s="77" t="str">
        <f ca="1">IFERROR(IF(AS289="",WORKDAY.INTL(AM289,AP289,1,Holidays[Date]),AS289),"")</f>
        <v/>
      </c>
      <c r="AS289" s="78"/>
      <c r="AT289" s="80"/>
      <c r="AU289" s="68"/>
      <c r="AV289" s="77" t="str">
        <f>IF(BA289="","",WORKDAY.INTL(BA289,AY289*-1,1,Holidays[Date]))</f>
        <v/>
      </c>
      <c r="AW289" s="77" t="str">
        <f ca="1">IFERROR(IF(AX289="",WORKDAY.INTL(AR289,AU289,1,Holidays[Date]),AX289),"")</f>
        <v/>
      </c>
      <c r="AX289" s="78"/>
      <c r="AY289" s="80"/>
      <c r="AZ289" s="68"/>
      <c r="BA289" s="77" t="str">
        <f>IF(BF289="","",WORKDAY.INTL(BF289,BD289*-1,1,Holidays[Date]))</f>
        <v/>
      </c>
      <c r="BB289" s="77" t="str">
        <f ca="1">IFERROR(IF(BC289="",WORKDAY.INTL(AW289,AZ289,1,Holidays[Date]),BC289),"")</f>
        <v/>
      </c>
      <c r="BC289" s="78"/>
      <c r="BD289" s="80"/>
      <c r="BE289" s="68"/>
      <c r="BF289" s="77" t="str">
        <f>IF(BK289="","",WORKDAY.INTL(BK289,BI289*-1,1,Holidays[Date]))</f>
        <v/>
      </c>
      <c r="BG289" s="77" t="str">
        <f ca="1">IFERROR(IF(BH289="",WORKDAY.INTL(BB289,BE289,1,Holidays[Date]),BH289),"")</f>
        <v/>
      </c>
      <c r="BH289" s="78"/>
      <c r="BI289" s="80"/>
      <c r="BJ289" s="68"/>
      <c r="BK289" s="77" t="str">
        <f>IF(BP289="","",WORKDAY.INTL(BP289,BN289*-1,1,Holidays[Date]))</f>
        <v/>
      </c>
      <c r="BL289" s="77" t="str">
        <f ca="1">IFERROR(IF(BM289="",WORKDAY.INTL(BG289,BJ289,1,Holidays[Date]),BM289),"")</f>
        <v/>
      </c>
      <c r="BM289" s="78"/>
      <c r="BN289" s="80"/>
      <c r="BO289" s="68"/>
      <c r="BP289" s="77" t="str">
        <f>IF(BU289="","",WORKDAY.INTL(BU289,BS289*-1,1,Holidays[Date]))</f>
        <v/>
      </c>
      <c r="BQ289" s="77" t="str">
        <f ca="1">IFERROR(IF(BR289="",WORKDAY.INTL(BL289,BO289,1,Holidays[Date]),BR289),"")</f>
        <v/>
      </c>
      <c r="BR289" s="78"/>
      <c r="BS289" s="80"/>
      <c r="BT289" s="68"/>
      <c r="BU289" s="77" t="str">
        <f>IF(BZ289="","",WORKDAY.INTL(BZ289,BX289*-1,1,Holidays[Date]))</f>
        <v/>
      </c>
      <c r="BV289" s="77" t="str">
        <f ca="1">IFERROR(IF(BW289="",WORKDAY.INTL(BQ289,BT289,1,Holidays[Date]),BW289),"")</f>
        <v/>
      </c>
      <c r="BW289" s="78"/>
      <c r="BX289" s="80"/>
      <c r="BY289" s="68"/>
      <c r="BZ289" s="81"/>
      <c r="CA289" s="77" t="str">
        <f ca="1">IFERROR(IF(CB289="",WORKDAY.INTL(BV289,BY289,1,Holidays[Date]),CB289),"")</f>
        <v/>
      </c>
      <c r="CB289" s="78"/>
    </row>
    <row r="290" spans="2:80" ht="19" customHeight="1" x14ac:dyDescent="0.35">
      <c r="B290" s="82"/>
      <c r="C290" s="1"/>
      <c r="D290" s="8"/>
      <c r="E290" s="8"/>
      <c r="F290" s="8"/>
      <c r="G290" s="8"/>
      <c r="H290" s="8"/>
      <c r="I290" s="9"/>
      <c r="J290" s="8"/>
      <c r="K290" s="8"/>
      <c r="L290" s="8"/>
      <c r="M290" s="8"/>
      <c r="N290" s="8"/>
      <c r="O290" s="8"/>
      <c r="P290" s="8"/>
      <c r="Q290" s="2"/>
      <c r="R290" s="2"/>
      <c r="S290" s="88" t="str">
        <f>IF(tblProcRegister[[#This Row],[Award]]&lt;&gt;"",tblProcRegister[[#This Row],[Budget]]-tblProcRegister[[#This Row],[Award]],"")</f>
        <v/>
      </c>
      <c r="T290" s="68"/>
      <c r="U290" s="68"/>
      <c r="V290" s="68"/>
      <c r="W290" s="77" t="str">
        <f>IF(AB290="","",WORKDAY.INTL(AB290,Z290*-1,1,Holidays[Date]))</f>
        <v/>
      </c>
      <c r="X290" s="77" t="str">
        <f t="shared" ca="1" si="4"/>
        <v/>
      </c>
      <c r="Y290" s="78"/>
      <c r="Z290" s="79"/>
      <c r="AA290" s="68"/>
      <c r="AB290" s="77" t="str">
        <f>IF(AG290="","",WORKDAY.INTL(AG290,AE290*-1,1,Holidays[Date]))</f>
        <v/>
      </c>
      <c r="AC290" s="77" t="str">
        <f ca="1">IFERROR(IF(AD290="",WORKDAY.INTL(X290,AA290,1,Holidays[Date]),AD290),"")</f>
        <v/>
      </c>
      <c r="AD290" s="78"/>
      <c r="AE290" s="80"/>
      <c r="AF290" s="68"/>
      <c r="AG290" s="77" t="str">
        <f>IF(AL290="","",WORKDAY.INTL(AL290,AJ290*-1,1,Holidays[Date]))</f>
        <v/>
      </c>
      <c r="AH290" s="77" t="str">
        <f ca="1">IFERROR(IF(AI290="",WORKDAY.INTL(AC290,AF290,1,Holidays[Date]),AI290),"")</f>
        <v/>
      </c>
      <c r="AI290" s="78"/>
      <c r="AJ290" s="80"/>
      <c r="AK290" s="68"/>
      <c r="AL290" s="77" t="str">
        <f>IF(AQ290="","",WORKDAY.INTL(AQ290,AO290*-1,1,Holidays[Date]))</f>
        <v/>
      </c>
      <c r="AM290" s="77" t="str">
        <f ca="1">IFERROR(IF(AN290="",WORKDAY.INTL(AH290,AK290,1,Holidays[Date]),AN290),"")</f>
        <v/>
      </c>
      <c r="AN290" s="78"/>
      <c r="AO290" s="80"/>
      <c r="AP290" s="68"/>
      <c r="AQ290" s="77" t="str">
        <f>IF(AV290="","",WORKDAY.INTL(AV290,AT290*-1,1,Holidays[Date]))</f>
        <v/>
      </c>
      <c r="AR290" s="77" t="str">
        <f ca="1">IFERROR(IF(AS290="",WORKDAY.INTL(AM290,AP290,1,Holidays[Date]),AS290),"")</f>
        <v/>
      </c>
      <c r="AS290" s="78"/>
      <c r="AT290" s="80"/>
      <c r="AU290" s="68"/>
      <c r="AV290" s="77" t="str">
        <f>IF(BA290="","",WORKDAY.INTL(BA290,AY290*-1,1,Holidays[Date]))</f>
        <v/>
      </c>
      <c r="AW290" s="77" t="str">
        <f ca="1">IFERROR(IF(AX290="",WORKDAY.INTL(AR290,AU290,1,Holidays[Date]),AX290),"")</f>
        <v/>
      </c>
      <c r="AX290" s="78"/>
      <c r="AY290" s="80"/>
      <c r="AZ290" s="68"/>
      <c r="BA290" s="77" t="str">
        <f>IF(BF290="","",WORKDAY.INTL(BF290,BD290*-1,1,Holidays[Date]))</f>
        <v/>
      </c>
      <c r="BB290" s="77" t="str">
        <f ca="1">IFERROR(IF(BC290="",WORKDAY.INTL(AW290,AZ290,1,Holidays[Date]),BC290),"")</f>
        <v/>
      </c>
      <c r="BC290" s="78"/>
      <c r="BD290" s="80"/>
      <c r="BE290" s="68"/>
      <c r="BF290" s="77" t="str">
        <f>IF(BK290="","",WORKDAY.INTL(BK290,BI290*-1,1,Holidays[Date]))</f>
        <v/>
      </c>
      <c r="BG290" s="77" t="str">
        <f ca="1">IFERROR(IF(BH290="",WORKDAY.INTL(BB290,BE290,1,Holidays[Date]),BH290),"")</f>
        <v/>
      </c>
      <c r="BH290" s="78"/>
      <c r="BI290" s="80"/>
      <c r="BJ290" s="68"/>
      <c r="BK290" s="77" t="str">
        <f>IF(BP290="","",WORKDAY.INTL(BP290,BN290*-1,1,Holidays[Date]))</f>
        <v/>
      </c>
      <c r="BL290" s="77" t="str">
        <f ca="1">IFERROR(IF(BM290="",WORKDAY.INTL(BG290,BJ290,1,Holidays[Date]),BM290),"")</f>
        <v/>
      </c>
      <c r="BM290" s="78"/>
      <c r="BN290" s="80"/>
      <c r="BO290" s="68"/>
      <c r="BP290" s="77" t="str">
        <f>IF(BU290="","",WORKDAY.INTL(BU290,BS290*-1,1,Holidays[Date]))</f>
        <v/>
      </c>
      <c r="BQ290" s="77" t="str">
        <f ca="1">IFERROR(IF(BR290="",WORKDAY.INTL(BL290,BO290,1,Holidays[Date]),BR290),"")</f>
        <v/>
      </c>
      <c r="BR290" s="78"/>
      <c r="BS290" s="80"/>
      <c r="BT290" s="68"/>
      <c r="BU290" s="77" t="str">
        <f>IF(BZ290="","",WORKDAY.INTL(BZ290,BX290*-1,1,Holidays[Date]))</f>
        <v/>
      </c>
      <c r="BV290" s="77" t="str">
        <f ca="1">IFERROR(IF(BW290="",WORKDAY.INTL(BQ290,BT290,1,Holidays[Date]),BW290),"")</f>
        <v/>
      </c>
      <c r="BW290" s="78"/>
      <c r="BX290" s="80"/>
      <c r="BY290" s="68"/>
      <c r="BZ290" s="81"/>
      <c r="CA290" s="77" t="str">
        <f ca="1">IFERROR(IF(CB290="",WORKDAY.INTL(BV290,BY290,1,Holidays[Date]),CB290),"")</f>
        <v/>
      </c>
      <c r="CB290" s="78"/>
    </row>
    <row r="291" spans="2:80" ht="19" customHeight="1" x14ac:dyDescent="0.35">
      <c r="B291" s="82"/>
      <c r="C291" s="1"/>
      <c r="D291" s="8"/>
      <c r="E291" s="8"/>
      <c r="F291" s="8"/>
      <c r="G291" s="8"/>
      <c r="H291" s="8"/>
      <c r="I291" s="9"/>
      <c r="J291" s="8"/>
      <c r="K291" s="8"/>
      <c r="L291" s="8"/>
      <c r="M291" s="8"/>
      <c r="N291" s="8"/>
      <c r="O291" s="8"/>
      <c r="P291" s="8"/>
      <c r="Q291" s="2"/>
      <c r="R291" s="2"/>
      <c r="S291" s="88" t="str">
        <f>IF(tblProcRegister[[#This Row],[Award]]&lt;&gt;"",tblProcRegister[[#This Row],[Budget]]-tblProcRegister[[#This Row],[Award]],"")</f>
        <v/>
      </c>
      <c r="T291" s="68"/>
      <c r="U291" s="68"/>
      <c r="V291" s="68"/>
      <c r="W291" s="77" t="str">
        <f>IF(AB291="","",WORKDAY.INTL(AB291,Z291*-1,1,Holidays[Date]))</f>
        <v/>
      </c>
      <c r="X291" s="77" t="str">
        <f t="shared" ca="1" si="4"/>
        <v/>
      </c>
      <c r="Y291" s="78"/>
      <c r="Z291" s="79"/>
      <c r="AA291" s="68"/>
      <c r="AB291" s="77" t="str">
        <f>IF(AG291="","",WORKDAY.INTL(AG291,AE291*-1,1,Holidays[Date]))</f>
        <v/>
      </c>
      <c r="AC291" s="77" t="str">
        <f ca="1">IFERROR(IF(AD291="",WORKDAY.INTL(X291,AA291,1,Holidays[Date]),AD291),"")</f>
        <v/>
      </c>
      <c r="AD291" s="78"/>
      <c r="AE291" s="80"/>
      <c r="AF291" s="68"/>
      <c r="AG291" s="77" t="str">
        <f>IF(AL291="","",WORKDAY.INTL(AL291,AJ291*-1,1,Holidays[Date]))</f>
        <v/>
      </c>
      <c r="AH291" s="77" t="str">
        <f ca="1">IFERROR(IF(AI291="",WORKDAY.INTL(AC291,AF291,1,Holidays[Date]),AI291),"")</f>
        <v/>
      </c>
      <c r="AI291" s="78"/>
      <c r="AJ291" s="80"/>
      <c r="AK291" s="68"/>
      <c r="AL291" s="77" t="str">
        <f>IF(AQ291="","",WORKDAY.INTL(AQ291,AO291*-1,1,Holidays[Date]))</f>
        <v/>
      </c>
      <c r="AM291" s="77" t="str">
        <f ca="1">IFERROR(IF(AN291="",WORKDAY.INTL(AH291,AK291,1,Holidays[Date]),AN291),"")</f>
        <v/>
      </c>
      <c r="AN291" s="78"/>
      <c r="AO291" s="80"/>
      <c r="AP291" s="68"/>
      <c r="AQ291" s="77" t="str">
        <f>IF(AV291="","",WORKDAY.INTL(AV291,AT291*-1,1,Holidays[Date]))</f>
        <v/>
      </c>
      <c r="AR291" s="77" t="str">
        <f ca="1">IFERROR(IF(AS291="",WORKDAY.INTL(AM291,AP291,1,Holidays[Date]),AS291),"")</f>
        <v/>
      </c>
      <c r="AS291" s="78"/>
      <c r="AT291" s="80"/>
      <c r="AU291" s="68"/>
      <c r="AV291" s="77" t="str">
        <f>IF(BA291="","",WORKDAY.INTL(BA291,AY291*-1,1,Holidays[Date]))</f>
        <v/>
      </c>
      <c r="AW291" s="77" t="str">
        <f ca="1">IFERROR(IF(AX291="",WORKDAY.INTL(AR291,AU291,1,Holidays[Date]),AX291),"")</f>
        <v/>
      </c>
      <c r="AX291" s="78"/>
      <c r="AY291" s="80"/>
      <c r="AZ291" s="68"/>
      <c r="BA291" s="77" t="str">
        <f>IF(BF291="","",WORKDAY.INTL(BF291,BD291*-1,1,Holidays[Date]))</f>
        <v/>
      </c>
      <c r="BB291" s="77" t="str">
        <f ca="1">IFERROR(IF(BC291="",WORKDAY.INTL(AW291,AZ291,1,Holidays[Date]),BC291),"")</f>
        <v/>
      </c>
      <c r="BC291" s="78"/>
      <c r="BD291" s="80"/>
      <c r="BE291" s="68"/>
      <c r="BF291" s="77" t="str">
        <f>IF(BK291="","",WORKDAY.INTL(BK291,BI291*-1,1,Holidays[Date]))</f>
        <v/>
      </c>
      <c r="BG291" s="77" t="str">
        <f ca="1">IFERROR(IF(BH291="",WORKDAY.INTL(BB291,BE291,1,Holidays[Date]),BH291),"")</f>
        <v/>
      </c>
      <c r="BH291" s="78"/>
      <c r="BI291" s="80"/>
      <c r="BJ291" s="68"/>
      <c r="BK291" s="77" t="str">
        <f>IF(BP291="","",WORKDAY.INTL(BP291,BN291*-1,1,Holidays[Date]))</f>
        <v/>
      </c>
      <c r="BL291" s="77" t="str">
        <f ca="1">IFERROR(IF(BM291="",WORKDAY.INTL(BG291,BJ291,1,Holidays[Date]),BM291),"")</f>
        <v/>
      </c>
      <c r="BM291" s="78"/>
      <c r="BN291" s="80"/>
      <c r="BO291" s="68"/>
      <c r="BP291" s="77" t="str">
        <f>IF(BU291="","",WORKDAY.INTL(BU291,BS291*-1,1,Holidays[Date]))</f>
        <v/>
      </c>
      <c r="BQ291" s="77" t="str">
        <f ca="1">IFERROR(IF(BR291="",WORKDAY.INTL(BL291,BO291,1,Holidays[Date]),BR291),"")</f>
        <v/>
      </c>
      <c r="BR291" s="78"/>
      <c r="BS291" s="80"/>
      <c r="BT291" s="68"/>
      <c r="BU291" s="77" t="str">
        <f>IF(BZ291="","",WORKDAY.INTL(BZ291,BX291*-1,1,Holidays[Date]))</f>
        <v/>
      </c>
      <c r="BV291" s="77" t="str">
        <f ca="1">IFERROR(IF(BW291="",WORKDAY.INTL(BQ291,BT291,1,Holidays[Date]),BW291),"")</f>
        <v/>
      </c>
      <c r="BW291" s="78"/>
      <c r="BX291" s="80"/>
      <c r="BY291" s="68"/>
      <c r="BZ291" s="81"/>
      <c r="CA291" s="77" t="str">
        <f ca="1">IFERROR(IF(CB291="",WORKDAY.INTL(BV291,BY291,1,Holidays[Date]),CB291),"")</f>
        <v/>
      </c>
      <c r="CB291" s="78"/>
    </row>
    <row r="292" spans="2:80" ht="19" customHeight="1" x14ac:dyDescent="0.35">
      <c r="B292" s="82"/>
      <c r="C292" s="1"/>
      <c r="D292" s="8"/>
      <c r="E292" s="8"/>
      <c r="F292" s="8"/>
      <c r="G292" s="8"/>
      <c r="H292" s="8"/>
      <c r="I292" s="9"/>
      <c r="J292" s="8"/>
      <c r="K292" s="8"/>
      <c r="L292" s="8"/>
      <c r="M292" s="8"/>
      <c r="N292" s="8"/>
      <c r="O292" s="8"/>
      <c r="P292" s="8"/>
      <c r="Q292" s="2"/>
      <c r="R292" s="2"/>
      <c r="S292" s="88" t="str">
        <f>IF(tblProcRegister[[#This Row],[Award]]&lt;&gt;"",tblProcRegister[[#This Row],[Budget]]-tblProcRegister[[#This Row],[Award]],"")</f>
        <v/>
      </c>
      <c r="T292" s="68"/>
      <c r="U292" s="68"/>
      <c r="V292" s="68"/>
      <c r="W292" s="77" t="str">
        <f>IF(AB292="","",WORKDAY.INTL(AB292,Z292*-1,1,Holidays[Date]))</f>
        <v/>
      </c>
      <c r="X292" s="77" t="str">
        <f t="shared" ca="1" si="4"/>
        <v/>
      </c>
      <c r="Y292" s="78"/>
      <c r="Z292" s="79"/>
      <c r="AA292" s="68"/>
      <c r="AB292" s="77" t="str">
        <f>IF(AG292="","",WORKDAY.INTL(AG292,AE292*-1,1,Holidays[Date]))</f>
        <v/>
      </c>
      <c r="AC292" s="77" t="str">
        <f ca="1">IFERROR(IF(AD292="",WORKDAY.INTL(X292,AA292,1,Holidays[Date]),AD292),"")</f>
        <v/>
      </c>
      <c r="AD292" s="78"/>
      <c r="AE292" s="80"/>
      <c r="AF292" s="68"/>
      <c r="AG292" s="77" t="str">
        <f>IF(AL292="","",WORKDAY.INTL(AL292,AJ292*-1,1,Holidays[Date]))</f>
        <v/>
      </c>
      <c r="AH292" s="77" t="str">
        <f ca="1">IFERROR(IF(AI292="",WORKDAY.INTL(AC292,AF292,1,Holidays[Date]),AI292),"")</f>
        <v/>
      </c>
      <c r="AI292" s="78"/>
      <c r="AJ292" s="80"/>
      <c r="AK292" s="68"/>
      <c r="AL292" s="77" t="str">
        <f>IF(AQ292="","",WORKDAY.INTL(AQ292,AO292*-1,1,Holidays[Date]))</f>
        <v/>
      </c>
      <c r="AM292" s="77" t="str">
        <f ca="1">IFERROR(IF(AN292="",WORKDAY.INTL(AH292,AK292,1,Holidays[Date]),AN292),"")</f>
        <v/>
      </c>
      <c r="AN292" s="78"/>
      <c r="AO292" s="80"/>
      <c r="AP292" s="68"/>
      <c r="AQ292" s="77" t="str">
        <f>IF(AV292="","",WORKDAY.INTL(AV292,AT292*-1,1,Holidays[Date]))</f>
        <v/>
      </c>
      <c r="AR292" s="77" t="str">
        <f ca="1">IFERROR(IF(AS292="",WORKDAY.INTL(AM292,AP292,1,Holidays[Date]),AS292),"")</f>
        <v/>
      </c>
      <c r="AS292" s="78"/>
      <c r="AT292" s="80"/>
      <c r="AU292" s="68"/>
      <c r="AV292" s="77" t="str">
        <f>IF(BA292="","",WORKDAY.INTL(BA292,AY292*-1,1,Holidays[Date]))</f>
        <v/>
      </c>
      <c r="AW292" s="77" t="str">
        <f ca="1">IFERROR(IF(AX292="",WORKDAY.INTL(AR292,AU292,1,Holidays[Date]),AX292),"")</f>
        <v/>
      </c>
      <c r="AX292" s="78"/>
      <c r="AY292" s="80"/>
      <c r="AZ292" s="68"/>
      <c r="BA292" s="77" t="str">
        <f>IF(BF292="","",WORKDAY.INTL(BF292,BD292*-1,1,Holidays[Date]))</f>
        <v/>
      </c>
      <c r="BB292" s="77" t="str">
        <f ca="1">IFERROR(IF(BC292="",WORKDAY.INTL(AW292,AZ292,1,Holidays[Date]),BC292),"")</f>
        <v/>
      </c>
      <c r="BC292" s="78"/>
      <c r="BD292" s="80"/>
      <c r="BE292" s="68"/>
      <c r="BF292" s="77" t="str">
        <f>IF(BK292="","",WORKDAY.INTL(BK292,BI292*-1,1,Holidays[Date]))</f>
        <v/>
      </c>
      <c r="BG292" s="77" t="str">
        <f ca="1">IFERROR(IF(BH292="",WORKDAY.INTL(BB292,BE292,1,Holidays[Date]),BH292),"")</f>
        <v/>
      </c>
      <c r="BH292" s="78"/>
      <c r="BI292" s="80"/>
      <c r="BJ292" s="68"/>
      <c r="BK292" s="77" t="str">
        <f>IF(BP292="","",WORKDAY.INTL(BP292,BN292*-1,1,Holidays[Date]))</f>
        <v/>
      </c>
      <c r="BL292" s="77" t="str">
        <f ca="1">IFERROR(IF(BM292="",WORKDAY.INTL(BG292,BJ292,1,Holidays[Date]),BM292),"")</f>
        <v/>
      </c>
      <c r="BM292" s="78"/>
      <c r="BN292" s="80"/>
      <c r="BO292" s="68"/>
      <c r="BP292" s="77" t="str">
        <f>IF(BU292="","",WORKDAY.INTL(BU292,BS292*-1,1,Holidays[Date]))</f>
        <v/>
      </c>
      <c r="BQ292" s="77" t="str">
        <f ca="1">IFERROR(IF(BR292="",WORKDAY.INTL(BL292,BO292,1,Holidays[Date]),BR292),"")</f>
        <v/>
      </c>
      <c r="BR292" s="78"/>
      <c r="BS292" s="80"/>
      <c r="BT292" s="68"/>
      <c r="BU292" s="77" t="str">
        <f>IF(BZ292="","",WORKDAY.INTL(BZ292,BX292*-1,1,Holidays[Date]))</f>
        <v/>
      </c>
      <c r="BV292" s="77" t="str">
        <f ca="1">IFERROR(IF(BW292="",WORKDAY.INTL(BQ292,BT292,1,Holidays[Date]),BW292),"")</f>
        <v/>
      </c>
      <c r="BW292" s="78"/>
      <c r="BX292" s="80"/>
      <c r="BY292" s="68"/>
      <c r="BZ292" s="81"/>
      <c r="CA292" s="77" t="str">
        <f ca="1">IFERROR(IF(CB292="",WORKDAY.INTL(BV292,BY292,1,Holidays[Date]),CB292),"")</f>
        <v/>
      </c>
      <c r="CB292" s="78"/>
    </row>
    <row r="293" spans="2:80" ht="19" customHeight="1" x14ac:dyDescent="0.35">
      <c r="B293" s="82"/>
      <c r="C293" s="1"/>
      <c r="D293" s="8"/>
      <c r="E293" s="8"/>
      <c r="F293" s="8"/>
      <c r="G293" s="8"/>
      <c r="H293" s="8"/>
      <c r="I293" s="9"/>
      <c r="J293" s="8"/>
      <c r="K293" s="8"/>
      <c r="L293" s="8"/>
      <c r="M293" s="8"/>
      <c r="N293" s="8"/>
      <c r="O293" s="8"/>
      <c r="P293" s="8"/>
      <c r="Q293" s="2"/>
      <c r="R293" s="2"/>
      <c r="S293" s="88" t="str">
        <f>IF(tblProcRegister[[#This Row],[Award]]&lt;&gt;"",tblProcRegister[[#This Row],[Budget]]-tblProcRegister[[#This Row],[Award]],"")</f>
        <v/>
      </c>
      <c r="T293" s="68"/>
      <c r="U293" s="68"/>
      <c r="V293" s="68"/>
      <c r="W293" s="77" t="str">
        <f>IF(AB293="","",WORKDAY.INTL(AB293,Z293*-1,1,Holidays[Date]))</f>
        <v/>
      </c>
      <c r="X293" s="77" t="str">
        <f t="shared" ca="1" si="4"/>
        <v/>
      </c>
      <c r="Y293" s="78"/>
      <c r="Z293" s="79"/>
      <c r="AA293" s="68"/>
      <c r="AB293" s="77" t="str">
        <f>IF(AG293="","",WORKDAY.INTL(AG293,AE293*-1,1,Holidays[Date]))</f>
        <v/>
      </c>
      <c r="AC293" s="77" t="str">
        <f ca="1">IFERROR(IF(AD293="",WORKDAY.INTL(X293,AA293,1,Holidays[Date]),AD293),"")</f>
        <v/>
      </c>
      <c r="AD293" s="78"/>
      <c r="AE293" s="80"/>
      <c r="AF293" s="68"/>
      <c r="AG293" s="77" t="str">
        <f>IF(AL293="","",WORKDAY.INTL(AL293,AJ293*-1,1,Holidays[Date]))</f>
        <v/>
      </c>
      <c r="AH293" s="77" t="str">
        <f ca="1">IFERROR(IF(AI293="",WORKDAY.INTL(AC293,AF293,1,Holidays[Date]),AI293),"")</f>
        <v/>
      </c>
      <c r="AI293" s="78"/>
      <c r="AJ293" s="80"/>
      <c r="AK293" s="68"/>
      <c r="AL293" s="77" t="str">
        <f>IF(AQ293="","",WORKDAY.INTL(AQ293,AO293*-1,1,Holidays[Date]))</f>
        <v/>
      </c>
      <c r="AM293" s="77" t="str">
        <f ca="1">IFERROR(IF(AN293="",WORKDAY.INTL(AH293,AK293,1,Holidays[Date]),AN293),"")</f>
        <v/>
      </c>
      <c r="AN293" s="78"/>
      <c r="AO293" s="80"/>
      <c r="AP293" s="68"/>
      <c r="AQ293" s="77" t="str">
        <f>IF(AV293="","",WORKDAY.INTL(AV293,AT293*-1,1,Holidays[Date]))</f>
        <v/>
      </c>
      <c r="AR293" s="77" t="str">
        <f ca="1">IFERROR(IF(AS293="",WORKDAY.INTL(AM293,AP293,1,Holidays[Date]),AS293),"")</f>
        <v/>
      </c>
      <c r="AS293" s="78"/>
      <c r="AT293" s="80"/>
      <c r="AU293" s="68"/>
      <c r="AV293" s="77" t="str">
        <f>IF(BA293="","",WORKDAY.INTL(BA293,AY293*-1,1,Holidays[Date]))</f>
        <v/>
      </c>
      <c r="AW293" s="77" t="str">
        <f ca="1">IFERROR(IF(AX293="",WORKDAY.INTL(AR293,AU293,1,Holidays[Date]),AX293),"")</f>
        <v/>
      </c>
      <c r="AX293" s="78"/>
      <c r="AY293" s="80"/>
      <c r="AZ293" s="68"/>
      <c r="BA293" s="77" t="str">
        <f>IF(BF293="","",WORKDAY.INTL(BF293,BD293*-1,1,Holidays[Date]))</f>
        <v/>
      </c>
      <c r="BB293" s="77" t="str">
        <f ca="1">IFERROR(IF(BC293="",WORKDAY.INTL(AW293,AZ293,1,Holidays[Date]),BC293),"")</f>
        <v/>
      </c>
      <c r="BC293" s="78"/>
      <c r="BD293" s="80"/>
      <c r="BE293" s="68"/>
      <c r="BF293" s="77" t="str">
        <f>IF(BK293="","",WORKDAY.INTL(BK293,BI293*-1,1,Holidays[Date]))</f>
        <v/>
      </c>
      <c r="BG293" s="77" t="str">
        <f ca="1">IFERROR(IF(BH293="",WORKDAY.INTL(BB293,BE293,1,Holidays[Date]),BH293),"")</f>
        <v/>
      </c>
      <c r="BH293" s="78"/>
      <c r="BI293" s="80"/>
      <c r="BJ293" s="68"/>
      <c r="BK293" s="77" t="str">
        <f>IF(BP293="","",WORKDAY.INTL(BP293,BN293*-1,1,Holidays[Date]))</f>
        <v/>
      </c>
      <c r="BL293" s="77" t="str">
        <f ca="1">IFERROR(IF(BM293="",WORKDAY.INTL(BG293,BJ293,1,Holidays[Date]),BM293),"")</f>
        <v/>
      </c>
      <c r="BM293" s="78"/>
      <c r="BN293" s="80"/>
      <c r="BO293" s="68"/>
      <c r="BP293" s="77" t="str">
        <f>IF(BU293="","",WORKDAY.INTL(BU293,BS293*-1,1,Holidays[Date]))</f>
        <v/>
      </c>
      <c r="BQ293" s="77" t="str">
        <f ca="1">IFERROR(IF(BR293="",WORKDAY.INTL(BL293,BO293,1,Holidays[Date]),BR293),"")</f>
        <v/>
      </c>
      <c r="BR293" s="78"/>
      <c r="BS293" s="80"/>
      <c r="BT293" s="68"/>
      <c r="BU293" s="77" t="str">
        <f>IF(BZ293="","",WORKDAY.INTL(BZ293,BX293*-1,1,Holidays[Date]))</f>
        <v/>
      </c>
      <c r="BV293" s="77" t="str">
        <f ca="1">IFERROR(IF(BW293="",WORKDAY.INTL(BQ293,BT293,1,Holidays[Date]),BW293),"")</f>
        <v/>
      </c>
      <c r="BW293" s="78"/>
      <c r="BX293" s="80"/>
      <c r="BY293" s="68"/>
      <c r="BZ293" s="81"/>
      <c r="CA293" s="77" t="str">
        <f ca="1">IFERROR(IF(CB293="",WORKDAY.INTL(BV293,BY293,1,Holidays[Date]),CB293),"")</f>
        <v/>
      </c>
      <c r="CB293" s="78"/>
    </row>
  </sheetData>
  <sheetProtection algorithmName="SHA-512" hashValue="ihicdf/pPpqunsP7dfXHns0HUQtNU2qdP8G8lX3skEB5K0UH42/J8HO3Fbnj0XPS75jHPCYouAX/dCM7XJYd3w==" saltValue="4GNe0iafhsL8fcKHON3VbQ==" spinCount="100000" sheet="1" objects="1" scenarios="1" formatCells="0" formatColumns="0" formatRows="0" sort="0" autoFilter="0"/>
  <mergeCells count="13">
    <mergeCell ref="AQ10:AS10"/>
    <mergeCell ref="B10:C10"/>
    <mergeCell ref="AL10:AN10"/>
    <mergeCell ref="W10:Y10"/>
    <mergeCell ref="AB10:AD10"/>
    <mergeCell ref="AG10:AI10"/>
    <mergeCell ref="BU10:BW10"/>
    <mergeCell ref="BZ10:CB10"/>
    <mergeCell ref="AV10:AX10"/>
    <mergeCell ref="BA10:BC10"/>
    <mergeCell ref="BF10:BH10"/>
    <mergeCell ref="BK10:BM10"/>
    <mergeCell ref="BP10:BR10"/>
  </mergeCells>
  <phoneticPr fontId="11" type="noConversion"/>
  <conditionalFormatting sqref="W11">
    <cfRule type="cellIs" dxfId="223" priority="105" operator="between">
      <formula>121</formula>
      <formula>180</formula>
    </cfRule>
    <cfRule type="cellIs" dxfId="222" priority="106" operator="between">
      <formula>61</formula>
      <formula>120</formula>
    </cfRule>
  </conditionalFormatting>
  <conditionalFormatting sqref="X11:Y11">
    <cfRule type="cellIs" dxfId="221" priority="107" operator="between">
      <formula>121</formula>
      <formula>180</formula>
    </cfRule>
    <cfRule type="cellIs" dxfId="220" priority="108" operator="between">
      <formula>61</formula>
      <formula>120</formula>
    </cfRule>
  </conditionalFormatting>
  <conditionalFormatting sqref="AB11">
    <cfRule type="cellIs" dxfId="219" priority="101" operator="between">
      <formula>121</formula>
      <formula>180</formula>
    </cfRule>
    <cfRule type="cellIs" dxfId="218" priority="102" operator="between">
      <formula>61</formula>
      <formula>120</formula>
    </cfRule>
  </conditionalFormatting>
  <conditionalFormatting sqref="AC11:AD11">
    <cfRule type="cellIs" dxfId="217" priority="103" operator="between">
      <formula>121</formula>
      <formula>180</formula>
    </cfRule>
    <cfRule type="cellIs" dxfId="216" priority="104" operator="between">
      <formula>61</formula>
      <formula>120</formula>
    </cfRule>
  </conditionalFormatting>
  <conditionalFormatting sqref="AG11 AL11 AQ11 AV11 BA11 BF11 BK11 BP11 BU11 BZ11">
    <cfRule type="cellIs" dxfId="215" priority="97" operator="between">
      <formula>121</formula>
      <formula>180</formula>
    </cfRule>
    <cfRule type="cellIs" dxfId="214" priority="98" operator="between">
      <formula>61</formula>
      <formula>120</formula>
    </cfRule>
  </conditionalFormatting>
  <conditionalFormatting sqref="AH11:AI11 AM11:AN11 AR11:AS11 AW11:AX11 BB11:BC11 BG11:BH11 BL11:BM11 BQ11:BR11 BV11:BW11 CA11:CB11">
    <cfRule type="cellIs" dxfId="213" priority="99" operator="between">
      <formula>121</formula>
      <formula>180</formula>
    </cfRule>
    <cfRule type="cellIs" dxfId="212" priority="100" operator="between">
      <formula>61</formula>
      <formula>120</formula>
    </cfRule>
  </conditionalFormatting>
  <conditionalFormatting sqref="W10">
    <cfRule type="cellIs" dxfId="211" priority="95" operator="between">
      <formula>121</formula>
      <formula>180</formula>
    </cfRule>
    <cfRule type="cellIs" dxfId="210" priority="96" operator="between">
      <formula>61</formula>
      <formula>120</formula>
    </cfRule>
  </conditionalFormatting>
  <conditionalFormatting sqref="AB10">
    <cfRule type="cellIs" dxfId="209" priority="75" operator="between">
      <formula>121</formula>
      <formula>180</formula>
    </cfRule>
    <cfRule type="cellIs" dxfId="208" priority="76" operator="between">
      <formula>61</formula>
      <formula>120</formula>
    </cfRule>
  </conditionalFormatting>
  <conditionalFormatting sqref="AG10">
    <cfRule type="cellIs" dxfId="207" priority="73" operator="between">
      <formula>121</formula>
      <formula>180</formula>
    </cfRule>
    <cfRule type="cellIs" dxfId="206" priority="74" operator="between">
      <formula>61</formula>
      <formula>120</formula>
    </cfRule>
  </conditionalFormatting>
  <conditionalFormatting sqref="AL10">
    <cfRule type="cellIs" dxfId="205" priority="71" operator="between">
      <formula>121</formula>
      <formula>180</formula>
    </cfRule>
    <cfRule type="cellIs" dxfId="204" priority="72" operator="between">
      <formula>61</formula>
      <formula>120</formula>
    </cfRule>
  </conditionalFormatting>
  <conditionalFormatting sqref="AQ10">
    <cfRule type="cellIs" dxfId="203" priority="69" operator="between">
      <formula>121</formula>
      <formula>180</formula>
    </cfRule>
    <cfRule type="cellIs" dxfId="202" priority="70" operator="between">
      <formula>61</formula>
      <formula>120</formula>
    </cfRule>
  </conditionalFormatting>
  <conditionalFormatting sqref="AV10">
    <cfRule type="cellIs" dxfId="201" priority="67" operator="between">
      <formula>121</formula>
      <formula>180</formula>
    </cfRule>
    <cfRule type="cellIs" dxfId="200" priority="68" operator="between">
      <formula>61</formula>
      <formula>120</formula>
    </cfRule>
  </conditionalFormatting>
  <conditionalFormatting sqref="BA10">
    <cfRule type="cellIs" dxfId="199" priority="65" operator="between">
      <formula>121</formula>
      <formula>180</formula>
    </cfRule>
    <cfRule type="cellIs" dxfId="198" priority="66" operator="between">
      <formula>61</formula>
      <formula>120</formula>
    </cfRule>
  </conditionalFormatting>
  <conditionalFormatting sqref="BF10">
    <cfRule type="cellIs" dxfId="197" priority="63" operator="between">
      <formula>121</formula>
      <formula>180</formula>
    </cfRule>
    <cfRule type="cellIs" dxfId="196" priority="64" operator="between">
      <formula>61</formula>
      <formula>120</formula>
    </cfRule>
  </conditionalFormatting>
  <conditionalFormatting sqref="BK10">
    <cfRule type="cellIs" dxfId="195" priority="61" operator="between">
      <formula>121</formula>
      <formula>180</formula>
    </cfRule>
    <cfRule type="cellIs" dxfId="194" priority="62" operator="between">
      <formula>61</formula>
      <formula>120</formula>
    </cfRule>
  </conditionalFormatting>
  <conditionalFormatting sqref="BP10">
    <cfRule type="cellIs" dxfId="193" priority="59" operator="between">
      <formula>121</formula>
      <formula>180</formula>
    </cfRule>
    <cfRule type="cellIs" dxfId="192" priority="60" operator="between">
      <formula>61</formula>
      <formula>120</formula>
    </cfRule>
  </conditionalFormatting>
  <conditionalFormatting sqref="BU10">
    <cfRule type="cellIs" dxfId="191" priority="57" operator="between">
      <formula>121</formula>
      <formula>180</formula>
    </cfRule>
    <cfRule type="cellIs" dxfId="190" priority="58" operator="between">
      <formula>61</formula>
      <formula>120</formula>
    </cfRule>
  </conditionalFormatting>
  <conditionalFormatting sqref="BZ10">
    <cfRule type="cellIs" dxfId="189" priority="55" operator="between">
      <formula>121</formula>
      <formula>180</formula>
    </cfRule>
    <cfRule type="cellIs" dxfId="188" priority="56" operator="between">
      <formula>61</formula>
      <formula>120</formula>
    </cfRule>
  </conditionalFormatting>
  <conditionalFormatting sqref="AS13:AS293 AX13:AX293 BC13:BC293 BH13:BH293 BM13:BM293 BR13:BR293 BW13:BW293 CB13:CB293 Y13:Y293 AD13:AD293 AI13:AI293 AN13:AN293">
    <cfRule type="expression" dxfId="187" priority="31">
      <formula>AND(Y13&lt;$C$8,Y13&lt;&gt;"")</formula>
    </cfRule>
  </conditionalFormatting>
  <conditionalFormatting sqref="W13:W293 AB13:AB293 AG13:AG293 AL13:AL293 AQ13:AQ293 AV13:AV293 BA13:BA293 BF13:BF293 BU13:BU293 BZ13:BZ293 BK13:BK293 BP13:BP293">
    <cfRule type="expression" dxfId="186" priority="2">
      <formula>AND(W13&lt;&gt;"",Y13="",W13&lt;$C$8)</formula>
    </cfRule>
  </conditionalFormatting>
  <conditionalFormatting sqref="S13:S293">
    <cfRule type="dataBar" priority="28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{8AB73D0D-4CA2-462A-B4BC-F8E942410180}</x14:id>
        </ext>
      </extLst>
    </cfRule>
  </conditionalFormatting>
  <dataValidations count="12">
    <dataValidation type="date" allowBlank="1" showInputMessage="1" showErrorMessage="1" sqref="C8" xr:uid="{010C53C1-1A0F-4E96-854D-9D522CCE6AC0}">
      <formula1>44927</formula1>
      <formula2>54789</formula2>
    </dataValidation>
    <dataValidation type="date" allowBlank="1" showInputMessage="1" showErrorMessage="1" sqref="W13:W15 Y13:Y293 CB13:CB293 BW13:BW293 AI13:AI293 AN13:AN293 AS13:AS293 AX13:AX293 BC13:BC293 BH13:BH293 BM13:BM293 BR13:BR293 BZ13:BZ293 AD13:AD293" xr:uid="{45EB8AAF-99AC-4C16-90A8-71E86A435174}">
      <formula1>42005</formula1>
      <formula2>54789</formula2>
    </dataValidation>
    <dataValidation type="list" allowBlank="1" showInputMessage="1" showErrorMessage="1" sqref="F13:F293" xr:uid="{6F13A345-3029-4505-8FF3-483839729725}">
      <formula1>List_PackageOwner</formula1>
    </dataValidation>
    <dataValidation type="list" allowBlank="1" showInputMessage="1" showErrorMessage="1" sqref="H13:H293" xr:uid="{12AF4C43-BE8F-4CF6-B100-8FDABEF005BD}">
      <formula1>List_CommercialOwner</formula1>
    </dataValidation>
    <dataValidation type="list" allowBlank="1" showInputMessage="1" showErrorMessage="1" sqref="I13:I293" xr:uid="{0D857E9D-D4EE-4F5B-8002-95903142526F}">
      <formula1>List_ContractType</formula1>
    </dataValidation>
    <dataValidation type="list" allowBlank="1" showInputMessage="1" showErrorMessage="1" sqref="J13:J293" xr:uid="{E25613E5-A51C-4697-ADA8-252F66DA8228}">
      <formula1>List_ContractCategory</formula1>
    </dataValidation>
    <dataValidation type="list" allowBlank="1" showInputMessage="1" showErrorMessage="1" sqref="G13:G293" xr:uid="{C30AC534-D668-4D16-A08A-64893D79BB66}">
      <formula1>List_ProcurementOwner</formula1>
    </dataValidation>
    <dataValidation type="list" allowBlank="1" showInputMessage="1" showErrorMessage="1" sqref="D13:D293" xr:uid="{DDD3E70D-F805-4FE9-93FF-1B6980FFA7B6}">
      <formula1>List_Area</formula1>
    </dataValidation>
    <dataValidation type="list" allowBlank="1" showInputMessage="1" showErrorMessage="1" sqref="E13:E293" xr:uid="{A9CB4572-3348-4FD1-9C12-6B1CDB50ADB7}">
      <formula1>List_Discipline</formula1>
    </dataValidation>
    <dataValidation type="decimal" allowBlank="1" showInputMessage="1" showErrorMessage="1" sqref="Q13:R293" xr:uid="{848EEC39-A402-406C-AC39-BE976648E2C0}">
      <formula1>0</formula1>
      <formula2>10000000000</formula2>
    </dataValidation>
    <dataValidation type="decimal" allowBlank="1" showInputMessage="1" showErrorMessage="1" sqref="AA13:AA293 AF13:AF293 AK13:AK293 AP13:AP293 AU13:AU293 AZ13:AZ293 BE13:BE293 BJ13:BJ293 BO13:BO293 BT13:BT293 BY13:BY293" xr:uid="{30057B23-05F5-40AC-96EC-B753BDA9779B}">
      <formula1>-200</formula1>
      <formula2>400</formula2>
    </dataValidation>
    <dataValidation type="list" allowBlank="1" showInputMessage="1" showErrorMessage="1" sqref="K13:K293" xr:uid="{CC6249DE-B768-4DBA-AB64-91697EF9078C}">
      <formula1>"Active,OnHold,Cancelled"</formula1>
    </dataValidation>
  </dataValidations>
  <pageMargins left="0.70866141732283472" right="0.70866141732283472" top="1.3385826771653544" bottom="0.55118110236220474" header="0.31496062992125984" footer="0.31496062992125984"/>
  <pageSetup paperSize="8" orientation="landscape" horizontalDpi="300" verticalDpi="300" r:id="rId1"/>
  <headerFooter differentOddEven="1" differentFirst="1" scaleWithDoc="0">
    <oddHeader xml:space="preserve">&amp;L&amp;"Century Gothic"&amp;10&amp;K000000 Business&amp;1#_x000D_&amp;"Calibri"&amp;11&amp;K000000&amp;G&amp;R&amp;11&amp;K000000
</oddHeader>
    <oddFooter>&amp;L&amp;8© Laing O’Rourke     Rev. 01      &amp;"Century Gothic,Bold"XX/XX/XXXX&amp;"Century Gothic,Regular"     &amp;F&amp;R&amp;8Page &amp;P of &amp;N</oddFooter>
    <evenHeader>&amp;L&amp;"Century Gothic"&amp;10&amp;K000000 Business&amp;1#_x000D_&amp;"Calibri"&amp;11&amp;K000000&amp;G</evenHeader>
    <evenFooter>&amp;L&amp;8© Laing O’Rourke     Rev. 01      &amp;"Century Gothic,Bold"XX/XX/XXXX&amp;"Century Gothic,Regular"     &amp;F&amp;R&amp;8Page &amp;P of &amp;N</evenFooter>
    <firstHeader>&amp;L&amp;"Century Gothic"&amp;10&amp;K000000 Business&amp;1#_x000D_&amp;"Calibri"&amp;11&amp;K000000&amp;G&amp;C
&amp;"Century Gothic,Bold"&amp;16&amp;K00+000PRISM Inputs</firstHeader>
    <firstFooter>&amp;L&amp;8© Laing O’Rourke     Rev. 01     &amp;"Century Gothic,Bold" XX/XX/XXXX&amp;"Century Gothic,Regular"     &amp;F&amp;R&amp;8Page &amp;P of &amp;N</firstFooter>
  </headerFooter>
  <drawing r:id="rId2"/>
  <legacyDrawingHF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AB73D0D-4CA2-462A-B4BC-F8E942410180}">
            <x14:dataBar minLength="0" maxLength="100" gradient="0">
              <x14:cfvo type="autoMin"/>
              <x14:cfvo type="autoMax"/>
              <x14:negativeFillColor rgb="FFFF9999"/>
              <x14:axisColor rgb="FF000000"/>
            </x14:dataBar>
          </x14:cfRule>
          <xm:sqref>S13:S293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0BD37-7337-4DE8-9D8A-B7CCDB9A2E6D}">
  <sheetPr codeName="Sheet2"/>
  <dimension ref="B1:CT421"/>
  <sheetViews>
    <sheetView showGridLines="0" topLeftCell="A4" workbookViewId="0">
      <selection activeCell="AF7" sqref="AF7:AG11"/>
    </sheetView>
  </sheetViews>
  <sheetFormatPr defaultColWidth="8.7265625" defaultRowHeight="14.5" x14ac:dyDescent="0.35"/>
  <cols>
    <col min="1" max="1" width="3.1796875" style="55" customWidth="1"/>
    <col min="2" max="2" width="7.7265625" style="55" bestFit="1" customWidth="1"/>
    <col min="3" max="3" width="15.26953125" style="55" bestFit="1" customWidth="1"/>
    <col min="4" max="4" width="19.7265625" style="55" hidden="1" customWidth="1"/>
    <col min="5" max="5" width="1.81640625" style="55" customWidth="1"/>
    <col min="6" max="6" width="7.7265625" style="55" bestFit="1" customWidth="1"/>
    <col min="7" max="7" width="34.453125" style="55" bestFit="1" customWidth="1"/>
    <col min="8" max="8" width="24.26953125" style="55" hidden="1" customWidth="1"/>
    <col min="9" max="9" width="2.1796875" style="55" customWidth="1"/>
    <col min="10" max="10" width="7.7265625" style="55" bestFit="1" customWidth="1"/>
    <col min="11" max="11" width="20.1796875" style="55" customWidth="1"/>
    <col min="12" max="12" width="20.1796875" style="55" hidden="1" customWidth="1"/>
    <col min="13" max="13" width="2.1796875" style="55" customWidth="1"/>
    <col min="14" max="14" width="7.7265625" style="55" bestFit="1" customWidth="1"/>
    <col min="15" max="15" width="17.7265625" style="55" bestFit="1" customWidth="1"/>
    <col min="16" max="16" width="14.7265625" style="55" hidden="1" customWidth="1"/>
    <col min="17" max="17" width="2.54296875" style="55" customWidth="1"/>
    <col min="18" max="18" width="7.7265625" style="55" bestFit="1" customWidth="1"/>
    <col min="19" max="19" width="23.81640625" style="55" customWidth="1"/>
    <col min="20" max="20" width="23.81640625" style="55" hidden="1" customWidth="1"/>
    <col min="21" max="21" width="2.26953125" style="55" customWidth="1"/>
    <col min="22" max="22" width="7.7265625" style="55" bestFit="1" customWidth="1"/>
    <col min="23" max="23" width="37.54296875" style="55" bestFit="1" customWidth="1"/>
    <col min="24" max="24" width="15.1796875" style="55" hidden="1" customWidth="1"/>
    <col min="25" max="25" width="1.54296875" style="55" customWidth="1"/>
    <col min="26" max="26" width="7.7265625" style="55" bestFit="1" customWidth="1"/>
    <col min="27" max="27" width="20" style="55" customWidth="1"/>
    <col min="28" max="28" width="20" style="55" hidden="1" customWidth="1"/>
    <col min="29" max="29" width="1.81640625" style="55" customWidth="1"/>
    <col min="30" max="30" width="3.81640625" style="55" customWidth="1"/>
    <col min="31" max="31" width="4.1796875" style="55" customWidth="1"/>
    <col min="32" max="32" width="10.453125" style="55" bestFit="1" customWidth="1"/>
    <col min="33" max="33" width="24.453125" style="55" bestFit="1" customWidth="1"/>
    <col min="34" max="34" width="24" style="55" bestFit="1" customWidth="1"/>
    <col min="35" max="51" width="8.7265625" style="55"/>
    <col min="52" max="52" width="20.1796875" style="55" bestFit="1" customWidth="1"/>
    <col min="53" max="53" width="49.1796875" style="55" bestFit="1" customWidth="1"/>
    <col min="54" max="54" width="15" style="55" bestFit="1" customWidth="1"/>
    <col min="55" max="55" width="20.1796875" style="55" bestFit="1" customWidth="1"/>
    <col min="56" max="56" width="49.1796875" style="55" bestFit="1" customWidth="1"/>
    <col min="57" max="16384" width="8.7265625" style="55"/>
  </cols>
  <sheetData>
    <row r="1" spans="2:98" x14ac:dyDescent="0.35">
      <c r="AY1" s="55" t="s">
        <v>385</v>
      </c>
      <c r="AZ1" s="55" t="s">
        <v>16</v>
      </c>
      <c r="BA1" s="55" t="s">
        <v>386</v>
      </c>
      <c r="BB1" s="55" t="s">
        <v>385</v>
      </c>
      <c r="BC1" s="55" t="s">
        <v>16</v>
      </c>
      <c r="BD1" s="55" t="s">
        <v>386</v>
      </c>
    </row>
    <row r="2" spans="2:98" x14ac:dyDescent="0.35">
      <c r="AY2" s="55" t="str" cm="1">
        <f t="array" ref="AY2:AY139">TRANSPOSE(TORPS!$W12:$FD$12)</f>
        <v>S01</v>
      </c>
      <c r="AZ2" s="55" t="str" cm="1">
        <f t="array" ref="AZ2:AZ139">TRANSPOSE(TORPS!$W11:$FD$11)</f>
        <v>Plan</v>
      </c>
      <c r="BA2" s="55" t="str" cm="1">
        <f t="array" ref="BA2:BA139">TRANSPOSE(TORPS!$W9:$FD$9)</f>
        <v>01 | Receipt of Design Documentation issued for tender</v>
      </c>
      <c r="BB2" s="55" t="str">
        <f t="shared" ref="BB2:BD33" si="0">AY2</f>
        <v>S01</v>
      </c>
      <c r="BC2" s="55" t="str">
        <f t="shared" si="0"/>
        <v>Plan</v>
      </c>
      <c r="BD2" s="55" t="str">
        <f t="shared" si="0"/>
        <v>01 | Receipt of Design Documentation issued for tender</v>
      </c>
    </row>
    <row r="3" spans="2:98" x14ac:dyDescent="0.35">
      <c r="AY3" s="55" t="str">
        <v>S02</v>
      </c>
      <c r="AZ3" s="55" t="str">
        <v>Forecast</v>
      </c>
      <c r="BA3" s="55" t="str">
        <v>01 | Receipt of Design Documentation issued for tender</v>
      </c>
      <c r="BB3" s="55" t="str">
        <f t="shared" si="0"/>
        <v>S02</v>
      </c>
      <c r="BC3" s="55" t="str">
        <f t="shared" si="0"/>
        <v>Forecast</v>
      </c>
      <c r="BD3" s="55" t="str">
        <f t="shared" si="0"/>
        <v>01 | Receipt of Design Documentation issued for tender</v>
      </c>
    </row>
    <row r="4" spans="2:98" x14ac:dyDescent="0.35">
      <c r="AF4" s="71" t="s">
        <v>424</v>
      </c>
      <c r="AY4" s="55" t="str">
        <v>S03</v>
      </c>
      <c r="AZ4" s="55" t="str">
        <v>Actual</v>
      </c>
      <c r="BA4" s="55" t="str">
        <v>01 | Receipt of Design Documentation issued for tender</v>
      </c>
      <c r="BB4" s="55" t="str">
        <f t="shared" si="0"/>
        <v>S03</v>
      </c>
      <c r="BC4" s="55" t="str">
        <f t="shared" si="0"/>
        <v>Actual</v>
      </c>
      <c r="BD4" s="55" t="str">
        <f t="shared" si="0"/>
        <v>01 | Receipt of Design Documentation issued for tender</v>
      </c>
      <c r="CT4" s="55" t="s">
        <v>423</v>
      </c>
    </row>
    <row r="5" spans="2:98" x14ac:dyDescent="0.35">
      <c r="AF5" s="71" t="s">
        <v>425</v>
      </c>
      <c r="AY5" s="55" t="str">
        <v>S04</v>
      </c>
      <c r="AZ5" s="55" t="str">
        <v>Plan Duration (BD)</v>
      </c>
      <c r="BA5" s="55" t="str">
        <v>01 | Receipt of Design Documentation issued for tender</v>
      </c>
      <c r="BB5" s="55" t="str">
        <f t="shared" si="0"/>
        <v>S04</v>
      </c>
      <c r="BC5" s="55" t="str">
        <f t="shared" si="0"/>
        <v>Plan Duration (BD)</v>
      </c>
      <c r="BD5" s="55" t="str">
        <f t="shared" si="0"/>
        <v>01 | Receipt of Design Documentation issued for tender</v>
      </c>
      <c r="CT5" s="55" t="s">
        <v>430</v>
      </c>
    </row>
    <row r="6" spans="2:98" x14ac:dyDescent="0.35">
      <c r="AF6" s="55" t="s">
        <v>335</v>
      </c>
      <c r="AG6" s="55" t="s">
        <v>336</v>
      </c>
      <c r="AH6" s="55" t="s">
        <v>337</v>
      </c>
      <c r="AY6" s="55" t="str">
        <v>S05</v>
      </c>
      <c r="AZ6" s="55" t="str">
        <v>Forecast Duration (BD)</v>
      </c>
      <c r="BA6" s="55" t="str">
        <v>01 | Receipt of Design Documentation issued for tender</v>
      </c>
      <c r="BB6" s="55" t="str">
        <f t="shared" si="0"/>
        <v>S05</v>
      </c>
      <c r="BC6" s="55" t="str">
        <f t="shared" si="0"/>
        <v>Forecast Duration (BD)</v>
      </c>
      <c r="BD6" s="55" t="str">
        <f t="shared" si="0"/>
        <v>01 | Receipt of Design Documentation issued for tender</v>
      </c>
    </row>
    <row r="7" spans="2:98" x14ac:dyDescent="0.35">
      <c r="B7" s="72" t="s">
        <v>424</v>
      </c>
      <c r="C7" s="73"/>
      <c r="D7" s="73"/>
      <c r="E7" s="73"/>
      <c r="F7" s="72" t="s">
        <v>424</v>
      </c>
      <c r="G7" s="73"/>
      <c r="H7" s="73"/>
      <c r="I7" s="73"/>
      <c r="J7" s="72" t="s">
        <v>424</v>
      </c>
      <c r="K7" s="73"/>
      <c r="L7" s="73"/>
      <c r="M7" s="73"/>
      <c r="N7" s="72" t="s">
        <v>424</v>
      </c>
      <c r="O7" s="73"/>
      <c r="P7" s="73"/>
      <c r="Q7" s="73"/>
      <c r="R7" s="72" t="s">
        <v>424</v>
      </c>
      <c r="S7" s="73"/>
      <c r="T7" s="73"/>
      <c r="U7" s="73"/>
      <c r="V7" s="72" t="s">
        <v>424</v>
      </c>
      <c r="W7" s="73"/>
      <c r="X7" s="73"/>
      <c r="Y7" s="73"/>
      <c r="Z7" s="72" t="s">
        <v>424</v>
      </c>
      <c r="AA7" s="73"/>
      <c r="AF7" s="56">
        <v>41640</v>
      </c>
      <c r="AG7" s="55" t="s">
        <v>338</v>
      </c>
      <c r="AH7" s="55" t="s">
        <v>339</v>
      </c>
      <c r="AY7" s="55" t="str">
        <v>S06</v>
      </c>
      <c r="AZ7" s="55" t="str">
        <v>Plan</v>
      </c>
      <c r="BA7" s="55" t="str">
        <v>02 | Tender Documents completed</v>
      </c>
      <c r="BB7" s="55" t="str">
        <f t="shared" si="0"/>
        <v>S06</v>
      </c>
      <c r="BC7" s="55" t="str">
        <f t="shared" si="0"/>
        <v>Plan</v>
      </c>
      <c r="BD7" s="55" t="str">
        <f t="shared" si="0"/>
        <v>02 | Tender Documents completed</v>
      </c>
    </row>
    <row r="8" spans="2:98" x14ac:dyDescent="0.35">
      <c r="B8" s="72" t="s">
        <v>425</v>
      </c>
      <c r="C8" s="73"/>
      <c r="D8" s="73"/>
      <c r="E8" s="73"/>
      <c r="F8" s="72" t="s">
        <v>425</v>
      </c>
      <c r="G8" s="73"/>
      <c r="H8" s="73"/>
      <c r="I8" s="73"/>
      <c r="J8" s="72" t="s">
        <v>425</v>
      </c>
      <c r="K8" s="73"/>
      <c r="L8" s="73"/>
      <c r="M8" s="73"/>
      <c r="N8" s="72" t="s">
        <v>425</v>
      </c>
      <c r="O8" s="73"/>
      <c r="P8" s="73"/>
      <c r="Q8" s="73"/>
      <c r="R8" s="72" t="s">
        <v>425</v>
      </c>
      <c r="S8" s="73"/>
      <c r="T8" s="73"/>
      <c r="U8" s="73"/>
      <c r="V8" s="72" t="s">
        <v>425</v>
      </c>
      <c r="W8" s="73"/>
      <c r="X8" s="73"/>
      <c r="Y8" s="73"/>
      <c r="Z8" s="72" t="s">
        <v>425</v>
      </c>
      <c r="AA8" s="73"/>
      <c r="AF8" s="56">
        <v>41665</v>
      </c>
      <c r="AG8" s="55" t="s">
        <v>340</v>
      </c>
      <c r="AH8" s="55" t="s">
        <v>339</v>
      </c>
      <c r="AY8" s="55" t="str">
        <v>S07</v>
      </c>
      <c r="AZ8" s="55" t="str">
        <v>Forecast</v>
      </c>
      <c r="BA8" s="55" t="str">
        <v>02 | Tender Documents completed</v>
      </c>
      <c r="BB8" s="55" t="str">
        <f t="shared" si="0"/>
        <v>S07</v>
      </c>
      <c r="BC8" s="55" t="str">
        <f t="shared" si="0"/>
        <v>Forecast</v>
      </c>
      <c r="BD8" s="55" t="str">
        <f t="shared" si="0"/>
        <v>02 | Tender Documents completed</v>
      </c>
    </row>
    <row r="9" spans="2:98" x14ac:dyDescent="0.35">
      <c r="B9" s="98" t="s">
        <v>65</v>
      </c>
      <c r="C9" s="98"/>
      <c r="D9" s="98"/>
      <c r="F9" s="98" t="s">
        <v>32</v>
      </c>
      <c r="G9" s="98"/>
      <c r="H9" s="98"/>
      <c r="J9" s="98" t="s">
        <v>46</v>
      </c>
      <c r="K9" s="98"/>
      <c r="L9" s="98"/>
      <c r="N9" s="98" t="s">
        <v>47</v>
      </c>
      <c r="O9" s="98"/>
      <c r="P9" s="98"/>
      <c r="R9" s="98" t="s">
        <v>48</v>
      </c>
      <c r="S9" s="98"/>
      <c r="T9" s="98"/>
      <c r="V9" s="98" t="s">
        <v>49</v>
      </c>
      <c r="W9" s="98"/>
      <c r="X9" s="98"/>
      <c r="Z9" s="98" t="s">
        <v>50</v>
      </c>
      <c r="AA9" s="98"/>
      <c r="AB9" s="98"/>
      <c r="AF9" s="56">
        <v>41666</v>
      </c>
      <c r="AG9" s="55" t="s">
        <v>341</v>
      </c>
      <c r="AH9" s="55" t="s">
        <v>339</v>
      </c>
      <c r="AY9" s="55" t="str">
        <v>S08</v>
      </c>
      <c r="AZ9" s="55" t="str">
        <v>Actual</v>
      </c>
      <c r="BA9" s="55" t="str">
        <v>02 | Tender Documents completed</v>
      </c>
      <c r="BB9" s="55" t="str">
        <f t="shared" si="0"/>
        <v>S08</v>
      </c>
      <c r="BC9" s="55" t="str">
        <f t="shared" si="0"/>
        <v>Actual</v>
      </c>
      <c r="BD9" s="55" t="str">
        <f t="shared" si="0"/>
        <v>02 | Tender Documents completed</v>
      </c>
    </row>
    <row r="10" spans="2:98" ht="15.5" x14ac:dyDescent="0.35">
      <c r="B10" s="57" t="s">
        <v>25</v>
      </c>
      <c r="C10" s="58" t="s">
        <v>26</v>
      </c>
      <c r="D10" s="59" t="s">
        <v>33</v>
      </c>
      <c r="F10" s="57" t="s">
        <v>25</v>
      </c>
      <c r="G10" s="58" t="s">
        <v>26</v>
      </c>
      <c r="H10" s="59" t="s">
        <v>33</v>
      </c>
      <c r="J10" s="57" t="s">
        <v>25</v>
      </c>
      <c r="K10" s="58" t="s">
        <v>26</v>
      </c>
      <c r="L10" s="59" t="s">
        <v>33</v>
      </c>
      <c r="N10" s="57" t="s">
        <v>25</v>
      </c>
      <c r="O10" s="58" t="s">
        <v>26</v>
      </c>
      <c r="P10" s="59" t="s">
        <v>33</v>
      </c>
      <c r="R10" s="57" t="s">
        <v>25</v>
      </c>
      <c r="S10" s="58" t="s">
        <v>26</v>
      </c>
      <c r="T10" s="59" t="s">
        <v>33</v>
      </c>
      <c r="V10" s="57" t="s">
        <v>25</v>
      </c>
      <c r="W10" s="58" t="s">
        <v>26</v>
      </c>
      <c r="X10" s="59" t="s">
        <v>33</v>
      </c>
      <c r="Z10" s="57" t="s">
        <v>25</v>
      </c>
      <c r="AA10" s="58" t="s">
        <v>26</v>
      </c>
      <c r="AB10" s="59" t="s">
        <v>33</v>
      </c>
      <c r="AF10" s="56">
        <v>41701</v>
      </c>
      <c r="AG10" s="55" t="s">
        <v>342</v>
      </c>
      <c r="AH10" s="55" t="s">
        <v>343</v>
      </c>
      <c r="AY10" s="55" t="str">
        <v>S09</v>
      </c>
      <c r="AZ10" s="55" t="str">
        <v>Plan Duration (BD)</v>
      </c>
      <c r="BA10" s="55" t="str">
        <v>02 | Tender Documents completed</v>
      </c>
      <c r="BB10" s="55" t="str">
        <f t="shared" si="0"/>
        <v>S09</v>
      </c>
      <c r="BC10" s="55" t="str">
        <f t="shared" si="0"/>
        <v>Plan Duration (BD)</v>
      </c>
      <c r="BD10" s="55" t="str">
        <f t="shared" si="0"/>
        <v>02 | Tender Documents completed</v>
      </c>
    </row>
    <row r="11" spans="2:98" x14ac:dyDescent="0.35">
      <c r="B11" s="3" t="s">
        <v>199</v>
      </c>
      <c r="C11" s="5" t="s">
        <v>202</v>
      </c>
      <c r="D11" s="60" t="str">
        <f>tblAREA[[#This Row],[ID]]&amp;" | "&amp;tblAREA[[#This Row],[Description]]</f>
        <v>A1 | Area1</v>
      </c>
      <c r="F11" s="11" t="s">
        <v>68</v>
      </c>
      <c r="G11" s="12" t="s">
        <v>69</v>
      </c>
      <c r="H11" s="60" t="str">
        <f>tblDiscipline[[#This Row],[ID]]&amp;" | "&amp;tblDiscipline[[#This Row],[Description]]</f>
        <v>A | General</v>
      </c>
      <c r="J11" s="11" t="s">
        <v>128</v>
      </c>
      <c r="K11" s="12" t="s">
        <v>117</v>
      </c>
      <c r="L11" s="60" t="str">
        <f>tblPackageOwner[[#This Row],[ID]]&amp;" | "&amp;tblPackageOwner[[#This Row],[Description]]</f>
        <v>JW | James Winstanley</v>
      </c>
      <c r="N11" s="11" t="s">
        <v>151</v>
      </c>
      <c r="O11" s="12" t="s">
        <v>139</v>
      </c>
      <c r="P11" s="60" t="str">
        <f>tblProcurementOwner[[#This Row],[ID]]&amp;" | "&amp;tblProcurementOwner[[#This Row],[Description]]</f>
        <v>KC | Kathryn Cserhalmi</v>
      </c>
      <c r="R11" s="11" t="s">
        <v>157</v>
      </c>
      <c r="S11" s="12" t="s">
        <v>145</v>
      </c>
      <c r="T11" s="60" t="str">
        <f>tblComercialOwner[[#This Row],[ID]]&amp;" | "&amp;tblComercialOwner[[#This Row],[Description]]</f>
        <v>GD | Glen Douglass</v>
      </c>
      <c r="V11" s="11" t="s">
        <v>167</v>
      </c>
      <c r="W11" s="12" t="s">
        <v>168</v>
      </c>
      <c r="X11" s="60" t="str">
        <f>tblContractType[[#This Row],[ID]]&amp;" | "&amp;tblContractType[[#This Row],[Description]]</f>
        <v>COMO | COINS Material Order</v>
      </c>
      <c r="Z11" s="11" t="s">
        <v>162</v>
      </c>
      <c r="AA11" s="12" t="s">
        <v>20</v>
      </c>
      <c r="AB11" s="60" t="str">
        <f>tblContractCategory[[#This Row],[ID]]&amp;" | "&amp;tblContractCategory[[#This Row],[Description]]</f>
        <v>CON | Consultant</v>
      </c>
      <c r="AF11" s="56">
        <v>41708</v>
      </c>
      <c r="AG11" s="55" t="s">
        <v>344</v>
      </c>
      <c r="AH11" s="55" t="s">
        <v>345</v>
      </c>
      <c r="AY11" s="55" t="str">
        <v>S10</v>
      </c>
      <c r="AZ11" s="55" t="str">
        <v>Forecast Duration (BD)</v>
      </c>
      <c r="BA11" s="55" t="str">
        <v>02 | Tender Documents completed</v>
      </c>
      <c r="BB11" s="55" t="str">
        <f t="shared" si="0"/>
        <v>S10</v>
      </c>
      <c r="BC11" s="55" t="str">
        <f t="shared" si="0"/>
        <v>Forecast Duration (BD)</v>
      </c>
      <c r="BD11" s="55" t="str">
        <f t="shared" si="0"/>
        <v>02 | Tender Documents completed</v>
      </c>
    </row>
    <row r="12" spans="2:98" x14ac:dyDescent="0.35">
      <c r="B12" s="3" t="s">
        <v>200</v>
      </c>
      <c r="C12" s="5" t="s">
        <v>203</v>
      </c>
      <c r="D12" s="5" t="str">
        <f>tblAREA[[#This Row],[ID]]&amp;" | "&amp;tblAREA[[#This Row],[Description]]</f>
        <v>A2 | Area2</v>
      </c>
      <c r="F12" s="11" t="s">
        <v>70</v>
      </c>
      <c r="G12" s="12" t="s">
        <v>71</v>
      </c>
      <c r="H12" s="5" t="str">
        <f>tblDiscipline[[#This Row],[ID]]&amp;" | "&amp;tblDiscipline[[#This Row],[Description]]</f>
        <v>B | Piles</v>
      </c>
      <c r="J12" s="11" t="s">
        <v>129</v>
      </c>
      <c r="K12" s="12" t="s">
        <v>118</v>
      </c>
      <c r="L12" s="5" t="str">
        <f>tblPackageOwner[[#This Row],[ID]]&amp;" | "&amp;tblPackageOwner[[#This Row],[Description]]</f>
        <v>MH | Mitchell Hill</v>
      </c>
      <c r="N12" s="11" t="s">
        <v>152</v>
      </c>
      <c r="O12" s="12" t="s">
        <v>140</v>
      </c>
      <c r="P12" s="5" t="str">
        <f>tblProcurementOwner[[#This Row],[ID]]&amp;" | "&amp;tblProcurementOwner[[#This Row],[Description]]</f>
        <v>AZ | Adam Zhou</v>
      </c>
      <c r="R12" s="11" t="s">
        <v>158</v>
      </c>
      <c r="S12" s="12" t="s">
        <v>146</v>
      </c>
      <c r="T12" s="5" t="str">
        <f>tblComercialOwner[[#This Row],[ID]]&amp;" | "&amp;tblComercialOwner[[#This Row],[Description]]</f>
        <v>DS | Daniel Spaseski</v>
      </c>
      <c r="V12" s="11" t="s">
        <v>169</v>
      </c>
      <c r="W12" s="12" t="s">
        <v>170</v>
      </c>
      <c r="X12" s="5" t="str">
        <f>tblContractType[[#This Row],[ID]]&amp;" | "&amp;tblContractType[[#This Row],[Description]]</f>
        <v>CTSA | Consultancy Tender Services Agreement</v>
      </c>
      <c r="Z12" s="11" t="s">
        <v>163</v>
      </c>
      <c r="AA12" s="12" t="s">
        <v>165</v>
      </c>
      <c r="AB12" s="5" t="str">
        <f>tblContractCategory[[#This Row],[ID]]&amp;" | "&amp;tblContractCategory[[#This Row],[Description]]</f>
        <v>SUB | Subcontractor</v>
      </c>
      <c r="AF12" s="56">
        <v>41747</v>
      </c>
      <c r="AG12" s="55" t="s">
        <v>346</v>
      </c>
      <c r="AH12" s="55" t="s">
        <v>339</v>
      </c>
      <c r="AY12" s="55" t="str">
        <v>S11</v>
      </c>
      <c r="AZ12" s="55" t="str">
        <v>Plan</v>
      </c>
      <c r="BA12" s="55" t="str">
        <v>03 | Tender Documents Internal Approval</v>
      </c>
      <c r="BB12" s="55" t="str">
        <f t="shared" si="0"/>
        <v>S11</v>
      </c>
      <c r="BC12" s="55" t="str">
        <f t="shared" si="0"/>
        <v>Plan</v>
      </c>
      <c r="BD12" s="55" t="str">
        <f t="shared" si="0"/>
        <v>03 | Tender Documents Internal Approval</v>
      </c>
    </row>
    <row r="13" spans="2:98" x14ac:dyDescent="0.35">
      <c r="B13" s="4" t="s">
        <v>201</v>
      </c>
      <c r="C13" s="6" t="s">
        <v>204</v>
      </c>
      <c r="D13" s="6" t="str">
        <f>tblAREA[[#This Row],[ID]]&amp;" | "&amp;tblAREA[[#This Row],[Description]]</f>
        <v>A3 | Area3</v>
      </c>
      <c r="F13" s="13" t="s">
        <v>72</v>
      </c>
      <c r="G13" s="14" t="s">
        <v>73</v>
      </c>
      <c r="H13" s="6" t="str">
        <f>tblDiscipline[[#This Row],[ID]]&amp;" | "&amp;tblDiscipline[[#This Row],[Description]]</f>
        <v>C | In Situ Concrete</v>
      </c>
      <c r="J13" s="13" t="s">
        <v>130</v>
      </c>
      <c r="K13" s="14" t="s">
        <v>119</v>
      </c>
      <c r="L13" s="6" t="str">
        <f>tblPackageOwner[[#This Row],[ID]]&amp;" | "&amp;tblPackageOwner[[#This Row],[Description]]</f>
        <v>CP | Cillian Phillips</v>
      </c>
      <c r="N13" s="13" t="s">
        <v>153</v>
      </c>
      <c r="O13" s="14" t="s">
        <v>141</v>
      </c>
      <c r="P13" s="6" t="str">
        <f>tblProcurementOwner[[#This Row],[ID]]&amp;" | "&amp;tblProcurementOwner[[#This Row],[Description]]</f>
        <v>HW | Hanna Woodward</v>
      </c>
      <c r="R13" s="13" t="s">
        <v>159</v>
      </c>
      <c r="S13" s="14" t="s">
        <v>147</v>
      </c>
      <c r="T13" s="6" t="str">
        <f>tblComercialOwner[[#This Row],[ID]]&amp;" | "&amp;tblComercialOwner[[#This Row],[Description]]</f>
        <v>DJ | Daniel Jackson</v>
      </c>
      <c r="V13" s="13" t="s">
        <v>171</v>
      </c>
      <c r="W13" s="14" t="s">
        <v>172</v>
      </c>
      <c r="X13" s="6" t="str">
        <f>tblContractType[[#This Row],[ID]]&amp;" | "&amp;tblContractType[[#This Row],[Description]]</f>
        <v>EXT | Bespoke Vendor Terms</v>
      </c>
      <c r="Z13" s="13" t="s">
        <v>164</v>
      </c>
      <c r="AA13" s="14" t="s">
        <v>166</v>
      </c>
      <c r="AB13" s="6" t="str">
        <f>tblContractCategory[[#This Row],[ID]]&amp;" | "&amp;tblContractCategory[[#This Row],[Description]]</f>
        <v>SUP | Supplier</v>
      </c>
      <c r="AF13" s="56">
        <v>41748</v>
      </c>
      <c r="AG13" s="55" t="s">
        <v>347</v>
      </c>
      <c r="AH13" s="55" t="s">
        <v>339</v>
      </c>
      <c r="AY13" s="55" t="str">
        <v>S12</v>
      </c>
      <c r="AZ13" s="55" t="str">
        <v>Forecast</v>
      </c>
      <c r="BA13" s="55" t="str">
        <v>03 | Tender Documents Internal Approval</v>
      </c>
      <c r="BB13" s="55" t="str">
        <f t="shared" si="0"/>
        <v>S12</v>
      </c>
      <c r="BC13" s="55" t="str">
        <f t="shared" si="0"/>
        <v>Forecast</v>
      </c>
      <c r="BD13" s="55" t="str">
        <f t="shared" si="0"/>
        <v>03 | Tender Documents Internal Approval</v>
      </c>
    </row>
    <row r="14" spans="2:98" x14ac:dyDescent="0.35">
      <c r="F14" s="61" t="s">
        <v>74</v>
      </c>
      <c r="G14" s="62" t="s">
        <v>75</v>
      </c>
      <c r="H14" s="63" t="str">
        <f>tblDiscipline[[#This Row],[ID]]&amp;" | "&amp;tblDiscipline[[#This Row],[Description]]</f>
        <v>D | Demolition and Site Clearance</v>
      </c>
      <c r="J14" s="61" t="s">
        <v>131</v>
      </c>
      <c r="K14" s="62" t="s">
        <v>120</v>
      </c>
      <c r="L14" s="63" t="str">
        <f>tblPackageOwner[[#This Row],[ID]]&amp;" | "&amp;tblPackageOwner[[#This Row],[Description]]</f>
        <v>PH | Paul Hunnikin</v>
      </c>
      <c r="N14" s="61" t="s">
        <v>154</v>
      </c>
      <c r="O14" s="62" t="s">
        <v>142</v>
      </c>
      <c r="P14" s="63" t="str">
        <f>tblProcurementOwner[[#This Row],[ID]]&amp;" | "&amp;tblProcurementOwner[[#This Row],[Description]]</f>
        <v>KH | Kevin Huang</v>
      </c>
      <c r="R14" s="61" t="s">
        <v>161</v>
      </c>
      <c r="S14" s="62" t="s">
        <v>148</v>
      </c>
      <c r="T14" s="63" t="str">
        <f>tblComercialOwner[[#This Row],[ID]]&amp;" | "&amp;tblComercialOwner[[#This Row],[Description]]</f>
        <v>RC | Rui Da Costa</v>
      </c>
      <c r="V14" s="61" t="s">
        <v>173</v>
      </c>
      <c r="W14" s="62" t="s">
        <v>174</v>
      </c>
      <c r="X14" s="63" t="str">
        <f>tblContractType[[#This Row],[ID]]&amp;" | "&amp;tblContractType[[#This Row],[Description]]</f>
        <v>ICA | Independant Consultant Agreement</v>
      </c>
      <c r="AF14" s="56">
        <v>41749</v>
      </c>
      <c r="AG14" s="55" t="s">
        <v>348</v>
      </c>
      <c r="AH14" s="55" t="s">
        <v>339</v>
      </c>
      <c r="AY14" s="55" t="str">
        <v>S13</v>
      </c>
      <c r="AZ14" s="55" t="str">
        <v>Actual</v>
      </c>
      <c r="BA14" s="55" t="str">
        <v>03 | Tender Documents Internal Approval</v>
      </c>
      <c r="BB14" s="55" t="str">
        <f t="shared" si="0"/>
        <v>S13</v>
      </c>
      <c r="BC14" s="55" t="str">
        <f t="shared" si="0"/>
        <v>Actual</v>
      </c>
      <c r="BD14" s="55" t="str">
        <f t="shared" si="0"/>
        <v>03 | Tender Documents Internal Approval</v>
      </c>
    </row>
    <row r="15" spans="2:98" x14ac:dyDescent="0.35">
      <c r="F15" s="61" t="s">
        <v>76</v>
      </c>
      <c r="G15" s="62" t="s">
        <v>77</v>
      </c>
      <c r="H15" s="63" t="str">
        <f>tblDiscipline[[#This Row],[ID]]&amp;" | "&amp;tblDiscipline[[#This Row],[Description]]</f>
        <v>E | Earthworks</v>
      </c>
      <c r="J15" s="61" t="s">
        <v>132</v>
      </c>
      <c r="K15" s="62" t="s">
        <v>121</v>
      </c>
      <c r="L15" s="63" t="str">
        <f>tblPackageOwner[[#This Row],[ID]]&amp;" | "&amp;tblPackageOwner[[#This Row],[Description]]</f>
        <v>AK | Ashwin Karanam</v>
      </c>
      <c r="N15" s="61" t="s">
        <v>155</v>
      </c>
      <c r="O15" s="62" t="s">
        <v>143</v>
      </c>
      <c r="P15" s="63" t="str">
        <f>tblProcurementOwner[[#This Row],[ID]]&amp;" | "&amp;tblProcurementOwner[[#This Row],[Description]]</f>
        <v>MI | Mina Ibrahim</v>
      </c>
      <c r="R15" s="61" t="s">
        <v>160</v>
      </c>
      <c r="S15" s="62" t="s">
        <v>149</v>
      </c>
      <c r="T15" s="63" t="str">
        <f>tblComercialOwner[[#This Row],[ID]]&amp;" | "&amp;tblComercialOwner[[#This Row],[Description]]</f>
        <v>ST | Serena Truong</v>
      </c>
      <c r="V15" s="61" t="s">
        <v>175</v>
      </c>
      <c r="W15" s="62" t="s">
        <v>176</v>
      </c>
      <c r="X15" s="63" t="str">
        <f>tblContractType[[#This Row],[ID]]&amp;" | "&amp;tblContractType[[#This Row],[Description]]</f>
        <v>ISA | International Supply Agreement</v>
      </c>
      <c r="AF15" s="56">
        <v>41750</v>
      </c>
      <c r="AG15" s="55" t="s">
        <v>349</v>
      </c>
      <c r="AH15" s="55" t="s">
        <v>339</v>
      </c>
      <c r="AY15" s="55" t="str">
        <v>S14</v>
      </c>
      <c r="AZ15" s="55" t="str">
        <v>Plan Duration (BD)</v>
      </c>
      <c r="BA15" s="55" t="str">
        <v>03 | Tender Documents Internal Approval</v>
      </c>
      <c r="BB15" s="55" t="str">
        <f t="shared" si="0"/>
        <v>S14</v>
      </c>
      <c r="BC15" s="55" t="str">
        <f t="shared" si="0"/>
        <v>Plan Duration (BD)</v>
      </c>
      <c r="BD15" s="55" t="str">
        <f t="shared" si="0"/>
        <v>03 | Tender Documents Internal Approval</v>
      </c>
    </row>
    <row r="16" spans="2:98" x14ac:dyDescent="0.35">
      <c r="F16" s="61" t="s">
        <v>78</v>
      </c>
      <c r="G16" s="62" t="s">
        <v>79</v>
      </c>
      <c r="H16" s="63" t="str">
        <f>tblDiscipline[[#This Row],[ID]]&amp;" | "&amp;tblDiscipline[[#This Row],[Description]]</f>
        <v>F | Finishes &amp; FFE</v>
      </c>
      <c r="J16" s="61" t="s">
        <v>133</v>
      </c>
      <c r="K16" s="62" t="s">
        <v>122</v>
      </c>
      <c r="L16" s="63" t="str">
        <f>tblPackageOwner[[#This Row],[ID]]&amp;" | "&amp;tblPackageOwner[[#This Row],[Description]]</f>
        <v>EB | Edward Bisiaux</v>
      </c>
      <c r="N16" s="61" t="s">
        <v>156</v>
      </c>
      <c r="O16" s="62" t="s">
        <v>144</v>
      </c>
      <c r="P16" s="63" t="str">
        <f>tblProcurementOwner[[#This Row],[ID]]&amp;" | "&amp;tblProcurementOwner[[#This Row],[Description]]</f>
        <v>SF | Steve Farrell</v>
      </c>
      <c r="R16" s="61" t="s">
        <v>138</v>
      </c>
      <c r="S16" s="62" t="s">
        <v>150</v>
      </c>
      <c r="T16" s="63" t="str">
        <f>tblComercialOwner[[#This Row],[ID]]&amp;" | "&amp;tblComercialOwner[[#This Row],[Description]]</f>
        <v>NB | Nick Baillie</v>
      </c>
      <c r="V16" s="61" t="s">
        <v>177</v>
      </c>
      <c r="W16" s="62" t="s">
        <v>178</v>
      </c>
      <c r="X16" s="63" t="str">
        <f>tblContractType[[#This Row],[ID]]&amp;" | "&amp;tblContractType[[#This Row],[Description]]</f>
        <v>LH | Labour Hire Agreement</v>
      </c>
      <c r="AF16" s="56">
        <v>41754</v>
      </c>
      <c r="AG16" s="55" t="s">
        <v>350</v>
      </c>
      <c r="AH16" s="55" t="s">
        <v>339</v>
      </c>
      <c r="AY16" s="55" t="str">
        <v>S15</v>
      </c>
      <c r="AZ16" s="55" t="str">
        <v>Forecast Duration (BD)</v>
      </c>
      <c r="BA16" s="55" t="str">
        <v>03 | Tender Documents Internal Approval</v>
      </c>
      <c r="BB16" s="55" t="str">
        <f t="shared" si="0"/>
        <v>S15</v>
      </c>
      <c r="BC16" s="55" t="str">
        <f t="shared" si="0"/>
        <v>Forecast Duration (BD)</v>
      </c>
      <c r="BD16" s="55" t="str">
        <f t="shared" si="0"/>
        <v>03 | Tender Documents Internal Approval</v>
      </c>
    </row>
    <row r="17" spans="6:56" x14ac:dyDescent="0.35">
      <c r="F17" s="61" t="s">
        <v>80</v>
      </c>
      <c r="G17" s="62" t="s">
        <v>81</v>
      </c>
      <c r="H17" s="63" t="str">
        <f>tblDiscipline[[#This Row],[ID]]&amp;" | "&amp;tblDiscipline[[#This Row],[Description]]</f>
        <v>G | Ground Investigation and Geotechnical</v>
      </c>
      <c r="J17" s="61" t="s">
        <v>134</v>
      </c>
      <c r="K17" s="62" t="s">
        <v>123</v>
      </c>
      <c r="L17" s="63" t="str">
        <f>tblPackageOwner[[#This Row],[ID]]&amp;" | "&amp;tblPackageOwner[[#This Row],[Description]]</f>
        <v>NR | Nerim Radaca</v>
      </c>
      <c r="V17" s="61" t="s">
        <v>179</v>
      </c>
      <c r="W17" s="62" t="s">
        <v>180</v>
      </c>
      <c r="X17" s="63" t="str">
        <f>tblContractType[[#This Row],[ID]]&amp;" | "&amp;tblContractType[[#This Row],[Description]]</f>
        <v>MASA | Manufacture and Supply Agreement</v>
      </c>
      <c r="AF17" s="56">
        <v>41764</v>
      </c>
      <c r="AG17" s="55" t="s">
        <v>351</v>
      </c>
      <c r="AH17" s="55" t="s">
        <v>352</v>
      </c>
      <c r="AY17" s="55" t="str">
        <v>S16</v>
      </c>
      <c r="AZ17" s="55" t="str">
        <v>Plan</v>
      </c>
      <c r="BA17" s="55" t="str">
        <v>04 | Tender Documents External Approval</v>
      </c>
      <c r="BB17" s="55" t="str">
        <f t="shared" si="0"/>
        <v>S16</v>
      </c>
      <c r="BC17" s="55" t="str">
        <f t="shared" si="0"/>
        <v>Plan</v>
      </c>
      <c r="BD17" s="55" t="str">
        <f t="shared" si="0"/>
        <v>04 | Tender Documents External Approval</v>
      </c>
    </row>
    <row r="18" spans="6:56" x14ac:dyDescent="0.35">
      <c r="F18" s="61" t="s">
        <v>82</v>
      </c>
      <c r="G18" s="62" t="s">
        <v>83</v>
      </c>
      <c r="H18" s="63" t="str">
        <f>tblDiscipline[[#This Row],[ID]]&amp;" | "&amp;tblDiscipline[[#This Row],[Description]]</f>
        <v>H | Precast Concrete</v>
      </c>
      <c r="J18" s="61" t="s">
        <v>135</v>
      </c>
      <c r="K18" s="62" t="s">
        <v>124</v>
      </c>
      <c r="L18" s="63" t="str">
        <f>tblPackageOwner[[#This Row],[ID]]&amp;" | "&amp;tblPackageOwner[[#This Row],[Description]]</f>
        <v xml:space="preserve">GB | George Berkachy </v>
      </c>
      <c r="V18" s="61" t="s">
        <v>181</v>
      </c>
      <c r="W18" s="62" t="s">
        <v>182</v>
      </c>
      <c r="X18" s="63" t="str">
        <f>tblContractType[[#This Row],[ID]]&amp;" | "&amp;tblContractType[[#This Row],[Description]]</f>
        <v>MASC | Major Subcontract</v>
      </c>
      <c r="AF18" s="56">
        <v>41792</v>
      </c>
      <c r="AG18" s="55" t="s">
        <v>353</v>
      </c>
      <c r="AH18" s="55" t="s">
        <v>339</v>
      </c>
      <c r="AY18" s="55" t="str">
        <v>S17</v>
      </c>
      <c r="AZ18" s="55" t="str">
        <v>Forecast</v>
      </c>
      <c r="BA18" s="55" t="str">
        <v>04 | Tender Documents External Approval</v>
      </c>
      <c r="BB18" s="55" t="str">
        <f t="shared" si="0"/>
        <v>S17</v>
      </c>
      <c r="BC18" s="55" t="str">
        <f t="shared" si="0"/>
        <v>Forecast</v>
      </c>
      <c r="BD18" s="55" t="str">
        <f t="shared" si="0"/>
        <v>04 | Tender Documents External Approval</v>
      </c>
    </row>
    <row r="19" spans="6:56" x14ac:dyDescent="0.35">
      <c r="F19" s="61" t="s">
        <v>84</v>
      </c>
      <c r="G19" s="62" t="s">
        <v>85</v>
      </c>
      <c r="H19" s="63" t="str">
        <f>tblDiscipline[[#This Row],[ID]]&amp;" | "&amp;tblDiscipline[[#This Row],[Description]]</f>
        <v>J | Fencing</v>
      </c>
      <c r="J19" s="61" t="s">
        <v>136</v>
      </c>
      <c r="K19" s="62" t="s">
        <v>125</v>
      </c>
      <c r="L19" s="63" t="str">
        <f>tblPackageOwner[[#This Row],[ID]]&amp;" | "&amp;tblPackageOwner[[#This Row],[Description]]</f>
        <v xml:space="preserve">JE | Jye Estatheo </v>
      </c>
      <c r="V19" s="61" t="s">
        <v>183</v>
      </c>
      <c r="W19" s="62" t="s">
        <v>184</v>
      </c>
      <c r="X19" s="63" t="str">
        <f>tblContractType[[#This Row],[ID]]&amp;" | "&amp;tblContractType[[#This Row],[Description]]</f>
        <v>MCA | Major Consultancy Agreement</v>
      </c>
      <c r="AF19" s="56">
        <v>41799</v>
      </c>
      <c r="AG19" s="55" t="s">
        <v>354</v>
      </c>
      <c r="AH19" s="55" t="s">
        <v>355</v>
      </c>
      <c r="AY19" s="55" t="str">
        <v>S18</v>
      </c>
      <c r="AZ19" s="55" t="str">
        <v>Actual</v>
      </c>
      <c r="BA19" s="55" t="str">
        <v>04 | Tender Documents External Approval</v>
      </c>
      <c r="BB19" s="55" t="str">
        <f t="shared" si="0"/>
        <v>S18</v>
      </c>
      <c r="BC19" s="55" t="str">
        <f t="shared" si="0"/>
        <v>Actual</v>
      </c>
      <c r="BD19" s="55" t="str">
        <f t="shared" si="0"/>
        <v>04 | Tender Documents External Approval</v>
      </c>
    </row>
    <row r="20" spans="6:56" x14ac:dyDescent="0.35">
      <c r="F20" s="61" t="s">
        <v>86</v>
      </c>
      <c r="G20" s="62" t="s">
        <v>87</v>
      </c>
      <c r="H20" s="63" t="str">
        <f>tblDiscipline[[#This Row],[ID]]&amp;" | "&amp;tblDiscipline[[#This Row],[Description]]</f>
        <v>K | Waterproofing</v>
      </c>
      <c r="J20" s="61" t="s">
        <v>137</v>
      </c>
      <c r="K20" s="62" t="s">
        <v>126</v>
      </c>
      <c r="L20" s="63" t="str">
        <f>tblPackageOwner[[#This Row],[ID]]&amp;" | "&amp;tblPackageOwner[[#This Row],[Description]]</f>
        <v>CB | Callum Billet</v>
      </c>
      <c r="V20" s="61" t="s">
        <v>185</v>
      </c>
      <c r="W20" s="62" t="s">
        <v>186</v>
      </c>
      <c r="X20" s="63" t="str">
        <f>tblContractType[[#This Row],[ID]]&amp;" | "&amp;tblContractType[[#This Row],[Description]]</f>
        <v>MECA | Medium Consultancy Agreement</v>
      </c>
      <c r="AF20" s="56">
        <v>41799</v>
      </c>
      <c r="AG20" s="55" t="s">
        <v>354</v>
      </c>
      <c r="AH20" s="55" t="s">
        <v>352</v>
      </c>
      <c r="AY20" s="55" t="str">
        <v>S19</v>
      </c>
      <c r="AZ20" s="55" t="str">
        <v>Plan Duration (BD)</v>
      </c>
      <c r="BA20" s="55" t="str">
        <v>04 | Tender Documents External Approval</v>
      </c>
      <c r="BB20" s="55" t="str">
        <f t="shared" si="0"/>
        <v>S19</v>
      </c>
      <c r="BC20" s="55" t="str">
        <f t="shared" si="0"/>
        <v>Plan Duration (BD)</v>
      </c>
      <c r="BD20" s="55" t="str">
        <f t="shared" si="0"/>
        <v>04 | Tender Documents External Approval</v>
      </c>
    </row>
    <row r="21" spans="6:56" x14ac:dyDescent="0.35">
      <c r="F21" s="61" t="s">
        <v>88</v>
      </c>
      <c r="G21" s="62" t="s">
        <v>89</v>
      </c>
      <c r="H21" s="63" t="str">
        <f>tblDiscipline[[#This Row],[ID]]&amp;" | "&amp;tblDiscipline[[#This Row],[Description]]</f>
        <v>L | Electrical &amp; Communication</v>
      </c>
      <c r="J21" s="61" t="s">
        <v>138</v>
      </c>
      <c r="K21" s="62" t="s">
        <v>127</v>
      </c>
      <c r="L21" s="63" t="str">
        <f>tblPackageOwner[[#This Row],[ID]]&amp;" | "&amp;tblPackageOwner[[#This Row],[Description]]</f>
        <v>NB | Nick Bakalovski</v>
      </c>
      <c r="V21" s="61" t="s">
        <v>187</v>
      </c>
      <c r="W21" s="62" t="s">
        <v>188</v>
      </c>
      <c r="X21" s="63" t="str">
        <f>tblContractType[[#This Row],[ID]]&amp;" | "&amp;tblContractType[[#This Row],[Description]]</f>
        <v>MESA | Medium Supply Agreement</v>
      </c>
      <c r="AF21" s="56">
        <v>41799</v>
      </c>
      <c r="AG21" s="55" t="s">
        <v>354</v>
      </c>
      <c r="AH21" s="55" t="s">
        <v>356</v>
      </c>
      <c r="AY21" s="55" t="str">
        <v>S20</v>
      </c>
      <c r="AZ21" s="55" t="str">
        <v>Forecast Duration (BD)</v>
      </c>
      <c r="BA21" s="55" t="str">
        <v>04 | Tender Documents External Approval</v>
      </c>
      <c r="BB21" s="55" t="str">
        <f t="shared" si="0"/>
        <v>S20</v>
      </c>
      <c r="BC21" s="55" t="str">
        <f t="shared" si="0"/>
        <v>Forecast Duration (BD)</v>
      </c>
      <c r="BD21" s="55" t="str">
        <f t="shared" si="0"/>
        <v>04 | Tender Documents External Approval</v>
      </c>
    </row>
    <row r="22" spans="6:56" x14ac:dyDescent="0.35">
      <c r="F22" s="61" t="s">
        <v>90</v>
      </c>
      <c r="G22" s="62" t="s">
        <v>91</v>
      </c>
      <c r="H22" s="63" t="str">
        <f>tblDiscipline[[#This Row],[ID]]&amp;" | "&amp;tblDiscipline[[#This Row],[Description]]</f>
        <v>M | Mechanical</v>
      </c>
      <c r="V22" s="61" t="s">
        <v>189</v>
      </c>
      <c r="W22" s="62" t="s">
        <v>190</v>
      </c>
      <c r="X22" s="63" t="str">
        <f>tblContractType[[#This Row],[ID]]&amp;" | "&amp;tblContractType[[#This Row],[Description]]</f>
        <v>MICA | Minor Consultancy Agreement</v>
      </c>
      <c r="AF22" s="56">
        <v>41799</v>
      </c>
      <c r="AG22" s="55" t="s">
        <v>354</v>
      </c>
      <c r="AH22" s="55" t="s">
        <v>345</v>
      </c>
      <c r="AY22" s="55" t="str">
        <v>S21</v>
      </c>
      <c r="AZ22" s="55" t="str">
        <v>Plan</v>
      </c>
      <c r="BA22" s="55" t="str">
        <v>05 | Out to Tender</v>
      </c>
      <c r="BB22" s="55" t="str">
        <f t="shared" si="0"/>
        <v>S21</v>
      </c>
      <c r="BC22" s="55" t="str">
        <f t="shared" si="0"/>
        <v>Plan</v>
      </c>
      <c r="BD22" s="55" t="str">
        <f t="shared" si="0"/>
        <v>05 | Out to Tender</v>
      </c>
    </row>
    <row r="23" spans="6:56" x14ac:dyDescent="0.35">
      <c r="F23" s="61" t="s">
        <v>92</v>
      </c>
      <c r="G23" s="62" t="s">
        <v>93</v>
      </c>
      <c r="H23" s="63" t="str">
        <f>tblDiscipline[[#This Row],[ID]]&amp;" | "&amp;tblDiscipline[[#This Row],[Description]]</f>
        <v>N | Tunnels</v>
      </c>
      <c r="V23" s="61" t="s">
        <v>191</v>
      </c>
      <c r="W23" s="62" t="s">
        <v>192</v>
      </c>
      <c r="X23" s="63" t="str">
        <f>tblContractType[[#This Row],[ID]]&amp;" | "&amp;tblContractType[[#This Row],[Description]]</f>
        <v>MISC | Minor Subcontract</v>
      </c>
      <c r="AF23" s="56">
        <v>41845</v>
      </c>
      <c r="AG23" s="55" t="s">
        <v>357</v>
      </c>
      <c r="AH23" s="55" t="s">
        <v>352</v>
      </c>
      <c r="AY23" s="55" t="str">
        <v>S22</v>
      </c>
      <c r="AZ23" s="55" t="str">
        <v>Forecast</v>
      </c>
      <c r="BA23" s="55" t="str">
        <v>05 | Out to Tender</v>
      </c>
      <c r="BB23" s="55" t="str">
        <f t="shared" si="0"/>
        <v>S22</v>
      </c>
      <c r="BC23" s="55" t="str">
        <f t="shared" si="0"/>
        <v>Forecast</v>
      </c>
      <c r="BD23" s="55" t="str">
        <f t="shared" si="0"/>
        <v>05 | Out to Tender</v>
      </c>
    </row>
    <row r="24" spans="6:56" x14ac:dyDescent="0.35">
      <c r="F24" s="61" t="s">
        <v>94</v>
      </c>
      <c r="G24" s="62" t="s">
        <v>95</v>
      </c>
      <c r="H24" s="63" t="str">
        <f>tblDiscipline[[#This Row],[ID]]&amp;" | "&amp;tblDiscipline[[#This Row],[Description]]</f>
        <v>P | Pipework</v>
      </c>
      <c r="V24" s="61" t="s">
        <v>193</v>
      </c>
      <c r="W24" s="62" t="s">
        <v>194</v>
      </c>
      <c r="X24" s="63" t="str">
        <f>tblContractType[[#This Row],[ID]]&amp;" | "&amp;tblContractType[[#This Row],[Description]]</f>
        <v>MIWO | Minor Works Order</v>
      </c>
      <c r="AF24" s="56">
        <v>41855</v>
      </c>
      <c r="AG24" s="55" t="s">
        <v>358</v>
      </c>
      <c r="AH24" s="55" t="s">
        <v>352</v>
      </c>
      <c r="AY24" s="55" t="str">
        <v>S23</v>
      </c>
      <c r="AZ24" s="55" t="str">
        <v>Actual</v>
      </c>
      <c r="BA24" s="55" t="str">
        <v>05 | Out to Tender</v>
      </c>
      <c r="BB24" s="55" t="str">
        <f t="shared" si="0"/>
        <v>S23</v>
      </c>
      <c r="BC24" s="55" t="str">
        <f t="shared" si="0"/>
        <v>Actual</v>
      </c>
      <c r="BD24" s="55" t="str">
        <f t="shared" si="0"/>
        <v>05 | Out to Tender</v>
      </c>
    </row>
    <row r="25" spans="6:56" x14ac:dyDescent="0.35">
      <c r="F25" s="61" t="s">
        <v>96</v>
      </c>
      <c r="G25" s="62" t="s">
        <v>97</v>
      </c>
      <c r="H25" s="63" t="str">
        <f>tblDiscipline[[#This Row],[ID]]&amp;" | "&amp;tblDiscipline[[#This Row],[Description]]</f>
        <v>Q | Signalling</v>
      </c>
      <c r="V25" s="61" t="s">
        <v>195</v>
      </c>
      <c r="W25" s="62" t="s">
        <v>196</v>
      </c>
      <c r="X25" s="63" t="str">
        <f>tblContractType[[#This Row],[ID]]&amp;" | "&amp;tblContractType[[#This Row],[Description]]</f>
        <v>NDCA | Non-design Consultancy Agreement</v>
      </c>
      <c r="AF25" s="56">
        <v>41911</v>
      </c>
      <c r="AG25" s="55" t="s">
        <v>359</v>
      </c>
      <c r="AH25" s="55" t="s">
        <v>360</v>
      </c>
      <c r="AY25" s="55" t="str">
        <v>S24</v>
      </c>
      <c r="AZ25" s="55" t="str">
        <v>Plan Duration (BD)</v>
      </c>
      <c r="BA25" s="55" t="str">
        <v>05 | Out to Tender</v>
      </c>
      <c r="BB25" s="55" t="str">
        <f t="shared" si="0"/>
        <v>S24</v>
      </c>
      <c r="BC25" s="55" t="str">
        <f t="shared" si="0"/>
        <v>Plan Duration (BD)</v>
      </c>
      <c r="BD25" s="55" t="str">
        <f t="shared" si="0"/>
        <v>05 | Out to Tender</v>
      </c>
    </row>
    <row r="26" spans="6:56" x14ac:dyDescent="0.35">
      <c r="F26" s="61" t="s">
        <v>98</v>
      </c>
      <c r="G26" s="62" t="s">
        <v>99</v>
      </c>
      <c r="H26" s="63" t="str">
        <f>tblDiscipline[[#This Row],[ID]]&amp;" | "&amp;tblDiscipline[[#This Row],[Description]]</f>
        <v>R | Roads and Paving</v>
      </c>
      <c r="V26" s="61" t="s">
        <v>197</v>
      </c>
      <c r="W26" s="62" t="s">
        <v>198</v>
      </c>
      <c r="X26" s="63" t="str">
        <f>tblContractType[[#This Row],[ID]]&amp;" | "&amp;tblContractType[[#This Row],[Description]]</f>
        <v>SA | Services Agreement</v>
      </c>
      <c r="AF26" s="56">
        <v>41918</v>
      </c>
      <c r="AG26" s="55" t="s">
        <v>342</v>
      </c>
      <c r="AH26" s="55" t="s">
        <v>360</v>
      </c>
      <c r="AY26" s="55" t="str">
        <v>S25</v>
      </c>
      <c r="AZ26" s="55" t="str">
        <v>Forecast Duration (BD)</v>
      </c>
      <c r="BA26" s="55" t="str">
        <v>05 | Out to Tender</v>
      </c>
      <c r="BB26" s="55" t="str">
        <f t="shared" si="0"/>
        <v>S25</v>
      </c>
      <c r="BC26" s="55" t="str">
        <f t="shared" si="0"/>
        <v>Forecast Duration (BD)</v>
      </c>
      <c r="BD26" s="55" t="str">
        <f t="shared" si="0"/>
        <v>05 | Out to Tender</v>
      </c>
    </row>
    <row r="27" spans="6:56" x14ac:dyDescent="0.35">
      <c r="F27" s="61" t="s">
        <v>100</v>
      </c>
      <c r="G27" s="62" t="s">
        <v>101</v>
      </c>
      <c r="H27" s="63" t="str">
        <f>tblDiscipline[[#This Row],[ID]]&amp;" | "&amp;tblDiscipline[[#This Row],[Description]]</f>
        <v>S | Structural Steel and Misc. Metakwork</v>
      </c>
      <c r="AF27" s="56">
        <v>41918</v>
      </c>
      <c r="AG27" s="55" t="s">
        <v>342</v>
      </c>
      <c r="AH27" s="55" t="s">
        <v>355</v>
      </c>
      <c r="AY27" s="55" t="str">
        <v>S26</v>
      </c>
      <c r="AZ27" s="55" t="str">
        <v>Plan</v>
      </c>
      <c r="BA27" s="55" t="str">
        <v>06 | Return of Tender</v>
      </c>
      <c r="BB27" s="55" t="str">
        <f t="shared" si="0"/>
        <v>S26</v>
      </c>
      <c r="BC27" s="55" t="str">
        <f t="shared" si="0"/>
        <v>Plan</v>
      </c>
      <c r="BD27" s="55" t="str">
        <f t="shared" si="0"/>
        <v>06 | Return of Tender</v>
      </c>
    </row>
    <row r="28" spans="6:56" x14ac:dyDescent="0.35">
      <c r="F28" s="61" t="s">
        <v>102</v>
      </c>
      <c r="G28" s="62" t="s">
        <v>103</v>
      </c>
      <c r="H28" s="63" t="str">
        <f>tblDiscipline[[#This Row],[ID]]&amp;" | "&amp;tblDiscipline[[#This Row],[Description]]</f>
        <v>T | Rail and Track</v>
      </c>
      <c r="AF28" s="56">
        <v>41918</v>
      </c>
      <c r="AG28" s="55" t="s">
        <v>342</v>
      </c>
      <c r="AH28" s="55" t="s">
        <v>356</v>
      </c>
      <c r="AY28" s="55" t="str">
        <v>S27</v>
      </c>
      <c r="AZ28" s="55" t="str">
        <v>Forecast</v>
      </c>
      <c r="BA28" s="55" t="str">
        <v>06 | Return of Tender</v>
      </c>
      <c r="BB28" s="55" t="str">
        <f t="shared" si="0"/>
        <v>S27</v>
      </c>
      <c r="BC28" s="55" t="str">
        <f t="shared" si="0"/>
        <v>Forecast</v>
      </c>
      <c r="BD28" s="55" t="str">
        <f t="shared" si="0"/>
        <v>06 | Return of Tender</v>
      </c>
    </row>
    <row r="29" spans="6:56" x14ac:dyDescent="0.35">
      <c r="F29" s="61" t="s">
        <v>104</v>
      </c>
      <c r="G29" s="62" t="s">
        <v>105</v>
      </c>
      <c r="H29" s="63" t="str">
        <f>tblDiscipline[[#This Row],[ID]]&amp;" | "&amp;tblDiscipline[[#This Row],[Description]]</f>
        <v>U | Utilities</v>
      </c>
      <c r="AF29" s="56">
        <v>41918</v>
      </c>
      <c r="AG29" s="55" t="s">
        <v>342</v>
      </c>
      <c r="AH29" s="55" t="s">
        <v>345</v>
      </c>
      <c r="AY29" s="55" t="str">
        <v>S28</v>
      </c>
      <c r="AZ29" s="55" t="str">
        <v>Actual</v>
      </c>
      <c r="BA29" s="55" t="str">
        <v>06 | Return of Tender</v>
      </c>
      <c r="BB29" s="55" t="str">
        <f t="shared" si="0"/>
        <v>S28</v>
      </c>
      <c r="BC29" s="55" t="str">
        <f t="shared" si="0"/>
        <v>Actual</v>
      </c>
      <c r="BD29" s="55" t="str">
        <f t="shared" si="0"/>
        <v>06 | Return of Tender</v>
      </c>
    </row>
    <row r="30" spans="6:56" x14ac:dyDescent="0.35">
      <c r="F30" s="61" t="s">
        <v>106</v>
      </c>
      <c r="G30" s="62" t="s">
        <v>107</v>
      </c>
      <c r="H30" s="63" t="str">
        <f>tblDiscipline[[#This Row],[ID]]&amp;" | "&amp;tblDiscipline[[#This Row],[Description]]</f>
        <v>V | Envelop Works</v>
      </c>
      <c r="AF30" s="56">
        <v>41947</v>
      </c>
      <c r="AG30" s="55" t="s">
        <v>361</v>
      </c>
      <c r="AH30" s="55" t="s">
        <v>362</v>
      </c>
      <c r="AY30" s="55" t="str">
        <v>S29</v>
      </c>
      <c r="AZ30" s="55" t="str">
        <v>Plan Duration (BD)</v>
      </c>
      <c r="BA30" s="55" t="str">
        <v>06 | Return of Tender</v>
      </c>
      <c r="BB30" s="55" t="str">
        <f t="shared" si="0"/>
        <v>S29</v>
      </c>
      <c r="BC30" s="55" t="str">
        <f t="shared" si="0"/>
        <v>Plan Duration (BD)</v>
      </c>
      <c r="BD30" s="55" t="str">
        <f t="shared" si="0"/>
        <v>06 | Return of Tender</v>
      </c>
    </row>
    <row r="31" spans="6:56" x14ac:dyDescent="0.35">
      <c r="F31" s="61" t="s">
        <v>108</v>
      </c>
      <c r="G31" s="62" t="s">
        <v>109</v>
      </c>
      <c r="H31" s="63" t="str">
        <f>tblDiscipline[[#This Row],[ID]]&amp;" | "&amp;tblDiscipline[[#This Row],[Description]]</f>
        <v>W | OHW</v>
      </c>
      <c r="AF31" s="56">
        <v>41957</v>
      </c>
      <c r="AG31" s="55" t="s">
        <v>363</v>
      </c>
      <c r="AH31" s="55" t="s">
        <v>356</v>
      </c>
      <c r="AY31" s="55" t="str">
        <v>S30</v>
      </c>
      <c r="AZ31" s="55" t="str">
        <v>Forecast Duration (BD)</v>
      </c>
      <c r="BA31" s="55" t="str">
        <v>06 | Return of Tender</v>
      </c>
      <c r="BB31" s="55" t="str">
        <f t="shared" si="0"/>
        <v>S30</v>
      </c>
      <c r="BC31" s="55" t="str">
        <f t="shared" si="0"/>
        <v>Forecast Duration (BD)</v>
      </c>
      <c r="BD31" s="55" t="str">
        <f t="shared" si="0"/>
        <v>06 | Return of Tender</v>
      </c>
    </row>
    <row r="32" spans="6:56" x14ac:dyDescent="0.35">
      <c r="F32" s="61" t="s">
        <v>110</v>
      </c>
      <c r="G32" s="62" t="s">
        <v>111</v>
      </c>
      <c r="H32" s="63" t="str">
        <f>tblDiscipline[[#This Row],[ID]]&amp;" | "&amp;tblDiscipline[[#This Row],[Description]]</f>
        <v>X | External Works</v>
      </c>
      <c r="AF32" s="56">
        <v>41998</v>
      </c>
      <c r="AG32" s="55" t="s">
        <v>364</v>
      </c>
      <c r="AH32" s="55" t="s">
        <v>339</v>
      </c>
      <c r="AY32" s="55" t="str">
        <v>S31</v>
      </c>
      <c r="AZ32" s="55" t="str">
        <v>Plan</v>
      </c>
      <c r="BA32" s="55" t="str">
        <v>07 | Tender Evaluation &amp; Recommendation Complete</v>
      </c>
      <c r="BB32" s="55" t="str">
        <f t="shared" si="0"/>
        <v>S31</v>
      </c>
      <c r="BC32" s="55" t="str">
        <f t="shared" si="0"/>
        <v>Plan</v>
      </c>
      <c r="BD32" s="55" t="str">
        <f t="shared" si="0"/>
        <v>07 | Tender Evaluation &amp; Recommendation Complete</v>
      </c>
    </row>
    <row r="33" spans="6:56" x14ac:dyDescent="0.35">
      <c r="F33" s="61" t="s">
        <v>112</v>
      </c>
      <c r="G33" s="62" t="s">
        <v>113</v>
      </c>
      <c r="H33" s="63" t="str">
        <f>tblDiscipline[[#This Row],[ID]]&amp;" | "&amp;tblDiscipline[[#This Row],[Description]]</f>
        <v>Y | Drainage</v>
      </c>
      <c r="AF33" s="56">
        <v>41999</v>
      </c>
      <c r="AG33" s="55" t="s">
        <v>365</v>
      </c>
      <c r="AH33" s="55" t="s">
        <v>339</v>
      </c>
      <c r="AY33" s="55" t="str">
        <v>S32</v>
      </c>
      <c r="AZ33" s="55" t="str">
        <v>Forecast</v>
      </c>
      <c r="BA33" s="55" t="str">
        <v>07 | Tender Evaluation &amp; Recommendation Complete</v>
      </c>
      <c r="BB33" s="55" t="str">
        <f t="shared" si="0"/>
        <v>S32</v>
      </c>
      <c r="BC33" s="55" t="str">
        <f t="shared" si="0"/>
        <v>Forecast</v>
      </c>
      <c r="BD33" s="55" t="str">
        <f t="shared" si="0"/>
        <v>07 | Tender Evaluation &amp; Recommendation Complete</v>
      </c>
    </row>
    <row r="34" spans="6:56" x14ac:dyDescent="0.35">
      <c r="F34" s="61" t="s">
        <v>114</v>
      </c>
      <c r="G34" s="62" t="s">
        <v>115</v>
      </c>
      <c r="H34" s="63" t="str">
        <f>tblDiscipline[[#This Row],[ID]]&amp;" | "&amp;tblDiscipline[[#This Row],[Description]]</f>
        <v>Z | CSR</v>
      </c>
      <c r="AF34" s="56">
        <v>42005</v>
      </c>
      <c r="AG34" s="55" t="s">
        <v>338</v>
      </c>
      <c r="AH34" s="55" t="s">
        <v>339</v>
      </c>
      <c r="AY34" s="55" t="str">
        <v>S33</v>
      </c>
      <c r="AZ34" s="55" t="str">
        <v>Actual</v>
      </c>
      <c r="BA34" s="55" t="str">
        <v>07 | Tender Evaluation &amp; Recommendation Complete</v>
      </c>
      <c r="BB34" s="55" t="str">
        <f t="shared" ref="BB34:BD65" si="1">AY34</f>
        <v>S33</v>
      </c>
      <c r="BC34" s="55" t="str">
        <f t="shared" si="1"/>
        <v>Actual</v>
      </c>
      <c r="BD34" s="55" t="str">
        <f t="shared" si="1"/>
        <v>07 | Tender Evaluation &amp; Recommendation Complete</v>
      </c>
    </row>
    <row r="35" spans="6:56" x14ac:dyDescent="0.35">
      <c r="AF35" s="56">
        <v>42030</v>
      </c>
      <c r="AG35" s="55" t="s">
        <v>341</v>
      </c>
      <c r="AH35" s="55" t="s">
        <v>339</v>
      </c>
      <c r="AY35" s="55" t="str">
        <v>S34</v>
      </c>
      <c r="AZ35" s="55" t="str">
        <v>Plan Duration (BD)</v>
      </c>
      <c r="BA35" s="55" t="str">
        <v>07 | Tender Evaluation &amp; Recommendation Complete</v>
      </c>
      <c r="BB35" s="55" t="str">
        <f t="shared" si="1"/>
        <v>S34</v>
      </c>
      <c r="BC35" s="55" t="str">
        <f t="shared" si="1"/>
        <v>Plan Duration (BD)</v>
      </c>
      <c r="BD35" s="55" t="str">
        <f t="shared" si="1"/>
        <v>07 | Tender Evaluation &amp; Recommendation Complete</v>
      </c>
    </row>
    <row r="36" spans="6:56" x14ac:dyDescent="0.35">
      <c r="AF36" s="56">
        <v>42065</v>
      </c>
      <c r="AG36" s="55" t="s">
        <v>342</v>
      </c>
      <c r="AH36" s="55" t="s">
        <v>362</v>
      </c>
      <c r="AY36" s="55" t="str">
        <v>S35</v>
      </c>
      <c r="AZ36" s="55" t="str">
        <v>Forecast Duration (BD)</v>
      </c>
      <c r="BA36" s="55" t="str">
        <v>07 | Tender Evaluation &amp; Recommendation Complete</v>
      </c>
      <c r="BB36" s="55" t="str">
        <f t="shared" si="1"/>
        <v>S35</v>
      </c>
      <c r="BC36" s="55" t="str">
        <f t="shared" si="1"/>
        <v>Forecast Duration (BD)</v>
      </c>
      <c r="BD36" s="55" t="str">
        <f t="shared" si="1"/>
        <v>07 | Tender Evaluation &amp; Recommendation Complete</v>
      </c>
    </row>
    <row r="37" spans="6:56" x14ac:dyDescent="0.35">
      <c r="AF37" s="56">
        <v>42065</v>
      </c>
      <c r="AG37" s="55" t="s">
        <v>342</v>
      </c>
      <c r="AH37" s="55" t="s">
        <v>343</v>
      </c>
      <c r="AY37" s="55" t="str">
        <v>S36</v>
      </c>
      <c r="AZ37" s="55" t="str">
        <v>Plan</v>
      </c>
      <c r="BA37" s="55" t="str">
        <v>08 | Recommendation Internal Approval</v>
      </c>
      <c r="BB37" s="55" t="str">
        <f t="shared" si="1"/>
        <v>S36</v>
      </c>
      <c r="BC37" s="55" t="str">
        <f t="shared" si="1"/>
        <v>Plan</v>
      </c>
      <c r="BD37" s="55" t="str">
        <f t="shared" si="1"/>
        <v>08 | Recommendation Internal Approval</v>
      </c>
    </row>
    <row r="38" spans="6:56" x14ac:dyDescent="0.35">
      <c r="AF38" s="56">
        <v>42072</v>
      </c>
      <c r="AG38" s="55" t="s">
        <v>366</v>
      </c>
      <c r="AH38" s="55" t="s">
        <v>360</v>
      </c>
      <c r="AY38" s="55" t="str">
        <v>S37</v>
      </c>
      <c r="AZ38" s="55" t="str">
        <v>Forecast</v>
      </c>
      <c r="BA38" s="55" t="str">
        <v>08 | Recommendation Internal Approval</v>
      </c>
      <c r="BB38" s="55" t="str">
        <f t="shared" si="1"/>
        <v>S37</v>
      </c>
      <c r="BC38" s="55" t="str">
        <f t="shared" si="1"/>
        <v>Forecast</v>
      </c>
      <c r="BD38" s="55" t="str">
        <f t="shared" si="1"/>
        <v>08 | Recommendation Internal Approval</v>
      </c>
    </row>
    <row r="39" spans="6:56" x14ac:dyDescent="0.35">
      <c r="AF39" s="56">
        <v>42072</v>
      </c>
      <c r="AG39" s="55" t="s">
        <v>367</v>
      </c>
      <c r="AH39" s="55" t="s">
        <v>345</v>
      </c>
      <c r="AY39" s="55" t="str">
        <v>S38</v>
      </c>
      <c r="AZ39" s="55" t="str">
        <v>Actual</v>
      </c>
      <c r="BA39" s="55" t="str">
        <v>08 | Recommendation Internal Approval</v>
      </c>
      <c r="BB39" s="55" t="str">
        <f t="shared" si="1"/>
        <v>S38</v>
      </c>
      <c r="BC39" s="55" t="str">
        <f t="shared" si="1"/>
        <v>Actual</v>
      </c>
      <c r="BD39" s="55" t="str">
        <f t="shared" si="1"/>
        <v>08 | Recommendation Internal Approval</v>
      </c>
    </row>
    <row r="40" spans="6:56" x14ac:dyDescent="0.35">
      <c r="AF40" s="56">
        <v>42097</v>
      </c>
      <c r="AG40" s="55" t="s">
        <v>346</v>
      </c>
      <c r="AH40" s="55" t="s">
        <v>339</v>
      </c>
      <c r="AY40" s="55" t="str">
        <v>S39</v>
      </c>
      <c r="AZ40" s="55" t="str">
        <v>Plan Duration (BD)</v>
      </c>
      <c r="BA40" s="55" t="str">
        <v>08 | Recommendation Internal Approval</v>
      </c>
      <c r="BB40" s="55" t="str">
        <f t="shared" si="1"/>
        <v>S39</v>
      </c>
      <c r="BC40" s="55" t="str">
        <f t="shared" si="1"/>
        <v>Plan Duration (BD)</v>
      </c>
      <c r="BD40" s="55" t="str">
        <f t="shared" si="1"/>
        <v>08 | Recommendation Internal Approval</v>
      </c>
    </row>
    <row r="41" spans="6:56" x14ac:dyDescent="0.35">
      <c r="AF41" s="56">
        <v>42098</v>
      </c>
      <c r="AG41" s="55" t="s">
        <v>347</v>
      </c>
      <c r="AH41" s="55" t="s">
        <v>339</v>
      </c>
      <c r="AY41" s="55" t="str">
        <v>S40</v>
      </c>
      <c r="AZ41" s="55" t="str">
        <v>Forecast Duration (BD)</v>
      </c>
      <c r="BA41" s="55" t="str">
        <v>08 | Recommendation Internal Approval</v>
      </c>
      <c r="BB41" s="55" t="str">
        <f t="shared" si="1"/>
        <v>S40</v>
      </c>
      <c r="BC41" s="55" t="str">
        <f t="shared" si="1"/>
        <v>Forecast Duration (BD)</v>
      </c>
      <c r="BD41" s="55" t="str">
        <f t="shared" si="1"/>
        <v>08 | Recommendation Internal Approval</v>
      </c>
    </row>
    <row r="42" spans="6:56" x14ac:dyDescent="0.35">
      <c r="AF42" s="56">
        <v>42100</v>
      </c>
      <c r="AG42" s="55" t="s">
        <v>349</v>
      </c>
      <c r="AH42" s="55" t="s">
        <v>339</v>
      </c>
      <c r="AY42" s="55" t="str">
        <v>S41</v>
      </c>
      <c r="AZ42" s="55" t="str">
        <v>Plan</v>
      </c>
      <c r="BA42" s="55" t="str">
        <v>09 | Recommendation External Approval</v>
      </c>
      <c r="BB42" s="55" t="str">
        <f t="shared" si="1"/>
        <v>S41</v>
      </c>
      <c r="BC42" s="55" t="str">
        <f t="shared" si="1"/>
        <v>Plan</v>
      </c>
      <c r="BD42" s="55" t="str">
        <f t="shared" si="1"/>
        <v>09 | Recommendation External Approval</v>
      </c>
    </row>
    <row r="43" spans="6:56" x14ac:dyDescent="0.35">
      <c r="AF43" s="56">
        <v>42119</v>
      </c>
      <c r="AG43" s="55" t="s">
        <v>350</v>
      </c>
      <c r="AH43" s="55" t="s">
        <v>339</v>
      </c>
      <c r="AY43" s="55" t="str">
        <v>S42</v>
      </c>
      <c r="AZ43" s="55" t="str">
        <v>Forecast</v>
      </c>
      <c r="BA43" s="55" t="str">
        <v>09 | Recommendation External Approval</v>
      </c>
      <c r="BB43" s="55" t="str">
        <f t="shared" si="1"/>
        <v>S42</v>
      </c>
      <c r="BC43" s="55" t="str">
        <f t="shared" si="1"/>
        <v>Forecast</v>
      </c>
      <c r="BD43" s="55" t="str">
        <f t="shared" si="1"/>
        <v>09 | Recommendation External Approval</v>
      </c>
    </row>
    <row r="44" spans="6:56" x14ac:dyDescent="0.35">
      <c r="AF44" s="56">
        <v>42121</v>
      </c>
      <c r="AG44" s="55" t="s">
        <v>350</v>
      </c>
      <c r="AH44" s="55" t="s">
        <v>339</v>
      </c>
      <c r="AY44" s="55" t="str">
        <v>S43</v>
      </c>
      <c r="AZ44" s="55" t="str">
        <v>Actual</v>
      </c>
      <c r="BA44" s="55" t="str">
        <v>09 | Recommendation External Approval</v>
      </c>
      <c r="BB44" s="55" t="str">
        <f t="shared" si="1"/>
        <v>S43</v>
      </c>
      <c r="BC44" s="55" t="str">
        <f t="shared" si="1"/>
        <v>Actual</v>
      </c>
      <c r="BD44" s="55" t="str">
        <f t="shared" si="1"/>
        <v>09 | Recommendation External Approval</v>
      </c>
    </row>
    <row r="45" spans="6:56" x14ac:dyDescent="0.35">
      <c r="AF45" s="56">
        <v>42128</v>
      </c>
      <c r="AG45" s="55" t="s">
        <v>351</v>
      </c>
      <c r="AH45" s="55" t="s">
        <v>352</v>
      </c>
      <c r="AY45" s="55" t="str">
        <v>S45</v>
      </c>
      <c r="AZ45" s="55" t="str">
        <v>Plan Duration (BD)</v>
      </c>
      <c r="BA45" s="55" t="str">
        <v>09 | Recommendation External Approval</v>
      </c>
      <c r="BB45" s="55" t="str">
        <f t="shared" si="1"/>
        <v>S45</v>
      </c>
      <c r="BC45" s="55" t="str">
        <f t="shared" si="1"/>
        <v>Plan Duration (BD)</v>
      </c>
      <c r="BD45" s="55" t="str">
        <f t="shared" si="1"/>
        <v>09 | Recommendation External Approval</v>
      </c>
    </row>
    <row r="46" spans="6:56" x14ac:dyDescent="0.35">
      <c r="AF46" s="56">
        <v>42156</v>
      </c>
      <c r="AG46" s="55" t="s">
        <v>353</v>
      </c>
      <c r="AH46" s="55" t="s">
        <v>339</v>
      </c>
      <c r="AY46" s="55" t="str">
        <v>S452</v>
      </c>
      <c r="AZ46" s="55" t="str">
        <v>Forecast Duration (BD)</v>
      </c>
      <c r="BA46" s="55" t="str">
        <v>09 | Recommendation External Approval</v>
      </c>
      <c r="BB46" s="55" t="str">
        <f t="shared" si="1"/>
        <v>S452</v>
      </c>
      <c r="BC46" s="55" t="str">
        <f t="shared" si="1"/>
        <v>Forecast Duration (BD)</v>
      </c>
      <c r="BD46" s="55" t="str">
        <f t="shared" si="1"/>
        <v>09 | Recommendation External Approval</v>
      </c>
    </row>
    <row r="47" spans="6:56" x14ac:dyDescent="0.35">
      <c r="AF47" s="56">
        <v>42163</v>
      </c>
      <c r="AG47" s="55" t="s">
        <v>354</v>
      </c>
      <c r="AH47" s="55" t="s">
        <v>360</v>
      </c>
      <c r="AY47" s="55" t="str">
        <v>S46</v>
      </c>
      <c r="AZ47" s="55" t="str">
        <v>Plan</v>
      </c>
      <c r="BA47" s="55" t="str">
        <v>10 | Place Order / Contract Execution</v>
      </c>
      <c r="BB47" s="55" t="str">
        <f t="shared" si="1"/>
        <v>S46</v>
      </c>
      <c r="BC47" s="55" t="str">
        <f t="shared" si="1"/>
        <v>Plan</v>
      </c>
      <c r="BD47" s="55" t="str">
        <f t="shared" si="1"/>
        <v>10 | Place Order / Contract Execution</v>
      </c>
    </row>
    <row r="48" spans="6:56" x14ac:dyDescent="0.35">
      <c r="AF48" s="56">
        <v>42163</v>
      </c>
      <c r="AG48" s="55" t="s">
        <v>354</v>
      </c>
      <c r="AH48" s="55" t="s">
        <v>355</v>
      </c>
      <c r="AY48" s="55" t="str">
        <v>S47</v>
      </c>
      <c r="AZ48" s="55" t="str">
        <v>Forecast</v>
      </c>
      <c r="BA48" s="55" t="str">
        <v>10 | Place Order / Contract Execution</v>
      </c>
      <c r="BB48" s="55" t="str">
        <f t="shared" si="1"/>
        <v>S47</v>
      </c>
      <c r="BC48" s="55" t="str">
        <f t="shared" si="1"/>
        <v>Forecast</v>
      </c>
      <c r="BD48" s="55" t="str">
        <f t="shared" si="1"/>
        <v>10 | Place Order / Contract Execution</v>
      </c>
    </row>
    <row r="49" spans="32:56" x14ac:dyDescent="0.35">
      <c r="AF49" s="56">
        <v>42163</v>
      </c>
      <c r="AG49" s="55" t="s">
        <v>354</v>
      </c>
      <c r="AH49" s="55" t="s">
        <v>352</v>
      </c>
      <c r="AY49" s="55" t="str">
        <v>S48</v>
      </c>
      <c r="AZ49" s="55" t="str">
        <v>Actual</v>
      </c>
      <c r="BA49" s="55" t="str">
        <v>10 | Place Order / Contract Execution</v>
      </c>
      <c r="BB49" s="55" t="str">
        <f t="shared" si="1"/>
        <v>S48</v>
      </c>
      <c r="BC49" s="55" t="str">
        <f t="shared" si="1"/>
        <v>Actual</v>
      </c>
      <c r="BD49" s="55" t="str">
        <f t="shared" si="1"/>
        <v>10 | Place Order / Contract Execution</v>
      </c>
    </row>
    <row r="50" spans="32:56" x14ac:dyDescent="0.35">
      <c r="AF50" s="56">
        <v>42163</v>
      </c>
      <c r="AG50" s="55" t="s">
        <v>354</v>
      </c>
      <c r="AH50" s="55" t="s">
        <v>356</v>
      </c>
      <c r="AY50" s="55" t="str">
        <v>S49</v>
      </c>
      <c r="AZ50" s="55" t="str">
        <v>Plan Duration (BD)</v>
      </c>
      <c r="BA50" s="55" t="str">
        <v>10 | Place Order / Contract Execution</v>
      </c>
      <c r="BB50" s="55" t="str">
        <f t="shared" si="1"/>
        <v>S49</v>
      </c>
      <c r="BC50" s="55" t="str">
        <f t="shared" si="1"/>
        <v>Plan Duration (BD)</v>
      </c>
      <c r="BD50" s="55" t="str">
        <f t="shared" si="1"/>
        <v>10 | Place Order / Contract Execution</v>
      </c>
    </row>
    <row r="51" spans="32:56" x14ac:dyDescent="0.35">
      <c r="AF51" s="56">
        <v>42163</v>
      </c>
      <c r="AG51" s="55" t="s">
        <v>354</v>
      </c>
      <c r="AH51" s="55" t="s">
        <v>345</v>
      </c>
      <c r="AY51" s="55" t="str">
        <v>S50</v>
      </c>
      <c r="AZ51" s="55" t="str">
        <v>Forecast Duration (BD)</v>
      </c>
      <c r="BA51" s="55" t="str">
        <v>10 | Place Order / Contract Execution</v>
      </c>
      <c r="BB51" s="55" t="str">
        <f t="shared" si="1"/>
        <v>S50</v>
      </c>
      <c r="BC51" s="55" t="str">
        <f t="shared" si="1"/>
        <v>Forecast Duration (BD)</v>
      </c>
      <c r="BD51" s="55" t="str">
        <f t="shared" si="1"/>
        <v>10 | Place Order / Contract Execution</v>
      </c>
    </row>
    <row r="52" spans="32:56" x14ac:dyDescent="0.35">
      <c r="AF52" s="56">
        <v>42168</v>
      </c>
      <c r="AG52" s="55" t="s">
        <v>354</v>
      </c>
      <c r="AH52" s="55" t="s">
        <v>355</v>
      </c>
      <c r="AY52" s="55" t="str">
        <v>S51</v>
      </c>
      <c r="AZ52" s="55" t="str">
        <v>Plan</v>
      </c>
      <c r="BA52" s="55" t="str">
        <v>11 | Lead Time</v>
      </c>
      <c r="BB52" s="55" t="str">
        <f t="shared" si="1"/>
        <v>S51</v>
      </c>
      <c r="BC52" s="55" t="str">
        <f t="shared" si="1"/>
        <v>Plan</v>
      </c>
      <c r="BD52" s="55" t="str">
        <f t="shared" si="1"/>
        <v>11 | Lead Time</v>
      </c>
    </row>
    <row r="53" spans="32:56" x14ac:dyDescent="0.35">
      <c r="AF53" s="56">
        <v>42219</v>
      </c>
      <c r="AG53" s="55" t="s">
        <v>358</v>
      </c>
      <c r="AH53" s="55" t="s">
        <v>352</v>
      </c>
      <c r="AY53" s="55" t="str">
        <v>S52</v>
      </c>
      <c r="AZ53" s="55" t="str">
        <v>Forecast</v>
      </c>
      <c r="BA53" s="55" t="str">
        <v>11 | Lead Time</v>
      </c>
      <c r="BB53" s="55" t="str">
        <f t="shared" si="1"/>
        <v>S52</v>
      </c>
      <c r="BC53" s="55" t="str">
        <f t="shared" si="1"/>
        <v>Forecast</v>
      </c>
      <c r="BD53" s="55" t="str">
        <f t="shared" si="1"/>
        <v>11 | Lead Time</v>
      </c>
    </row>
    <row r="54" spans="32:56" x14ac:dyDescent="0.35">
      <c r="AF54" s="56">
        <v>42228</v>
      </c>
      <c r="AG54" s="55" t="s">
        <v>368</v>
      </c>
      <c r="AH54" s="55" t="s">
        <v>356</v>
      </c>
      <c r="AY54" s="55" t="str">
        <v>S53</v>
      </c>
      <c r="AZ54" s="55" t="str">
        <v>Actual</v>
      </c>
      <c r="BA54" s="55" t="str">
        <v>11 | Lead Time</v>
      </c>
      <c r="BB54" s="55" t="str">
        <f t="shared" si="1"/>
        <v>S53</v>
      </c>
      <c r="BC54" s="55" t="str">
        <f t="shared" si="1"/>
        <v>Actual</v>
      </c>
      <c r="BD54" s="55" t="str">
        <f t="shared" si="1"/>
        <v>11 | Lead Time</v>
      </c>
    </row>
    <row r="55" spans="32:56" x14ac:dyDescent="0.35">
      <c r="AF55" s="56">
        <v>42275</v>
      </c>
      <c r="AG55" s="55" t="s">
        <v>359</v>
      </c>
      <c r="AH55" s="55" t="s">
        <v>360</v>
      </c>
      <c r="AY55" s="55" t="str">
        <v>S54</v>
      </c>
      <c r="AZ55" s="55" t="str">
        <v>Plan Duration (BD)</v>
      </c>
      <c r="BA55" s="55" t="str">
        <v>11 | Lead Time</v>
      </c>
      <c r="BB55" s="55" t="str">
        <f t="shared" si="1"/>
        <v>S54</v>
      </c>
      <c r="BC55" s="55" t="str">
        <f t="shared" si="1"/>
        <v>Plan Duration (BD)</v>
      </c>
      <c r="BD55" s="55" t="str">
        <f t="shared" si="1"/>
        <v>11 | Lead Time</v>
      </c>
    </row>
    <row r="56" spans="32:56" x14ac:dyDescent="0.35">
      <c r="AF56" s="56">
        <v>42275</v>
      </c>
      <c r="AG56" s="55" t="s">
        <v>354</v>
      </c>
      <c r="AH56" s="55" t="s">
        <v>362</v>
      </c>
      <c r="AY56" s="55" t="str">
        <v>S55</v>
      </c>
      <c r="AZ56" s="55" t="str">
        <v>Forecast Duration (BD)</v>
      </c>
      <c r="BA56" s="55" t="str">
        <v>11 | Lead Time</v>
      </c>
      <c r="BB56" s="55" t="str">
        <f t="shared" si="1"/>
        <v>S55</v>
      </c>
      <c r="BC56" s="55" t="str">
        <f t="shared" si="1"/>
        <v>Forecast Duration (BD)</v>
      </c>
      <c r="BD56" s="55" t="str">
        <f t="shared" si="1"/>
        <v>11 | Lead Time</v>
      </c>
    </row>
    <row r="57" spans="32:56" x14ac:dyDescent="0.35">
      <c r="AF57" s="56">
        <v>42275</v>
      </c>
      <c r="AG57" s="55" t="s">
        <v>354</v>
      </c>
      <c r="AH57" s="55" t="s">
        <v>343</v>
      </c>
      <c r="AY57" s="55" t="str">
        <v>S56</v>
      </c>
      <c r="AZ57" s="55" t="str">
        <v>Plan</v>
      </c>
      <c r="BA57" s="55" t="str">
        <v>12 | Start On Site</v>
      </c>
      <c r="BB57" s="55" t="str">
        <f t="shared" si="1"/>
        <v>S56</v>
      </c>
      <c r="BC57" s="55" t="str">
        <f t="shared" si="1"/>
        <v>Plan</v>
      </c>
      <c r="BD57" s="55" t="str">
        <f t="shared" si="1"/>
        <v>12 | Start On Site</v>
      </c>
    </row>
    <row r="58" spans="32:56" x14ac:dyDescent="0.35">
      <c r="AF58" s="56">
        <v>42282</v>
      </c>
      <c r="AG58" s="55" t="s">
        <v>342</v>
      </c>
      <c r="AH58" s="55" t="s">
        <v>360</v>
      </c>
      <c r="AY58" s="55" t="str">
        <v>S57</v>
      </c>
      <c r="AZ58" s="55" t="str">
        <v>Forecast</v>
      </c>
      <c r="BA58" s="55" t="str">
        <v>12 | Start On Site</v>
      </c>
      <c r="BB58" s="55" t="str">
        <f t="shared" si="1"/>
        <v>S57</v>
      </c>
      <c r="BC58" s="55" t="str">
        <f t="shared" si="1"/>
        <v>Forecast</v>
      </c>
      <c r="BD58" s="55" t="str">
        <f t="shared" si="1"/>
        <v>12 | Start On Site</v>
      </c>
    </row>
    <row r="59" spans="32:56" x14ac:dyDescent="0.35">
      <c r="AF59" s="56">
        <v>42282</v>
      </c>
      <c r="AG59" s="55" t="s">
        <v>342</v>
      </c>
      <c r="AH59" s="55" t="s">
        <v>355</v>
      </c>
      <c r="AY59" s="55" t="str">
        <v>S58</v>
      </c>
      <c r="AZ59" s="55" t="str">
        <v>Actual</v>
      </c>
      <c r="BA59" s="55" t="str">
        <v>12 | Start On Site</v>
      </c>
      <c r="BB59" s="55" t="str">
        <f t="shared" si="1"/>
        <v>S58</v>
      </c>
      <c r="BC59" s="55" t="str">
        <f t="shared" si="1"/>
        <v>Actual</v>
      </c>
      <c r="BD59" s="55" t="str">
        <f t="shared" si="1"/>
        <v>12 | Start On Site</v>
      </c>
    </row>
    <row r="60" spans="32:56" x14ac:dyDescent="0.35">
      <c r="AF60" s="56">
        <v>42282</v>
      </c>
      <c r="AG60" s="55" t="s">
        <v>342</v>
      </c>
      <c r="AH60" s="55" t="s">
        <v>356</v>
      </c>
      <c r="AY60" s="55">
        <v>0</v>
      </c>
      <c r="AZ60" s="55">
        <v>0</v>
      </c>
      <c r="BA60" s="55">
        <v>0</v>
      </c>
      <c r="BB60" s="55">
        <f t="shared" si="1"/>
        <v>0</v>
      </c>
      <c r="BC60" s="55">
        <f t="shared" si="1"/>
        <v>0</v>
      </c>
      <c r="BD60" s="55">
        <f t="shared" si="1"/>
        <v>0</v>
      </c>
    </row>
    <row r="61" spans="32:56" x14ac:dyDescent="0.35">
      <c r="AF61" s="56">
        <v>42282</v>
      </c>
      <c r="AG61" s="55" t="s">
        <v>342</v>
      </c>
      <c r="AH61" s="55" t="s">
        <v>345</v>
      </c>
      <c r="AY61" s="55">
        <v>0</v>
      </c>
      <c r="AZ61" s="55">
        <v>0</v>
      </c>
      <c r="BA61" s="55">
        <v>0</v>
      </c>
      <c r="BB61" s="55">
        <f t="shared" si="1"/>
        <v>0</v>
      </c>
      <c r="BC61" s="55">
        <f t="shared" si="1"/>
        <v>0</v>
      </c>
      <c r="BD61" s="55">
        <f t="shared" si="1"/>
        <v>0</v>
      </c>
    </row>
    <row r="62" spans="32:56" x14ac:dyDescent="0.35">
      <c r="AF62" s="56">
        <v>42311</v>
      </c>
      <c r="AG62" s="55" t="s">
        <v>361</v>
      </c>
      <c r="AH62" s="55" t="s">
        <v>362</v>
      </c>
      <c r="AY62" s="55">
        <v>0</v>
      </c>
      <c r="AZ62" s="55">
        <v>0</v>
      </c>
      <c r="BA62" s="55">
        <v>0</v>
      </c>
      <c r="BB62" s="55">
        <f t="shared" si="1"/>
        <v>0</v>
      </c>
      <c r="BC62" s="55">
        <f t="shared" si="1"/>
        <v>0</v>
      </c>
      <c r="BD62" s="55">
        <f t="shared" si="1"/>
        <v>0</v>
      </c>
    </row>
    <row r="63" spans="32:56" x14ac:dyDescent="0.35">
      <c r="AF63" s="56">
        <v>42363</v>
      </c>
      <c r="AG63" s="55" t="s">
        <v>364</v>
      </c>
      <c r="AH63" s="55" t="s">
        <v>339</v>
      </c>
      <c r="AY63" s="55">
        <v>0</v>
      </c>
      <c r="AZ63" s="55">
        <v>0</v>
      </c>
      <c r="BA63" s="55">
        <v>0</v>
      </c>
      <c r="BB63" s="55">
        <f t="shared" si="1"/>
        <v>0</v>
      </c>
      <c r="BC63" s="55">
        <f t="shared" si="1"/>
        <v>0</v>
      </c>
      <c r="BD63" s="55">
        <f t="shared" si="1"/>
        <v>0</v>
      </c>
    </row>
    <row r="64" spans="32:56" x14ac:dyDescent="0.35">
      <c r="AF64" s="56">
        <v>42364</v>
      </c>
      <c r="AG64" s="55" t="s">
        <v>365</v>
      </c>
      <c r="AH64" s="55" t="s">
        <v>339</v>
      </c>
      <c r="AY64" s="55">
        <v>0</v>
      </c>
      <c r="AZ64" s="55">
        <v>0</v>
      </c>
      <c r="BA64" s="55">
        <v>0</v>
      </c>
      <c r="BB64" s="55">
        <f t="shared" si="1"/>
        <v>0</v>
      </c>
      <c r="BC64" s="55">
        <f t="shared" si="1"/>
        <v>0</v>
      </c>
      <c r="BD64" s="55">
        <f t="shared" si="1"/>
        <v>0</v>
      </c>
    </row>
    <row r="65" spans="32:56" x14ac:dyDescent="0.35">
      <c r="AF65" s="56">
        <v>42366</v>
      </c>
      <c r="AG65" s="55" t="s">
        <v>365</v>
      </c>
      <c r="AH65" s="55" t="s">
        <v>339</v>
      </c>
      <c r="AY65" s="55">
        <v>0</v>
      </c>
      <c r="AZ65" s="55">
        <v>0</v>
      </c>
      <c r="BA65" s="55">
        <v>0</v>
      </c>
      <c r="BB65" s="55">
        <f t="shared" si="1"/>
        <v>0</v>
      </c>
      <c r="BC65" s="55">
        <f t="shared" si="1"/>
        <v>0</v>
      </c>
      <c r="BD65" s="55">
        <f t="shared" si="1"/>
        <v>0</v>
      </c>
    </row>
    <row r="66" spans="32:56" x14ac:dyDescent="0.35">
      <c r="AF66" s="56">
        <v>42366</v>
      </c>
      <c r="AG66" s="55" t="s">
        <v>369</v>
      </c>
      <c r="AH66" s="55" t="s">
        <v>345</v>
      </c>
      <c r="AY66" s="55">
        <v>0</v>
      </c>
      <c r="AZ66" s="55">
        <v>0</v>
      </c>
      <c r="BA66" s="55">
        <v>0</v>
      </c>
      <c r="BB66" s="55">
        <f t="shared" ref="BB66:BD97" si="2">AY66</f>
        <v>0</v>
      </c>
      <c r="BC66" s="55">
        <f t="shared" si="2"/>
        <v>0</v>
      </c>
      <c r="BD66" s="55">
        <f t="shared" si="2"/>
        <v>0</v>
      </c>
    </row>
    <row r="67" spans="32:56" x14ac:dyDescent="0.35">
      <c r="AF67" s="56">
        <v>42370</v>
      </c>
      <c r="AG67" s="55" t="s">
        <v>338</v>
      </c>
      <c r="AH67" s="55" t="s">
        <v>339</v>
      </c>
      <c r="AY67" s="55">
        <v>0</v>
      </c>
      <c r="AZ67" s="55">
        <v>0</v>
      </c>
      <c r="BA67" s="55">
        <v>0</v>
      </c>
      <c r="BB67" s="55">
        <f t="shared" si="2"/>
        <v>0</v>
      </c>
      <c r="BC67" s="55">
        <f t="shared" si="2"/>
        <v>0</v>
      </c>
      <c r="BD67" s="55">
        <f t="shared" si="2"/>
        <v>0</v>
      </c>
    </row>
    <row r="68" spans="32:56" x14ac:dyDescent="0.35">
      <c r="AF68" s="56">
        <v>42395</v>
      </c>
      <c r="AG68" s="55" t="s">
        <v>341</v>
      </c>
      <c r="AH68" s="55" t="s">
        <v>339</v>
      </c>
      <c r="AY68" s="55">
        <v>0</v>
      </c>
      <c r="AZ68" s="55">
        <v>0</v>
      </c>
      <c r="BA68" s="55">
        <v>0</v>
      </c>
      <c r="BB68" s="55">
        <f t="shared" si="2"/>
        <v>0</v>
      </c>
      <c r="BC68" s="55">
        <f t="shared" si="2"/>
        <v>0</v>
      </c>
      <c r="BD68" s="55">
        <f t="shared" si="2"/>
        <v>0</v>
      </c>
    </row>
    <row r="69" spans="32:56" x14ac:dyDescent="0.35">
      <c r="AF69" s="56">
        <v>42436</v>
      </c>
      <c r="AG69" s="55" t="s">
        <v>342</v>
      </c>
      <c r="AH69" s="55" t="s">
        <v>343</v>
      </c>
      <c r="AY69" s="55">
        <v>0</v>
      </c>
      <c r="AZ69" s="55">
        <v>0</v>
      </c>
      <c r="BA69" s="55">
        <v>0</v>
      </c>
      <c r="BB69" s="55">
        <f t="shared" si="2"/>
        <v>0</v>
      </c>
      <c r="BC69" s="55">
        <f t="shared" si="2"/>
        <v>0</v>
      </c>
      <c r="BD69" s="55">
        <f t="shared" si="2"/>
        <v>0</v>
      </c>
    </row>
    <row r="70" spans="32:56" x14ac:dyDescent="0.35">
      <c r="AF70" s="56">
        <v>42443</v>
      </c>
      <c r="AG70" s="55" t="s">
        <v>366</v>
      </c>
      <c r="AH70" s="55" t="s">
        <v>360</v>
      </c>
      <c r="AY70" s="55">
        <v>0</v>
      </c>
      <c r="AZ70" s="55">
        <v>0</v>
      </c>
      <c r="BA70" s="55">
        <v>0</v>
      </c>
      <c r="BB70" s="55">
        <f t="shared" si="2"/>
        <v>0</v>
      </c>
      <c r="BC70" s="55">
        <f t="shared" si="2"/>
        <v>0</v>
      </c>
      <c r="BD70" s="55">
        <f t="shared" si="2"/>
        <v>0</v>
      </c>
    </row>
    <row r="71" spans="32:56" x14ac:dyDescent="0.35">
      <c r="AF71" s="56">
        <v>42443</v>
      </c>
      <c r="AG71" s="55" t="s">
        <v>342</v>
      </c>
      <c r="AH71" s="55" t="s">
        <v>362</v>
      </c>
      <c r="AY71" s="55">
        <v>0</v>
      </c>
      <c r="AZ71" s="55">
        <v>0</v>
      </c>
      <c r="BA71" s="55">
        <v>0</v>
      </c>
      <c r="BB71" s="55">
        <f t="shared" si="2"/>
        <v>0</v>
      </c>
      <c r="BC71" s="55">
        <f t="shared" si="2"/>
        <v>0</v>
      </c>
      <c r="BD71" s="55">
        <f t="shared" si="2"/>
        <v>0</v>
      </c>
    </row>
    <row r="72" spans="32:56" x14ac:dyDescent="0.35">
      <c r="AF72" s="56">
        <v>42443</v>
      </c>
      <c r="AG72" s="55" t="s">
        <v>367</v>
      </c>
      <c r="AH72" s="55" t="s">
        <v>345</v>
      </c>
      <c r="AY72" s="55">
        <v>0</v>
      </c>
      <c r="AZ72" s="55">
        <v>0</v>
      </c>
      <c r="BA72" s="55">
        <v>0</v>
      </c>
      <c r="BB72" s="55">
        <f t="shared" si="2"/>
        <v>0</v>
      </c>
      <c r="BC72" s="55">
        <f t="shared" si="2"/>
        <v>0</v>
      </c>
      <c r="BD72" s="55">
        <f t="shared" si="2"/>
        <v>0</v>
      </c>
    </row>
    <row r="73" spans="32:56" x14ac:dyDescent="0.35">
      <c r="AF73" s="56">
        <v>42454</v>
      </c>
      <c r="AG73" s="55" t="s">
        <v>346</v>
      </c>
      <c r="AH73" s="55" t="s">
        <v>339</v>
      </c>
      <c r="AY73" s="55">
        <v>0</v>
      </c>
      <c r="AZ73" s="55">
        <v>0</v>
      </c>
      <c r="BA73" s="55">
        <v>0</v>
      </c>
      <c r="BB73" s="55">
        <f t="shared" si="2"/>
        <v>0</v>
      </c>
      <c r="BC73" s="55">
        <f t="shared" si="2"/>
        <v>0</v>
      </c>
      <c r="BD73" s="55">
        <f t="shared" si="2"/>
        <v>0</v>
      </c>
    </row>
    <row r="74" spans="32:56" x14ac:dyDescent="0.35">
      <c r="AF74" s="56">
        <v>42455</v>
      </c>
      <c r="AG74" s="55" t="s">
        <v>347</v>
      </c>
      <c r="AH74" s="55" t="s">
        <v>339</v>
      </c>
      <c r="AY74" s="55">
        <v>0</v>
      </c>
      <c r="AZ74" s="55">
        <v>0</v>
      </c>
      <c r="BA74" s="55">
        <v>0</v>
      </c>
      <c r="BB74" s="55">
        <f t="shared" si="2"/>
        <v>0</v>
      </c>
      <c r="BC74" s="55">
        <f t="shared" si="2"/>
        <v>0</v>
      </c>
      <c r="BD74" s="55">
        <f t="shared" si="2"/>
        <v>0</v>
      </c>
    </row>
    <row r="75" spans="32:56" x14ac:dyDescent="0.35">
      <c r="AF75" s="56">
        <v>42456</v>
      </c>
      <c r="AG75" s="55" t="s">
        <v>348</v>
      </c>
      <c r="AH75" s="55" t="s">
        <v>339</v>
      </c>
      <c r="AY75" s="55">
        <v>0</v>
      </c>
      <c r="AZ75" s="55">
        <v>0</v>
      </c>
      <c r="BA75" s="55">
        <v>0</v>
      </c>
      <c r="BB75" s="55">
        <f t="shared" si="2"/>
        <v>0</v>
      </c>
      <c r="BC75" s="55">
        <f t="shared" si="2"/>
        <v>0</v>
      </c>
      <c r="BD75" s="55">
        <f t="shared" si="2"/>
        <v>0</v>
      </c>
    </row>
    <row r="76" spans="32:56" x14ac:dyDescent="0.35">
      <c r="AF76" s="56">
        <v>42457</v>
      </c>
      <c r="AG76" s="55" t="s">
        <v>349</v>
      </c>
      <c r="AH76" s="55" t="s">
        <v>339</v>
      </c>
      <c r="AY76" s="55">
        <v>0</v>
      </c>
      <c r="AZ76" s="55">
        <v>0</v>
      </c>
      <c r="BA76" s="55">
        <v>0</v>
      </c>
      <c r="BB76" s="55">
        <f t="shared" si="2"/>
        <v>0</v>
      </c>
      <c r="BC76" s="55">
        <f t="shared" si="2"/>
        <v>0</v>
      </c>
      <c r="BD76" s="55">
        <f t="shared" si="2"/>
        <v>0</v>
      </c>
    </row>
    <row r="77" spans="32:56" x14ac:dyDescent="0.35">
      <c r="AF77" s="56">
        <v>42485</v>
      </c>
      <c r="AG77" s="55" t="s">
        <v>350</v>
      </c>
      <c r="AH77" s="55" t="s">
        <v>339</v>
      </c>
      <c r="AY77" s="55">
        <v>0</v>
      </c>
      <c r="AZ77" s="55">
        <v>0</v>
      </c>
      <c r="BA77" s="55">
        <v>0</v>
      </c>
      <c r="BB77" s="55">
        <f t="shared" si="2"/>
        <v>0</v>
      </c>
      <c r="BC77" s="55">
        <f t="shared" si="2"/>
        <v>0</v>
      </c>
      <c r="BD77" s="55">
        <f t="shared" si="2"/>
        <v>0</v>
      </c>
    </row>
    <row r="78" spans="32:56" x14ac:dyDescent="0.35">
      <c r="AF78" s="56">
        <v>42492</v>
      </c>
      <c r="AG78" s="55" t="s">
        <v>342</v>
      </c>
      <c r="AH78" s="55" t="s">
        <v>356</v>
      </c>
      <c r="AY78" s="55">
        <v>0</v>
      </c>
      <c r="AZ78" s="55">
        <v>0</v>
      </c>
      <c r="BA78" s="55">
        <v>0</v>
      </c>
      <c r="BB78" s="55">
        <f t="shared" si="2"/>
        <v>0</v>
      </c>
      <c r="BC78" s="55">
        <f t="shared" si="2"/>
        <v>0</v>
      </c>
      <c r="BD78" s="55">
        <f t="shared" si="2"/>
        <v>0</v>
      </c>
    </row>
    <row r="79" spans="32:56" x14ac:dyDescent="0.35">
      <c r="AF79" s="56">
        <v>42492</v>
      </c>
      <c r="AG79" s="55" t="s">
        <v>351</v>
      </c>
      <c r="AH79" s="55" t="s">
        <v>352</v>
      </c>
      <c r="AY79" s="55">
        <v>0</v>
      </c>
      <c r="AZ79" s="55">
        <v>0</v>
      </c>
      <c r="BA79" s="55">
        <v>0</v>
      </c>
      <c r="BB79" s="55">
        <f t="shared" si="2"/>
        <v>0</v>
      </c>
      <c r="BC79" s="55">
        <f t="shared" si="2"/>
        <v>0</v>
      </c>
      <c r="BD79" s="55">
        <f t="shared" si="2"/>
        <v>0</v>
      </c>
    </row>
    <row r="80" spans="32:56" x14ac:dyDescent="0.35">
      <c r="AF80" s="56">
        <v>42527</v>
      </c>
      <c r="AG80" s="55" t="s">
        <v>353</v>
      </c>
      <c r="AH80" s="55" t="s">
        <v>339</v>
      </c>
      <c r="AY80" s="55">
        <v>0</v>
      </c>
      <c r="AZ80" s="55">
        <v>0</v>
      </c>
      <c r="BA80" s="55">
        <v>0</v>
      </c>
      <c r="BB80" s="55">
        <f t="shared" si="2"/>
        <v>0</v>
      </c>
      <c r="BC80" s="55">
        <f t="shared" si="2"/>
        <v>0</v>
      </c>
      <c r="BD80" s="55">
        <f t="shared" si="2"/>
        <v>0</v>
      </c>
    </row>
    <row r="81" spans="32:56" x14ac:dyDescent="0.35">
      <c r="AF81" s="56">
        <v>42534</v>
      </c>
      <c r="AG81" s="55" t="s">
        <v>354</v>
      </c>
      <c r="AH81" s="55" t="s">
        <v>360</v>
      </c>
      <c r="AY81" s="55">
        <v>0</v>
      </c>
      <c r="AZ81" s="55">
        <v>0</v>
      </c>
      <c r="BA81" s="55">
        <v>0</v>
      </c>
      <c r="BB81" s="55">
        <f t="shared" si="2"/>
        <v>0</v>
      </c>
      <c r="BC81" s="55">
        <f t="shared" si="2"/>
        <v>0</v>
      </c>
      <c r="BD81" s="55">
        <f t="shared" si="2"/>
        <v>0</v>
      </c>
    </row>
    <row r="82" spans="32:56" x14ac:dyDescent="0.35">
      <c r="AF82" s="56">
        <v>42534</v>
      </c>
      <c r="AG82" s="55" t="s">
        <v>354</v>
      </c>
      <c r="AH82" s="55" t="s">
        <v>352</v>
      </c>
      <c r="AY82" s="55">
        <v>0</v>
      </c>
      <c r="AZ82" s="55">
        <v>0</v>
      </c>
      <c r="BA82" s="55">
        <v>0</v>
      </c>
      <c r="BB82" s="55">
        <f t="shared" si="2"/>
        <v>0</v>
      </c>
      <c r="BC82" s="55">
        <f t="shared" si="2"/>
        <v>0</v>
      </c>
      <c r="BD82" s="55">
        <f t="shared" si="2"/>
        <v>0</v>
      </c>
    </row>
    <row r="83" spans="32:56" x14ac:dyDescent="0.35">
      <c r="AF83" s="56">
        <v>42534</v>
      </c>
      <c r="AG83" s="55" t="s">
        <v>354</v>
      </c>
      <c r="AH83" s="55" t="s">
        <v>345</v>
      </c>
      <c r="AY83" s="55">
        <v>0</v>
      </c>
      <c r="AZ83" s="55">
        <v>0</v>
      </c>
      <c r="BA83" s="55">
        <v>0</v>
      </c>
      <c r="BB83" s="55">
        <f t="shared" si="2"/>
        <v>0</v>
      </c>
      <c r="BC83" s="55">
        <f t="shared" si="2"/>
        <v>0</v>
      </c>
      <c r="BD83" s="55">
        <f t="shared" si="2"/>
        <v>0</v>
      </c>
    </row>
    <row r="84" spans="32:56" x14ac:dyDescent="0.35">
      <c r="AF84" s="56">
        <v>42534</v>
      </c>
      <c r="AG84" s="55" t="s">
        <v>354</v>
      </c>
      <c r="AH84" s="55" t="s">
        <v>362</v>
      </c>
      <c r="AY84" s="55">
        <v>0</v>
      </c>
      <c r="AZ84" s="55">
        <v>0</v>
      </c>
      <c r="BA84" s="55">
        <v>0</v>
      </c>
      <c r="BB84" s="55">
        <f t="shared" si="2"/>
        <v>0</v>
      </c>
      <c r="BC84" s="55">
        <f t="shared" si="2"/>
        <v>0</v>
      </c>
      <c r="BD84" s="55">
        <f t="shared" si="2"/>
        <v>0</v>
      </c>
    </row>
    <row r="85" spans="32:56" x14ac:dyDescent="0.35">
      <c r="AF85" s="56">
        <v>42573</v>
      </c>
      <c r="AG85" s="55" t="s">
        <v>357</v>
      </c>
      <c r="AH85" s="55" t="s">
        <v>352</v>
      </c>
      <c r="AY85" s="55">
        <v>0</v>
      </c>
      <c r="AZ85" s="55">
        <v>0</v>
      </c>
      <c r="BA85" s="55">
        <v>0</v>
      </c>
      <c r="BB85" s="55">
        <f t="shared" si="2"/>
        <v>0</v>
      </c>
      <c r="BC85" s="55">
        <f t="shared" si="2"/>
        <v>0</v>
      </c>
      <c r="BD85" s="55">
        <f t="shared" si="2"/>
        <v>0</v>
      </c>
    </row>
    <row r="86" spans="32:56" x14ac:dyDescent="0.35">
      <c r="AF86" s="56">
        <v>42583</v>
      </c>
      <c r="AG86" s="55" t="s">
        <v>358</v>
      </c>
      <c r="AH86" s="55" t="s">
        <v>352</v>
      </c>
      <c r="AY86" s="55">
        <v>0</v>
      </c>
      <c r="AZ86" s="55">
        <v>0</v>
      </c>
      <c r="BA86" s="55">
        <v>0</v>
      </c>
      <c r="BB86" s="55">
        <f t="shared" si="2"/>
        <v>0</v>
      </c>
      <c r="BC86" s="55">
        <f t="shared" si="2"/>
        <v>0</v>
      </c>
      <c r="BD86" s="55">
        <f t="shared" si="2"/>
        <v>0</v>
      </c>
    </row>
    <row r="87" spans="32:56" x14ac:dyDescent="0.35">
      <c r="AF87" s="56">
        <v>42639</v>
      </c>
      <c r="AG87" s="55" t="s">
        <v>359</v>
      </c>
      <c r="AH87" s="55" t="s">
        <v>360</v>
      </c>
      <c r="AY87" s="55">
        <v>0</v>
      </c>
      <c r="AZ87" s="55">
        <v>0</v>
      </c>
      <c r="BA87" s="55">
        <v>0</v>
      </c>
      <c r="BB87" s="55">
        <f t="shared" si="2"/>
        <v>0</v>
      </c>
      <c r="BC87" s="55">
        <f t="shared" si="2"/>
        <v>0</v>
      </c>
      <c r="BD87" s="55">
        <f t="shared" si="2"/>
        <v>0</v>
      </c>
    </row>
    <row r="88" spans="32:56" x14ac:dyDescent="0.35">
      <c r="AF88" s="56">
        <v>42639</v>
      </c>
      <c r="AG88" s="55" t="s">
        <v>354</v>
      </c>
      <c r="AH88" s="55" t="s">
        <v>343</v>
      </c>
      <c r="AY88" s="55">
        <v>0</v>
      </c>
      <c r="AZ88" s="55">
        <v>0</v>
      </c>
      <c r="BA88" s="55">
        <v>0</v>
      </c>
      <c r="BB88" s="55">
        <f t="shared" si="2"/>
        <v>0</v>
      </c>
      <c r="BC88" s="55">
        <f t="shared" si="2"/>
        <v>0</v>
      </c>
      <c r="BD88" s="55">
        <f t="shared" si="2"/>
        <v>0</v>
      </c>
    </row>
    <row r="89" spans="32:56" x14ac:dyDescent="0.35">
      <c r="AF89" s="56">
        <v>42643</v>
      </c>
      <c r="AG89" s="55" t="s">
        <v>370</v>
      </c>
      <c r="AH89" s="55" t="s">
        <v>362</v>
      </c>
      <c r="AY89" s="55">
        <v>0</v>
      </c>
      <c r="AZ89" s="55">
        <v>0</v>
      </c>
      <c r="BA89" s="55">
        <v>0</v>
      </c>
      <c r="BB89" s="55">
        <f t="shared" si="2"/>
        <v>0</v>
      </c>
      <c r="BC89" s="55">
        <f t="shared" si="2"/>
        <v>0</v>
      </c>
      <c r="BD89" s="55">
        <f t="shared" si="2"/>
        <v>0</v>
      </c>
    </row>
    <row r="90" spans="32:56" x14ac:dyDescent="0.35">
      <c r="AF90" s="56">
        <v>42646</v>
      </c>
      <c r="AG90" s="55" t="s">
        <v>342</v>
      </c>
      <c r="AH90" s="55" t="s">
        <v>360</v>
      </c>
      <c r="AY90" s="55">
        <v>0</v>
      </c>
      <c r="AZ90" s="55">
        <v>0</v>
      </c>
      <c r="BA90" s="55">
        <v>0</v>
      </c>
      <c r="BB90" s="55">
        <f t="shared" si="2"/>
        <v>0</v>
      </c>
      <c r="BC90" s="55">
        <f t="shared" si="2"/>
        <v>0</v>
      </c>
      <c r="BD90" s="55">
        <f t="shared" si="2"/>
        <v>0</v>
      </c>
    </row>
    <row r="91" spans="32:56" x14ac:dyDescent="0.35">
      <c r="AF91" s="56">
        <v>42646</v>
      </c>
      <c r="AG91" s="55" t="s">
        <v>342</v>
      </c>
      <c r="AH91" s="55" t="s">
        <v>355</v>
      </c>
      <c r="AY91" s="55">
        <v>0</v>
      </c>
      <c r="AZ91" s="55">
        <v>0</v>
      </c>
      <c r="BA91" s="55">
        <v>0</v>
      </c>
      <c r="BB91" s="55">
        <f t="shared" si="2"/>
        <v>0</v>
      </c>
      <c r="BC91" s="55">
        <f t="shared" si="2"/>
        <v>0</v>
      </c>
      <c r="BD91" s="55">
        <f t="shared" si="2"/>
        <v>0</v>
      </c>
    </row>
    <row r="92" spans="32:56" x14ac:dyDescent="0.35">
      <c r="AF92" s="56">
        <v>42646</v>
      </c>
      <c r="AG92" s="55" t="s">
        <v>342</v>
      </c>
      <c r="AH92" s="55" t="s">
        <v>345</v>
      </c>
      <c r="AY92" s="55">
        <v>0</v>
      </c>
      <c r="AZ92" s="55">
        <v>0</v>
      </c>
      <c r="BA92" s="55">
        <v>0</v>
      </c>
      <c r="BB92" s="55">
        <f t="shared" si="2"/>
        <v>0</v>
      </c>
      <c r="BC92" s="55">
        <f t="shared" si="2"/>
        <v>0</v>
      </c>
      <c r="BD92" s="55">
        <f t="shared" si="2"/>
        <v>0</v>
      </c>
    </row>
    <row r="93" spans="32:56" x14ac:dyDescent="0.35">
      <c r="AF93" s="56">
        <v>42646</v>
      </c>
      <c r="AG93" s="55" t="s">
        <v>354</v>
      </c>
      <c r="AH93" s="55" t="s">
        <v>356</v>
      </c>
      <c r="AY93" s="55">
        <v>0</v>
      </c>
      <c r="AZ93" s="55">
        <v>0</v>
      </c>
      <c r="BA93" s="55">
        <v>0</v>
      </c>
      <c r="BB93" s="55">
        <f t="shared" si="2"/>
        <v>0</v>
      </c>
      <c r="BC93" s="55">
        <f t="shared" si="2"/>
        <v>0</v>
      </c>
      <c r="BD93" s="55">
        <f t="shared" si="2"/>
        <v>0</v>
      </c>
    </row>
    <row r="94" spans="32:56" x14ac:dyDescent="0.35">
      <c r="AF94" s="56">
        <v>42675</v>
      </c>
      <c r="AG94" s="55" t="s">
        <v>361</v>
      </c>
      <c r="AH94" s="55" t="s">
        <v>362</v>
      </c>
      <c r="AY94" s="55">
        <v>0</v>
      </c>
      <c r="AZ94" s="55">
        <v>0</v>
      </c>
      <c r="BA94" s="55">
        <v>0</v>
      </c>
      <c r="BB94" s="55">
        <f t="shared" si="2"/>
        <v>0</v>
      </c>
      <c r="BC94" s="55">
        <f t="shared" si="2"/>
        <v>0</v>
      </c>
      <c r="BD94" s="55">
        <f t="shared" si="2"/>
        <v>0</v>
      </c>
    </row>
    <row r="95" spans="32:56" x14ac:dyDescent="0.35">
      <c r="AF95" s="56">
        <v>42729</v>
      </c>
      <c r="AG95" s="55" t="s">
        <v>364</v>
      </c>
      <c r="AH95" s="55" t="s">
        <v>339</v>
      </c>
      <c r="AY95" s="55">
        <v>0</v>
      </c>
      <c r="AZ95" s="55">
        <v>0</v>
      </c>
      <c r="BA95" s="55">
        <v>0</v>
      </c>
      <c r="BB95" s="55">
        <f t="shared" si="2"/>
        <v>0</v>
      </c>
      <c r="BC95" s="55">
        <f t="shared" si="2"/>
        <v>0</v>
      </c>
      <c r="BD95" s="55">
        <f t="shared" si="2"/>
        <v>0</v>
      </c>
    </row>
    <row r="96" spans="32:56" x14ac:dyDescent="0.35">
      <c r="AF96" s="56">
        <v>42730</v>
      </c>
      <c r="AG96" s="55" t="s">
        <v>365</v>
      </c>
      <c r="AH96" s="55" t="s">
        <v>339</v>
      </c>
      <c r="AY96" s="55">
        <v>0</v>
      </c>
      <c r="AZ96" s="55">
        <v>0</v>
      </c>
      <c r="BA96" s="55">
        <v>0</v>
      </c>
      <c r="BB96" s="55">
        <f t="shared" si="2"/>
        <v>0</v>
      </c>
      <c r="BC96" s="55">
        <f t="shared" si="2"/>
        <v>0</v>
      </c>
      <c r="BD96" s="55">
        <f t="shared" si="2"/>
        <v>0</v>
      </c>
    </row>
    <row r="97" spans="32:56" x14ac:dyDescent="0.35">
      <c r="AF97" s="56">
        <v>42730</v>
      </c>
      <c r="AG97" s="55" t="s">
        <v>364</v>
      </c>
      <c r="AH97" s="55" t="s">
        <v>339</v>
      </c>
      <c r="AY97" s="55">
        <v>0</v>
      </c>
      <c r="AZ97" s="55">
        <v>0</v>
      </c>
      <c r="BA97" s="55">
        <v>0</v>
      </c>
      <c r="BB97" s="55">
        <f t="shared" si="2"/>
        <v>0</v>
      </c>
      <c r="BC97" s="55">
        <f t="shared" si="2"/>
        <v>0</v>
      </c>
      <c r="BD97" s="55">
        <f t="shared" si="2"/>
        <v>0</v>
      </c>
    </row>
    <row r="98" spans="32:56" x14ac:dyDescent="0.35">
      <c r="AF98" s="56">
        <v>42731</v>
      </c>
      <c r="AG98" s="55" t="s">
        <v>365</v>
      </c>
      <c r="AH98" s="55" t="s">
        <v>339</v>
      </c>
      <c r="AY98" s="55">
        <v>0</v>
      </c>
      <c r="AZ98" s="55">
        <v>0</v>
      </c>
      <c r="BA98" s="55">
        <v>0</v>
      </c>
      <c r="BB98" s="55">
        <f t="shared" ref="BB98:BD129" si="3">AY98</f>
        <v>0</v>
      </c>
      <c r="BC98" s="55">
        <f t="shared" si="3"/>
        <v>0</v>
      </c>
      <c r="BD98" s="55">
        <f t="shared" si="3"/>
        <v>0</v>
      </c>
    </row>
    <row r="99" spans="32:56" x14ac:dyDescent="0.35">
      <c r="AF99" s="56">
        <v>42731</v>
      </c>
      <c r="AG99" s="55" t="s">
        <v>364</v>
      </c>
      <c r="AH99" s="55" t="s">
        <v>339</v>
      </c>
      <c r="AY99" s="55">
        <v>0</v>
      </c>
      <c r="AZ99" s="55">
        <v>0</v>
      </c>
      <c r="BA99" s="55">
        <v>0</v>
      </c>
      <c r="BB99" s="55">
        <f t="shared" si="3"/>
        <v>0</v>
      </c>
      <c r="BC99" s="55">
        <f t="shared" si="3"/>
        <v>0</v>
      </c>
      <c r="BD99" s="55">
        <f t="shared" si="3"/>
        <v>0</v>
      </c>
    </row>
    <row r="100" spans="32:56" x14ac:dyDescent="0.35">
      <c r="AF100" s="56">
        <v>42731</v>
      </c>
      <c r="AG100" s="55" t="s">
        <v>369</v>
      </c>
      <c r="AH100" s="55" t="s">
        <v>345</v>
      </c>
      <c r="AY100" s="55">
        <v>0</v>
      </c>
      <c r="AZ100" s="55">
        <v>0</v>
      </c>
      <c r="BA100" s="55">
        <v>0</v>
      </c>
      <c r="BB100" s="55">
        <f t="shared" si="3"/>
        <v>0</v>
      </c>
      <c r="BC100" s="55">
        <f t="shared" si="3"/>
        <v>0</v>
      </c>
      <c r="BD100" s="55">
        <f t="shared" si="3"/>
        <v>0</v>
      </c>
    </row>
    <row r="101" spans="32:56" x14ac:dyDescent="0.35">
      <c r="AF101" s="56">
        <v>42736</v>
      </c>
      <c r="AG101" s="55" t="s">
        <v>338</v>
      </c>
      <c r="AH101" s="55" t="s">
        <v>339</v>
      </c>
      <c r="AY101" s="55">
        <v>0</v>
      </c>
      <c r="AZ101" s="55">
        <v>0</v>
      </c>
      <c r="BA101" s="55">
        <v>0</v>
      </c>
      <c r="BB101" s="55">
        <f t="shared" si="3"/>
        <v>0</v>
      </c>
      <c r="BC101" s="55">
        <f t="shared" si="3"/>
        <v>0</v>
      </c>
      <c r="BD101" s="55">
        <f t="shared" si="3"/>
        <v>0</v>
      </c>
    </row>
    <row r="102" spans="32:56" x14ac:dyDescent="0.35">
      <c r="AF102" s="56">
        <v>42737</v>
      </c>
      <c r="AG102" s="55" t="s">
        <v>338</v>
      </c>
      <c r="AH102" s="55" t="s">
        <v>339</v>
      </c>
      <c r="AY102" s="55">
        <v>0</v>
      </c>
      <c r="AZ102" s="55">
        <v>0</v>
      </c>
      <c r="BA102" s="55">
        <v>0</v>
      </c>
      <c r="BB102" s="55">
        <f t="shared" si="3"/>
        <v>0</v>
      </c>
      <c r="BC102" s="55">
        <f t="shared" si="3"/>
        <v>0</v>
      </c>
      <c r="BD102" s="55">
        <f t="shared" si="3"/>
        <v>0</v>
      </c>
    </row>
    <row r="103" spans="32:56" x14ac:dyDescent="0.35">
      <c r="AF103" s="56">
        <v>42761</v>
      </c>
      <c r="AG103" s="55" t="s">
        <v>341</v>
      </c>
      <c r="AH103" s="55" t="s">
        <v>339</v>
      </c>
      <c r="AY103" s="55">
        <v>0</v>
      </c>
      <c r="AZ103" s="55">
        <v>0</v>
      </c>
      <c r="BA103" s="55">
        <v>0</v>
      </c>
      <c r="BB103" s="55">
        <f t="shared" si="3"/>
        <v>0</v>
      </c>
      <c r="BC103" s="55">
        <f t="shared" si="3"/>
        <v>0</v>
      </c>
      <c r="BD103" s="55">
        <f t="shared" si="3"/>
        <v>0</v>
      </c>
    </row>
    <row r="104" spans="32:56" x14ac:dyDescent="0.35">
      <c r="AF104" s="56">
        <v>42800</v>
      </c>
      <c r="AG104" s="55" t="s">
        <v>342</v>
      </c>
      <c r="AH104" s="55" t="s">
        <v>343</v>
      </c>
      <c r="AY104" s="55">
        <v>0</v>
      </c>
      <c r="AZ104" s="55">
        <v>0</v>
      </c>
      <c r="BA104" s="55">
        <v>0</v>
      </c>
      <c r="BB104" s="55">
        <f t="shared" si="3"/>
        <v>0</v>
      </c>
      <c r="BC104" s="55">
        <f t="shared" si="3"/>
        <v>0</v>
      </c>
      <c r="BD104" s="55">
        <f t="shared" si="3"/>
        <v>0</v>
      </c>
    </row>
    <row r="105" spans="32:56" x14ac:dyDescent="0.35">
      <c r="AF105" s="56">
        <v>42807</v>
      </c>
      <c r="AG105" s="55" t="s">
        <v>366</v>
      </c>
      <c r="AH105" s="55" t="s">
        <v>360</v>
      </c>
      <c r="AY105" s="55">
        <v>0</v>
      </c>
      <c r="AZ105" s="55">
        <v>0</v>
      </c>
      <c r="BA105" s="55">
        <v>0</v>
      </c>
      <c r="BB105" s="55">
        <f t="shared" si="3"/>
        <v>0</v>
      </c>
      <c r="BC105" s="55">
        <f t="shared" si="3"/>
        <v>0</v>
      </c>
      <c r="BD105" s="55">
        <f t="shared" si="3"/>
        <v>0</v>
      </c>
    </row>
    <row r="106" spans="32:56" x14ac:dyDescent="0.35">
      <c r="AF106" s="56">
        <v>42807</v>
      </c>
      <c r="AG106" s="55" t="s">
        <v>342</v>
      </c>
      <c r="AH106" s="55" t="s">
        <v>362</v>
      </c>
      <c r="AY106" s="55">
        <v>0</v>
      </c>
      <c r="AZ106" s="55">
        <v>0</v>
      </c>
      <c r="BA106" s="55">
        <v>0</v>
      </c>
      <c r="BB106" s="55">
        <f t="shared" si="3"/>
        <v>0</v>
      </c>
      <c r="BC106" s="55">
        <f t="shared" si="3"/>
        <v>0</v>
      </c>
      <c r="BD106" s="55">
        <f t="shared" si="3"/>
        <v>0</v>
      </c>
    </row>
    <row r="107" spans="32:56" x14ac:dyDescent="0.35">
      <c r="AF107" s="56">
        <v>42807</v>
      </c>
      <c r="AG107" s="55" t="s">
        <v>367</v>
      </c>
      <c r="AH107" s="55" t="s">
        <v>345</v>
      </c>
      <c r="AY107" s="55">
        <v>0</v>
      </c>
      <c r="AZ107" s="55">
        <v>0</v>
      </c>
      <c r="BA107" s="55">
        <v>0</v>
      </c>
      <c r="BB107" s="55">
        <f t="shared" si="3"/>
        <v>0</v>
      </c>
      <c r="BC107" s="55">
        <f t="shared" si="3"/>
        <v>0</v>
      </c>
      <c r="BD107" s="55">
        <f t="shared" si="3"/>
        <v>0</v>
      </c>
    </row>
    <row r="108" spans="32:56" x14ac:dyDescent="0.35">
      <c r="AF108" s="56">
        <v>42839</v>
      </c>
      <c r="AG108" s="55" t="s">
        <v>346</v>
      </c>
      <c r="AH108" s="55" t="s">
        <v>339</v>
      </c>
      <c r="AY108" s="55">
        <v>0</v>
      </c>
      <c r="AZ108" s="55">
        <v>0</v>
      </c>
      <c r="BA108" s="55">
        <v>0</v>
      </c>
      <c r="BB108" s="55">
        <f t="shared" si="3"/>
        <v>0</v>
      </c>
      <c r="BC108" s="55">
        <f t="shared" si="3"/>
        <v>0</v>
      </c>
      <c r="BD108" s="55">
        <f t="shared" si="3"/>
        <v>0</v>
      </c>
    </row>
    <row r="109" spans="32:56" x14ac:dyDescent="0.35">
      <c r="AF109" s="56">
        <v>42840</v>
      </c>
      <c r="AG109" s="55" t="s">
        <v>347</v>
      </c>
      <c r="AH109" s="55" t="s">
        <v>339</v>
      </c>
      <c r="AY109" s="55">
        <v>0</v>
      </c>
      <c r="AZ109" s="55">
        <v>0</v>
      </c>
      <c r="BA109" s="55">
        <v>0</v>
      </c>
      <c r="BB109" s="55">
        <f t="shared" si="3"/>
        <v>0</v>
      </c>
      <c r="BC109" s="55">
        <f t="shared" si="3"/>
        <v>0</v>
      </c>
      <c r="BD109" s="55">
        <f t="shared" si="3"/>
        <v>0</v>
      </c>
    </row>
    <row r="110" spans="32:56" x14ac:dyDescent="0.35">
      <c r="AF110" s="56">
        <v>42841</v>
      </c>
      <c r="AG110" s="55" t="s">
        <v>348</v>
      </c>
      <c r="AH110" s="55" t="s">
        <v>339</v>
      </c>
      <c r="AY110" s="55">
        <v>0</v>
      </c>
      <c r="AZ110" s="55">
        <v>0</v>
      </c>
      <c r="BA110" s="55">
        <v>0</v>
      </c>
      <c r="BB110" s="55">
        <f t="shared" si="3"/>
        <v>0</v>
      </c>
      <c r="BC110" s="55">
        <f t="shared" si="3"/>
        <v>0</v>
      </c>
      <c r="BD110" s="55">
        <f t="shared" si="3"/>
        <v>0</v>
      </c>
    </row>
    <row r="111" spans="32:56" x14ac:dyDescent="0.35">
      <c r="AF111" s="56">
        <v>42842</v>
      </c>
      <c r="AG111" s="55" t="s">
        <v>349</v>
      </c>
      <c r="AH111" s="55" t="s">
        <v>339</v>
      </c>
      <c r="AY111" s="55">
        <v>0</v>
      </c>
      <c r="AZ111" s="55">
        <v>0</v>
      </c>
      <c r="BA111" s="55">
        <v>0</v>
      </c>
      <c r="BB111" s="55">
        <f t="shared" si="3"/>
        <v>0</v>
      </c>
      <c r="BC111" s="55">
        <f t="shared" si="3"/>
        <v>0</v>
      </c>
      <c r="BD111" s="55">
        <f t="shared" si="3"/>
        <v>0</v>
      </c>
    </row>
    <row r="112" spans="32:56" x14ac:dyDescent="0.35">
      <c r="AF112" s="56">
        <v>42850</v>
      </c>
      <c r="AG112" s="55" t="s">
        <v>350</v>
      </c>
      <c r="AH112" s="55" t="s">
        <v>339</v>
      </c>
      <c r="AY112" s="55">
        <v>0</v>
      </c>
      <c r="AZ112" s="55">
        <v>0</v>
      </c>
      <c r="BA112" s="55">
        <v>0</v>
      </c>
      <c r="BB112" s="55">
        <f t="shared" si="3"/>
        <v>0</v>
      </c>
      <c r="BC112" s="55">
        <f t="shared" si="3"/>
        <v>0</v>
      </c>
      <c r="BD112" s="55">
        <f t="shared" si="3"/>
        <v>0</v>
      </c>
    </row>
    <row r="113" spans="32:56" x14ac:dyDescent="0.35">
      <c r="AF113" s="56">
        <v>42856</v>
      </c>
      <c r="AG113" s="55" t="s">
        <v>342</v>
      </c>
      <c r="AH113" s="55" t="s">
        <v>356</v>
      </c>
      <c r="AY113" s="55">
        <v>0</v>
      </c>
      <c r="AZ113" s="55">
        <v>0</v>
      </c>
      <c r="BA113" s="55">
        <v>0</v>
      </c>
      <c r="BB113" s="55">
        <f t="shared" si="3"/>
        <v>0</v>
      </c>
      <c r="BC113" s="55">
        <f t="shared" si="3"/>
        <v>0</v>
      </c>
      <c r="BD113" s="55">
        <f t="shared" si="3"/>
        <v>0</v>
      </c>
    </row>
    <row r="114" spans="32:56" x14ac:dyDescent="0.35">
      <c r="AF114" s="56">
        <v>42856</v>
      </c>
      <c r="AG114" s="55" t="s">
        <v>351</v>
      </c>
      <c r="AH114" s="55" t="s">
        <v>352</v>
      </c>
      <c r="AY114" s="55">
        <v>0</v>
      </c>
      <c r="AZ114" s="55">
        <v>0</v>
      </c>
      <c r="BA114" s="55">
        <v>0</v>
      </c>
      <c r="BB114" s="55">
        <f t="shared" si="3"/>
        <v>0</v>
      </c>
      <c r="BC114" s="55">
        <f t="shared" si="3"/>
        <v>0</v>
      </c>
      <c r="BD114" s="55">
        <f t="shared" si="3"/>
        <v>0</v>
      </c>
    </row>
    <row r="115" spans="32:56" x14ac:dyDescent="0.35">
      <c r="AF115" s="56">
        <v>42891</v>
      </c>
      <c r="AG115" s="55" t="s">
        <v>353</v>
      </c>
      <c r="AH115" s="55" t="s">
        <v>339</v>
      </c>
      <c r="AY115" s="55">
        <v>0</v>
      </c>
      <c r="AZ115" s="55">
        <v>0</v>
      </c>
      <c r="BA115" s="55">
        <v>0</v>
      </c>
      <c r="BB115" s="55">
        <f t="shared" si="3"/>
        <v>0</v>
      </c>
      <c r="BC115" s="55">
        <f t="shared" si="3"/>
        <v>0</v>
      </c>
      <c r="BD115" s="55">
        <f t="shared" si="3"/>
        <v>0</v>
      </c>
    </row>
    <row r="116" spans="32:56" x14ac:dyDescent="0.35">
      <c r="AF116" s="56">
        <v>42898</v>
      </c>
      <c r="AG116" s="55" t="s">
        <v>354</v>
      </c>
      <c r="AH116" s="55" t="s">
        <v>360</v>
      </c>
      <c r="AY116" s="55">
        <v>0</v>
      </c>
      <c r="AZ116" s="55">
        <v>0</v>
      </c>
      <c r="BA116" s="55">
        <v>0</v>
      </c>
      <c r="BB116" s="55">
        <f t="shared" si="3"/>
        <v>0</v>
      </c>
      <c r="BC116" s="55">
        <f t="shared" si="3"/>
        <v>0</v>
      </c>
      <c r="BD116" s="55">
        <f t="shared" si="3"/>
        <v>0</v>
      </c>
    </row>
    <row r="117" spans="32:56" x14ac:dyDescent="0.35">
      <c r="AF117" s="56">
        <v>42898</v>
      </c>
      <c r="AG117" s="55" t="s">
        <v>354</v>
      </c>
      <c r="AH117" s="55" t="s">
        <v>355</v>
      </c>
      <c r="AY117" s="55">
        <v>0</v>
      </c>
      <c r="AZ117" s="55">
        <v>0</v>
      </c>
      <c r="BA117" s="55">
        <v>0</v>
      </c>
      <c r="BB117" s="55">
        <f t="shared" si="3"/>
        <v>0</v>
      </c>
      <c r="BC117" s="55">
        <f t="shared" si="3"/>
        <v>0</v>
      </c>
      <c r="BD117" s="55">
        <f t="shared" si="3"/>
        <v>0</v>
      </c>
    </row>
    <row r="118" spans="32:56" x14ac:dyDescent="0.35">
      <c r="AF118" s="56">
        <v>42898</v>
      </c>
      <c r="AG118" s="55" t="s">
        <v>354</v>
      </c>
      <c r="AH118" s="55" t="s">
        <v>352</v>
      </c>
      <c r="AY118" s="55">
        <v>0</v>
      </c>
      <c r="AZ118" s="55">
        <v>0</v>
      </c>
      <c r="BA118" s="55">
        <v>0</v>
      </c>
      <c r="BB118" s="55">
        <f t="shared" si="3"/>
        <v>0</v>
      </c>
      <c r="BC118" s="55">
        <f t="shared" si="3"/>
        <v>0</v>
      </c>
      <c r="BD118" s="55">
        <f t="shared" si="3"/>
        <v>0</v>
      </c>
    </row>
    <row r="119" spans="32:56" x14ac:dyDescent="0.35">
      <c r="AF119" s="56">
        <v>42898</v>
      </c>
      <c r="AG119" s="55" t="s">
        <v>354</v>
      </c>
      <c r="AH119" s="55" t="s">
        <v>345</v>
      </c>
      <c r="AY119" s="55">
        <v>0</v>
      </c>
      <c r="AZ119" s="55">
        <v>0</v>
      </c>
      <c r="BA119" s="55">
        <v>0</v>
      </c>
      <c r="BB119" s="55">
        <f t="shared" si="3"/>
        <v>0</v>
      </c>
      <c r="BC119" s="55">
        <f t="shared" si="3"/>
        <v>0</v>
      </c>
      <c r="BD119" s="55">
        <f t="shared" si="3"/>
        <v>0</v>
      </c>
    </row>
    <row r="120" spans="32:56" x14ac:dyDescent="0.35">
      <c r="AF120" s="56">
        <v>42898</v>
      </c>
      <c r="AG120" s="55" t="s">
        <v>354</v>
      </c>
      <c r="AH120" s="55" t="s">
        <v>362</v>
      </c>
      <c r="AY120" s="55">
        <v>0</v>
      </c>
      <c r="AZ120" s="55">
        <v>0</v>
      </c>
      <c r="BA120" s="55">
        <v>0</v>
      </c>
      <c r="BB120" s="55">
        <f t="shared" si="3"/>
        <v>0</v>
      </c>
      <c r="BC120" s="55">
        <f t="shared" si="3"/>
        <v>0</v>
      </c>
      <c r="BD120" s="55">
        <f t="shared" si="3"/>
        <v>0</v>
      </c>
    </row>
    <row r="121" spans="32:56" x14ac:dyDescent="0.35">
      <c r="AF121" s="56">
        <v>42944</v>
      </c>
      <c r="AG121" s="55" t="s">
        <v>357</v>
      </c>
      <c r="AH121" s="55" t="s">
        <v>352</v>
      </c>
      <c r="AY121" s="55">
        <v>0</v>
      </c>
      <c r="AZ121" s="55">
        <v>0</v>
      </c>
      <c r="BA121" s="55">
        <v>0</v>
      </c>
      <c r="BB121" s="55">
        <f t="shared" si="3"/>
        <v>0</v>
      </c>
      <c r="BC121" s="55">
        <f t="shared" si="3"/>
        <v>0</v>
      </c>
      <c r="BD121" s="55">
        <f t="shared" si="3"/>
        <v>0</v>
      </c>
    </row>
    <row r="122" spans="32:56" x14ac:dyDescent="0.35">
      <c r="AF122" s="56">
        <v>42954</v>
      </c>
      <c r="AG122" s="55" t="s">
        <v>358</v>
      </c>
      <c r="AH122" s="55" t="s">
        <v>352</v>
      </c>
      <c r="AY122" s="55">
        <v>0</v>
      </c>
      <c r="AZ122" s="55">
        <v>0</v>
      </c>
      <c r="BA122" s="55">
        <v>0</v>
      </c>
      <c r="BB122" s="55">
        <f t="shared" si="3"/>
        <v>0</v>
      </c>
      <c r="BC122" s="55">
        <f t="shared" si="3"/>
        <v>0</v>
      </c>
      <c r="BD122" s="55">
        <f t="shared" si="3"/>
        <v>0</v>
      </c>
    </row>
    <row r="123" spans="32:56" x14ac:dyDescent="0.35">
      <c r="AF123" s="56">
        <v>43003</v>
      </c>
      <c r="AG123" s="55" t="s">
        <v>359</v>
      </c>
      <c r="AH123" s="55" t="s">
        <v>360</v>
      </c>
      <c r="AY123" s="55">
        <v>0</v>
      </c>
      <c r="AZ123" s="55">
        <v>0</v>
      </c>
      <c r="BA123" s="55">
        <v>0</v>
      </c>
      <c r="BB123" s="55">
        <f t="shared" si="3"/>
        <v>0</v>
      </c>
      <c r="BC123" s="55">
        <f t="shared" si="3"/>
        <v>0</v>
      </c>
      <c r="BD123" s="55">
        <f t="shared" si="3"/>
        <v>0</v>
      </c>
    </row>
    <row r="124" spans="32:56" x14ac:dyDescent="0.35">
      <c r="AF124" s="56">
        <v>43003</v>
      </c>
      <c r="AG124" s="55" t="s">
        <v>354</v>
      </c>
      <c r="AH124" s="55" t="s">
        <v>343</v>
      </c>
      <c r="AY124" s="55">
        <v>0</v>
      </c>
      <c r="AZ124" s="55">
        <v>0</v>
      </c>
      <c r="BA124" s="55">
        <v>0</v>
      </c>
      <c r="BB124" s="55">
        <f t="shared" si="3"/>
        <v>0</v>
      </c>
      <c r="BC124" s="55">
        <f t="shared" si="3"/>
        <v>0</v>
      </c>
      <c r="BD124" s="55">
        <f t="shared" si="3"/>
        <v>0</v>
      </c>
    </row>
    <row r="125" spans="32:56" x14ac:dyDescent="0.35">
      <c r="AF125" s="56">
        <v>43010</v>
      </c>
      <c r="AG125" s="55" t="s">
        <v>342</v>
      </c>
      <c r="AH125" s="55" t="s">
        <v>360</v>
      </c>
      <c r="AY125" s="55">
        <v>0</v>
      </c>
      <c r="AZ125" s="55">
        <v>0</v>
      </c>
      <c r="BA125" s="55">
        <v>0</v>
      </c>
      <c r="BB125" s="55">
        <f t="shared" si="3"/>
        <v>0</v>
      </c>
      <c r="BC125" s="55">
        <f t="shared" si="3"/>
        <v>0</v>
      </c>
      <c r="BD125" s="55">
        <f t="shared" si="3"/>
        <v>0</v>
      </c>
    </row>
    <row r="126" spans="32:56" x14ac:dyDescent="0.35">
      <c r="AF126" s="56">
        <v>43010</v>
      </c>
      <c r="AG126" s="55" t="s">
        <v>342</v>
      </c>
      <c r="AH126" s="55" t="s">
        <v>355</v>
      </c>
      <c r="AY126" s="55">
        <v>0</v>
      </c>
      <c r="AZ126" s="55">
        <v>0</v>
      </c>
      <c r="BA126" s="55">
        <v>0</v>
      </c>
      <c r="BB126" s="55">
        <f t="shared" si="3"/>
        <v>0</v>
      </c>
      <c r="BC126" s="55">
        <f t="shared" si="3"/>
        <v>0</v>
      </c>
      <c r="BD126" s="55">
        <f t="shared" si="3"/>
        <v>0</v>
      </c>
    </row>
    <row r="127" spans="32:56" x14ac:dyDescent="0.35">
      <c r="AF127" s="56">
        <v>43010</v>
      </c>
      <c r="AG127" s="55" t="s">
        <v>342</v>
      </c>
      <c r="AH127" s="55" t="s">
        <v>345</v>
      </c>
      <c r="AY127" s="55">
        <v>0</v>
      </c>
      <c r="AZ127" s="55">
        <v>0</v>
      </c>
      <c r="BA127" s="55">
        <v>0</v>
      </c>
      <c r="BB127" s="55">
        <f t="shared" si="3"/>
        <v>0</v>
      </c>
      <c r="BC127" s="55">
        <f t="shared" si="3"/>
        <v>0</v>
      </c>
      <c r="BD127" s="55">
        <f t="shared" si="3"/>
        <v>0</v>
      </c>
    </row>
    <row r="128" spans="32:56" x14ac:dyDescent="0.35">
      <c r="AF128" s="56">
        <v>43010</v>
      </c>
      <c r="AG128" s="55" t="s">
        <v>354</v>
      </c>
      <c r="AH128" s="55" t="s">
        <v>356</v>
      </c>
      <c r="AY128" s="55">
        <v>0</v>
      </c>
      <c r="AZ128" s="55">
        <v>0</v>
      </c>
      <c r="BA128" s="55">
        <v>0</v>
      </c>
      <c r="BB128" s="55">
        <f t="shared" si="3"/>
        <v>0</v>
      </c>
      <c r="BC128" s="55">
        <f t="shared" si="3"/>
        <v>0</v>
      </c>
      <c r="BD128" s="55">
        <f t="shared" si="3"/>
        <v>0</v>
      </c>
    </row>
    <row r="129" spans="32:56" x14ac:dyDescent="0.35">
      <c r="AF129" s="56">
        <v>43046</v>
      </c>
      <c r="AG129" s="55" t="s">
        <v>361</v>
      </c>
      <c r="AH129" s="55" t="s">
        <v>362</v>
      </c>
      <c r="AY129" s="55">
        <v>0</v>
      </c>
      <c r="AZ129" s="55">
        <v>0</v>
      </c>
      <c r="BA129" s="55">
        <v>0</v>
      </c>
      <c r="BB129" s="55">
        <f t="shared" si="3"/>
        <v>0</v>
      </c>
      <c r="BC129" s="55">
        <f t="shared" si="3"/>
        <v>0</v>
      </c>
      <c r="BD129" s="55">
        <f t="shared" si="3"/>
        <v>0</v>
      </c>
    </row>
    <row r="130" spans="32:56" x14ac:dyDescent="0.35">
      <c r="AF130" s="56">
        <v>43094</v>
      </c>
      <c r="AG130" s="55" t="s">
        <v>364</v>
      </c>
      <c r="AH130" s="55" t="s">
        <v>339</v>
      </c>
      <c r="AY130" s="55">
        <v>0</v>
      </c>
      <c r="AZ130" s="55">
        <v>0</v>
      </c>
      <c r="BA130" s="55">
        <v>0</v>
      </c>
      <c r="BB130" s="55">
        <f t="shared" ref="BB130:BD139" si="4">AY130</f>
        <v>0</v>
      </c>
      <c r="BC130" s="55">
        <f t="shared" si="4"/>
        <v>0</v>
      </c>
      <c r="BD130" s="55">
        <f t="shared" si="4"/>
        <v>0</v>
      </c>
    </row>
    <row r="131" spans="32:56" x14ac:dyDescent="0.35">
      <c r="AF131" s="56">
        <v>43095</v>
      </c>
      <c r="AG131" s="55" t="s">
        <v>365</v>
      </c>
      <c r="AH131" s="55" t="s">
        <v>339</v>
      </c>
      <c r="AY131" s="55">
        <v>0</v>
      </c>
      <c r="AZ131" s="55">
        <v>0</v>
      </c>
      <c r="BA131" s="55">
        <v>0</v>
      </c>
      <c r="BB131" s="55">
        <f t="shared" si="4"/>
        <v>0</v>
      </c>
      <c r="BC131" s="55">
        <f t="shared" si="4"/>
        <v>0</v>
      </c>
      <c r="BD131" s="55">
        <f t="shared" si="4"/>
        <v>0</v>
      </c>
    </row>
    <row r="132" spans="32:56" x14ac:dyDescent="0.35">
      <c r="AF132" s="56">
        <v>43095</v>
      </c>
      <c r="AG132" s="55" t="s">
        <v>369</v>
      </c>
      <c r="AH132" s="55" t="s">
        <v>345</v>
      </c>
      <c r="AY132" s="55">
        <v>0</v>
      </c>
      <c r="AZ132" s="55">
        <v>0</v>
      </c>
      <c r="BA132" s="55">
        <v>0</v>
      </c>
      <c r="BB132" s="55">
        <f t="shared" si="4"/>
        <v>0</v>
      </c>
      <c r="BC132" s="55">
        <f t="shared" si="4"/>
        <v>0</v>
      </c>
      <c r="BD132" s="55">
        <f t="shared" si="4"/>
        <v>0</v>
      </c>
    </row>
    <row r="133" spans="32:56" x14ac:dyDescent="0.35">
      <c r="AF133" s="56">
        <v>43101</v>
      </c>
      <c r="AG133" s="55" t="s">
        <v>338</v>
      </c>
      <c r="AH133" s="55" t="s">
        <v>339</v>
      </c>
      <c r="AY133" s="55">
        <v>0</v>
      </c>
      <c r="AZ133" s="55">
        <v>0</v>
      </c>
      <c r="BA133" s="55">
        <v>0</v>
      </c>
      <c r="BB133" s="55">
        <f t="shared" si="4"/>
        <v>0</v>
      </c>
      <c r="BC133" s="55">
        <f t="shared" si="4"/>
        <v>0</v>
      </c>
      <c r="BD133" s="55">
        <f t="shared" si="4"/>
        <v>0</v>
      </c>
    </row>
    <row r="134" spans="32:56" x14ac:dyDescent="0.35">
      <c r="AF134" s="56">
        <v>43126</v>
      </c>
      <c r="AG134" s="55" t="s">
        <v>341</v>
      </c>
      <c r="AH134" s="55" t="s">
        <v>339</v>
      </c>
      <c r="AY134" s="55">
        <v>0</v>
      </c>
      <c r="AZ134" s="55">
        <v>0</v>
      </c>
      <c r="BA134" s="55">
        <v>0</v>
      </c>
      <c r="BB134" s="55">
        <f t="shared" si="4"/>
        <v>0</v>
      </c>
      <c r="BC134" s="55">
        <f t="shared" si="4"/>
        <v>0</v>
      </c>
      <c r="BD134" s="55">
        <f t="shared" si="4"/>
        <v>0</v>
      </c>
    </row>
    <row r="135" spans="32:56" x14ac:dyDescent="0.35">
      <c r="AF135" s="56">
        <v>43164</v>
      </c>
      <c r="AG135" s="55" t="s">
        <v>342</v>
      </c>
      <c r="AH135" s="55" t="s">
        <v>343</v>
      </c>
      <c r="AY135" s="55">
        <v>0</v>
      </c>
      <c r="AZ135" s="55">
        <v>0</v>
      </c>
      <c r="BA135" s="55">
        <v>0</v>
      </c>
      <c r="BB135" s="55">
        <f t="shared" si="4"/>
        <v>0</v>
      </c>
      <c r="BC135" s="55">
        <f t="shared" si="4"/>
        <v>0</v>
      </c>
      <c r="BD135" s="55">
        <f t="shared" si="4"/>
        <v>0</v>
      </c>
    </row>
    <row r="136" spans="32:56" x14ac:dyDescent="0.35">
      <c r="AF136" s="56">
        <v>43171</v>
      </c>
      <c r="AG136" s="55" t="s">
        <v>366</v>
      </c>
      <c r="AH136" s="55" t="s">
        <v>360</v>
      </c>
      <c r="AY136" s="55">
        <v>0</v>
      </c>
      <c r="AZ136" s="55">
        <v>0</v>
      </c>
      <c r="BA136" s="55">
        <v>0</v>
      </c>
      <c r="BB136" s="55">
        <f t="shared" si="4"/>
        <v>0</v>
      </c>
      <c r="BC136" s="55">
        <f t="shared" si="4"/>
        <v>0</v>
      </c>
      <c r="BD136" s="55">
        <f t="shared" si="4"/>
        <v>0</v>
      </c>
    </row>
    <row r="137" spans="32:56" x14ac:dyDescent="0.35">
      <c r="AF137" s="56">
        <v>43171</v>
      </c>
      <c r="AG137" s="55" t="s">
        <v>342</v>
      </c>
      <c r="AH137" s="55" t="s">
        <v>362</v>
      </c>
      <c r="AY137" s="55">
        <v>0</v>
      </c>
      <c r="AZ137" s="55">
        <v>0</v>
      </c>
      <c r="BA137" s="55">
        <v>0</v>
      </c>
      <c r="BB137" s="55">
        <f t="shared" si="4"/>
        <v>0</v>
      </c>
      <c r="BC137" s="55">
        <f t="shared" si="4"/>
        <v>0</v>
      </c>
      <c r="BD137" s="55">
        <f t="shared" si="4"/>
        <v>0</v>
      </c>
    </row>
    <row r="138" spans="32:56" x14ac:dyDescent="0.35">
      <c r="AF138" s="56">
        <v>43171</v>
      </c>
      <c r="AG138" s="55" t="s">
        <v>367</v>
      </c>
      <c r="AH138" s="55" t="s">
        <v>345</v>
      </c>
      <c r="AY138" s="55">
        <v>0</v>
      </c>
      <c r="AZ138" s="55">
        <v>0</v>
      </c>
      <c r="BA138" s="55">
        <v>0</v>
      </c>
      <c r="BB138" s="55">
        <f t="shared" si="4"/>
        <v>0</v>
      </c>
      <c r="BC138" s="55">
        <f t="shared" si="4"/>
        <v>0</v>
      </c>
      <c r="BD138" s="55">
        <f t="shared" si="4"/>
        <v>0</v>
      </c>
    </row>
    <row r="139" spans="32:56" x14ac:dyDescent="0.35">
      <c r="AF139" s="56">
        <v>43189</v>
      </c>
      <c r="AG139" s="55" t="s">
        <v>346</v>
      </c>
      <c r="AH139" s="55" t="s">
        <v>339</v>
      </c>
      <c r="AY139" s="55">
        <v>0</v>
      </c>
      <c r="AZ139" s="55">
        <v>0</v>
      </c>
      <c r="BA139" s="55">
        <v>0</v>
      </c>
      <c r="BB139" s="55">
        <f t="shared" si="4"/>
        <v>0</v>
      </c>
      <c r="BC139" s="55">
        <f t="shared" si="4"/>
        <v>0</v>
      </c>
      <c r="BD139" s="55">
        <f t="shared" si="4"/>
        <v>0</v>
      </c>
    </row>
    <row r="140" spans="32:56" x14ac:dyDescent="0.35">
      <c r="AF140" s="56">
        <v>43190</v>
      </c>
      <c r="AG140" s="55" t="s">
        <v>347</v>
      </c>
      <c r="AH140" s="55" t="s">
        <v>339</v>
      </c>
    </row>
    <row r="141" spans="32:56" x14ac:dyDescent="0.35">
      <c r="AF141" s="56">
        <v>43191</v>
      </c>
      <c r="AG141" s="55" t="s">
        <v>348</v>
      </c>
      <c r="AH141" s="55" t="s">
        <v>339</v>
      </c>
    </row>
    <row r="142" spans="32:56" x14ac:dyDescent="0.35">
      <c r="AF142" s="56">
        <v>43192</v>
      </c>
      <c r="AG142" s="55" t="s">
        <v>349</v>
      </c>
      <c r="AH142" s="55" t="s">
        <v>339</v>
      </c>
    </row>
    <row r="143" spans="32:56" x14ac:dyDescent="0.35">
      <c r="AF143" s="56">
        <v>43215</v>
      </c>
      <c r="AG143" s="55" t="s">
        <v>350</v>
      </c>
      <c r="AH143" s="55" t="s">
        <v>339</v>
      </c>
    </row>
    <row r="144" spans="32:56" x14ac:dyDescent="0.35">
      <c r="AF144" s="56">
        <v>43227</v>
      </c>
      <c r="AG144" s="55" t="s">
        <v>342</v>
      </c>
      <c r="AH144" s="55" t="s">
        <v>356</v>
      </c>
    </row>
    <row r="145" spans="32:34" x14ac:dyDescent="0.35">
      <c r="AF145" s="56">
        <v>43227</v>
      </c>
      <c r="AG145" s="55" t="s">
        <v>351</v>
      </c>
      <c r="AH145" s="55" t="s">
        <v>352</v>
      </c>
    </row>
    <row r="146" spans="32:34" x14ac:dyDescent="0.35">
      <c r="AF146" s="56">
        <v>43255</v>
      </c>
      <c r="AG146" s="55" t="s">
        <v>353</v>
      </c>
      <c r="AH146" s="55" t="s">
        <v>339</v>
      </c>
    </row>
    <row r="147" spans="32:34" x14ac:dyDescent="0.35">
      <c r="AF147" s="56">
        <v>43262</v>
      </c>
      <c r="AG147" s="55" t="s">
        <v>354</v>
      </c>
      <c r="AH147" s="55" t="s">
        <v>360</v>
      </c>
    </row>
    <row r="148" spans="32:34" x14ac:dyDescent="0.35">
      <c r="AF148" s="56">
        <v>43262</v>
      </c>
      <c r="AG148" s="55" t="s">
        <v>354</v>
      </c>
      <c r="AH148" s="55" t="s">
        <v>355</v>
      </c>
    </row>
    <row r="149" spans="32:34" x14ac:dyDescent="0.35">
      <c r="AF149" s="56">
        <v>43262</v>
      </c>
      <c r="AG149" s="55" t="s">
        <v>354</v>
      </c>
      <c r="AH149" s="55" t="s">
        <v>352</v>
      </c>
    </row>
    <row r="150" spans="32:34" x14ac:dyDescent="0.35">
      <c r="AF150" s="56">
        <v>43262</v>
      </c>
      <c r="AG150" s="55" t="s">
        <v>354</v>
      </c>
      <c r="AH150" s="55" t="s">
        <v>345</v>
      </c>
    </row>
    <row r="151" spans="32:34" x14ac:dyDescent="0.35">
      <c r="AF151" s="56">
        <v>43262</v>
      </c>
      <c r="AG151" s="55" t="s">
        <v>354</v>
      </c>
      <c r="AH151" s="55" t="s">
        <v>362</v>
      </c>
    </row>
    <row r="152" spans="32:34" x14ac:dyDescent="0.35">
      <c r="AF152" s="56">
        <v>43318</v>
      </c>
      <c r="AG152" s="55" t="s">
        <v>358</v>
      </c>
      <c r="AH152" s="55" t="s">
        <v>352</v>
      </c>
    </row>
    <row r="153" spans="32:34" x14ac:dyDescent="0.35">
      <c r="AF153" s="56">
        <v>43327</v>
      </c>
      <c r="AG153" s="55" t="s">
        <v>368</v>
      </c>
      <c r="AH153" s="55" t="s">
        <v>356</v>
      </c>
    </row>
    <row r="154" spans="32:34" x14ac:dyDescent="0.35">
      <c r="AF154" s="56">
        <v>43367</v>
      </c>
      <c r="AG154" s="55" t="s">
        <v>354</v>
      </c>
      <c r="AH154" s="55" t="s">
        <v>343</v>
      </c>
    </row>
    <row r="155" spans="32:34" x14ac:dyDescent="0.35">
      <c r="AF155" s="56">
        <v>43371</v>
      </c>
      <c r="AG155" s="55" t="s">
        <v>370</v>
      </c>
      <c r="AH155" s="55" t="s">
        <v>362</v>
      </c>
    </row>
    <row r="156" spans="32:34" x14ac:dyDescent="0.35">
      <c r="AF156" s="56">
        <v>43374</v>
      </c>
      <c r="AG156" s="55" t="s">
        <v>342</v>
      </c>
      <c r="AH156" s="55" t="s">
        <v>360</v>
      </c>
    </row>
    <row r="157" spans="32:34" x14ac:dyDescent="0.35">
      <c r="AF157" s="56">
        <v>43374</v>
      </c>
      <c r="AG157" s="55" t="s">
        <v>342</v>
      </c>
      <c r="AH157" s="55" t="s">
        <v>355</v>
      </c>
    </row>
    <row r="158" spans="32:34" x14ac:dyDescent="0.35">
      <c r="AF158" s="56">
        <v>43374</v>
      </c>
      <c r="AG158" s="55" t="s">
        <v>342</v>
      </c>
      <c r="AH158" s="55" t="s">
        <v>345</v>
      </c>
    </row>
    <row r="159" spans="32:34" x14ac:dyDescent="0.35">
      <c r="AF159" s="56">
        <v>43374</v>
      </c>
      <c r="AG159" s="55" t="s">
        <v>354</v>
      </c>
      <c r="AH159" s="55" t="s">
        <v>356</v>
      </c>
    </row>
    <row r="160" spans="32:34" x14ac:dyDescent="0.35">
      <c r="AF160" s="56">
        <v>43381</v>
      </c>
      <c r="AG160" s="55" t="s">
        <v>359</v>
      </c>
      <c r="AH160" s="55" t="s">
        <v>360</v>
      </c>
    </row>
    <row r="161" spans="32:34" x14ac:dyDescent="0.35">
      <c r="AF161" s="56">
        <v>43410</v>
      </c>
      <c r="AG161" s="55" t="s">
        <v>361</v>
      </c>
      <c r="AH161" s="55" t="s">
        <v>362</v>
      </c>
    </row>
    <row r="162" spans="32:34" x14ac:dyDescent="0.35">
      <c r="AF162" s="56">
        <v>43459</v>
      </c>
      <c r="AG162" s="55" t="s">
        <v>364</v>
      </c>
      <c r="AH162" s="55" t="s">
        <v>339</v>
      </c>
    </row>
    <row r="163" spans="32:34" x14ac:dyDescent="0.35">
      <c r="AF163" s="56">
        <v>43460</v>
      </c>
      <c r="AG163" s="55" t="s">
        <v>365</v>
      </c>
      <c r="AH163" s="55" t="s">
        <v>339</v>
      </c>
    </row>
    <row r="164" spans="32:34" x14ac:dyDescent="0.35">
      <c r="AF164" s="56">
        <v>43460</v>
      </c>
      <c r="AG164" s="55" t="s">
        <v>369</v>
      </c>
      <c r="AH164" s="55" t="s">
        <v>345</v>
      </c>
    </row>
    <row r="165" spans="32:34" x14ac:dyDescent="0.35">
      <c r="AF165" s="56">
        <v>43466</v>
      </c>
      <c r="AG165" s="55" t="s">
        <v>338</v>
      </c>
      <c r="AH165" s="55" t="s">
        <v>339</v>
      </c>
    </row>
    <row r="166" spans="32:34" x14ac:dyDescent="0.35">
      <c r="AF166" s="56">
        <v>43493</v>
      </c>
      <c r="AG166" s="55" t="s">
        <v>341</v>
      </c>
      <c r="AH166" s="55" t="s">
        <v>339</v>
      </c>
    </row>
    <row r="167" spans="32:34" x14ac:dyDescent="0.35">
      <c r="AF167" s="56">
        <v>43528</v>
      </c>
      <c r="AG167" s="55" t="s">
        <v>342</v>
      </c>
      <c r="AH167" s="55" t="s">
        <v>343</v>
      </c>
    </row>
    <row r="168" spans="32:34" x14ac:dyDescent="0.35">
      <c r="AF168" s="56">
        <v>43535</v>
      </c>
      <c r="AG168" s="55" t="s">
        <v>366</v>
      </c>
      <c r="AH168" s="55" t="s">
        <v>360</v>
      </c>
    </row>
    <row r="169" spans="32:34" x14ac:dyDescent="0.35">
      <c r="AF169" s="56">
        <v>43535</v>
      </c>
      <c r="AG169" s="55" t="s">
        <v>342</v>
      </c>
      <c r="AH169" s="55" t="s">
        <v>362</v>
      </c>
    </row>
    <row r="170" spans="32:34" x14ac:dyDescent="0.35">
      <c r="AF170" s="56">
        <v>43535</v>
      </c>
      <c r="AG170" s="55" t="s">
        <v>367</v>
      </c>
      <c r="AH170" s="55" t="s">
        <v>345</v>
      </c>
    </row>
    <row r="171" spans="32:34" x14ac:dyDescent="0.35">
      <c r="AF171" s="56">
        <v>43574</v>
      </c>
      <c r="AG171" s="55" t="s">
        <v>346</v>
      </c>
      <c r="AH171" s="55" t="s">
        <v>339</v>
      </c>
    </row>
    <row r="172" spans="32:34" x14ac:dyDescent="0.35">
      <c r="AF172" s="56">
        <v>43575</v>
      </c>
      <c r="AG172" s="55" t="s">
        <v>347</v>
      </c>
      <c r="AH172" s="55" t="s">
        <v>339</v>
      </c>
    </row>
    <row r="173" spans="32:34" x14ac:dyDescent="0.35">
      <c r="AF173" s="56">
        <v>43576</v>
      </c>
      <c r="AG173" s="55" t="s">
        <v>348</v>
      </c>
      <c r="AH173" s="55" t="s">
        <v>339</v>
      </c>
    </row>
    <row r="174" spans="32:34" x14ac:dyDescent="0.35">
      <c r="AF174" s="56">
        <v>43577</v>
      </c>
      <c r="AG174" s="55" t="s">
        <v>349</v>
      </c>
      <c r="AH174" s="55" t="s">
        <v>339</v>
      </c>
    </row>
    <row r="175" spans="32:34" x14ac:dyDescent="0.35">
      <c r="AF175" s="56">
        <v>43580</v>
      </c>
      <c r="AG175" s="55" t="s">
        <v>350</v>
      </c>
      <c r="AH175" s="55" t="s">
        <v>339</v>
      </c>
    </row>
    <row r="176" spans="32:34" x14ac:dyDescent="0.35">
      <c r="AF176" s="56">
        <v>43591</v>
      </c>
      <c r="AG176" s="55" t="s">
        <v>342</v>
      </c>
      <c r="AH176" s="55" t="s">
        <v>356</v>
      </c>
    </row>
    <row r="177" spans="32:34" x14ac:dyDescent="0.35">
      <c r="AF177" s="56">
        <v>43591</v>
      </c>
      <c r="AG177" s="55" t="s">
        <v>351</v>
      </c>
      <c r="AH177" s="55" t="s">
        <v>352</v>
      </c>
    </row>
    <row r="178" spans="32:34" x14ac:dyDescent="0.35">
      <c r="AF178" s="56">
        <v>43619</v>
      </c>
      <c r="AG178" s="55" t="s">
        <v>353</v>
      </c>
      <c r="AH178" s="55" t="s">
        <v>339</v>
      </c>
    </row>
    <row r="179" spans="32:34" x14ac:dyDescent="0.35">
      <c r="AF179" s="56">
        <v>43626</v>
      </c>
      <c r="AG179" s="55" t="s">
        <v>354</v>
      </c>
      <c r="AH179" s="55" t="s">
        <v>360</v>
      </c>
    </row>
    <row r="180" spans="32:34" x14ac:dyDescent="0.35">
      <c r="AF180" s="56">
        <v>43626</v>
      </c>
      <c r="AG180" s="55" t="s">
        <v>354</v>
      </c>
      <c r="AH180" s="55" t="s">
        <v>355</v>
      </c>
    </row>
    <row r="181" spans="32:34" x14ac:dyDescent="0.35">
      <c r="AF181" s="56">
        <v>43626</v>
      </c>
      <c r="AG181" s="55" t="s">
        <v>354</v>
      </c>
      <c r="AH181" s="55" t="s">
        <v>352</v>
      </c>
    </row>
    <row r="182" spans="32:34" x14ac:dyDescent="0.35">
      <c r="AF182" s="56">
        <v>43626</v>
      </c>
      <c r="AG182" s="55" t="s">
        <v>354</v>
      </c>
      <c r="AH182" s="55" t="s">
        <v>345</v>
      </c>
    </row>
    <row r="183" spans="32:34" x14ac:dyDescent="0.35">
      <c r="AF183" s="56">
        <v>43626</v>
      </c>
      <c r="AG183" s="55" t="s">
        <v>354</v>
      </c>
      <c r="AH183" s="55" t="s">
        <v>362</v>
      </c>
    </row>
    <row r="184" spans="32:34" x14ac:dyDescent="0.35">
      <c r="AF184" s="56">
        <v>43672</v>
      </c>
      <c r="AG184" s="55" t="s">
        <v>357</v>
      </c>
      <c r="AH184" s="55" t="s">
        <v>352</v>
      </c>
    </row>
    <row r="185" spans="32:34" x14ac:dyDescent="0.35">
      <c r="AF185" s="56">
        <v>43682</v>
      </c>
      <c r="AG185" s="55" t="s">
        <v>358</v>
      </c>
      <c r="AH185" s="55" t="s">
        <v>352</v>
      </c>
    </row>
    <row r="186" spans="32:34" x14ac:dyDescent="0.35">
      <c r="AF186" s="56">
        <v>43691</v>
      </c>
      <c r="AG186" s="55" t="s">
        <v>368</v>
      </c>
      <c r="AH186" s="55" t="s">
        <v>356</v>
      </c>
    </row>
    <row r="187" spans="32:34" x14ac:dyDescent="0.35">
      <c r="AF187" s="56">
        <v>43735</v>
      </c>
      <c r="AG187" s="55" t="s">
        <v>370</v>
      </c>
      <c r="AH187" s="55" t="s">
        <v>362</v>
      </c>
    </row>
    <row r="188" spans="32:34" x14ac:dyDescent="0.35">
      <c r="AF188" s="56">
        <v>43738</v>
      </c>
      <c r="AG188" s="55" t="s">
        <v>354</v>
      </c>
      <c r="AH188" s="55" t="s">
        <v>343</v>
      </c>
    </row>
    <row r="189" spans="32:34" x14ac:dyDescent="0.35">
      <c r="AF189" s="56">
        <v>43745</v>
      </c>
      <c r="AG189" s="55" t="s">
        <v>342</v>
      </c>
      <c r="AH189" s="55" t="s">
        <v>360</v>
      </c>
    </row>
    <row r="190" spans="32:34" x14ac:dyDescent="0.35">
      <c r="AF190" s="56">
        <v>43745</v>
      </c>
      <c r="AG190" s="55" t="s">
        <v>342</v>
      </c>
      <c r="AH190" s="55" t="s">
        <v>355</v>
      </c>
    </row>
    <row r="191" spans="32:34" x14ac:dyDescent="0.35">
      <c r="AF191" s="56">
        <v>43745</v>
      </c>
      <c r="AG191" s="55" t="s">
        <v>342</v>
      </c>
      <c r="AH191" s="55" t="s">
        <v>345</v>
      </c>
    </row>
    <row r="192" spans="32:34" x14ac:dyDescent="0.35">
      <c r="AF192" s="56">
        <v>43745</v>
      </c>
      <c r="AG192" s="55" t="s">
        <v>354</v>
      </c>
      <c r="AH192" s="55" t="s">
        <v>356</v>
      </c>
    </row>
    <row r="193" spans="32:34" x14ac:dyDescent="0.35">
      <c r="AF193" s="56">
        <v>43774</v>
      </c>
      <c r="AG193" s="55" t="s">
        <v>361</v>
      </c>
      <c r="AH193" s="55" t="s">
        <v>362</v>
      </c>
    </row>
    <row r="194" spans="32:34" x14ac:dyDescent="0.35">
      <c r="AF194" s="56">
        <v>43824</v>
      </c>
      <c r="AG194" s="55" t="s">
        <v>364</v>
      </c>
      <c r="AH194" s="55" t="s">
        <v>339</v>
      </c>
    </row>
    <row r="195" spans="32:34" x14ac:dyDescent="0.35">
      <c r="AF195" s="56">
        <v>43825</v>
      </c>
      <c r="AG195" s="55" t="s">
        <v>365</v>
      </c>
      <c r="AH195" s="55" t="s">
        <v>339</v>
      </c>
    </row>
    <row r="196" spans="32:34" x14ac:dyDescent="0.35">
      <c r="AF196" s="56">
        <v>43825</v>
      </c>
      <c r="AG196" s="55" t="s">
        <v>369</v>
      </c>
      <c r="AH196" s="55" t="s">
        <v>345</v>
      </c>
    </row>
    <row r="197" spans="32:34" x14ac:dyDescent="0.35">
      <c r="AF197" s="56">
        <v>43831</v>
      </c>
      <c r="AG197" s="55" t="s">
        <v>338</v>
      </c>
      <c r="AH197" s="55" t="s">
        <v>339</v>
      </c>
    </row>
    <row r="198" spans="32:34" x14ac:dyDescent="0.35">
      <c r="AF198" s="56">
        <v>43857</v>
      </c>
      <c r="AG198" s="55" t="s">
        <v>341</v>
      </c>
      <c r="AH198" s="55" t="s">
        <v>339</v>
      </c>
    </row>
    <row r="199" spans="32:34" x14ac:dyDescent="0.35">
      <c r="AF199" s="56">
        <v>43892</v>
      </c>
      <c r="AG199" s="55" t="s">
        <v>342</v>
      </c>
      <c r="AH199" s="55" t="s">
        <v>343</v>
      </c>
    </row>
    <row r="200" spans="32:34" x14ac:dyDescent="0.35">
      <c r="AF200" s="56">
        <v>43899</v>
      </c>
      <c r="AG200" s="55" t="s">
        <v>366</v>
      </c>
      <c r="AH200" s="55" t="s">
        <v>360</v>
      </c>
    </row>
    <row r="201" spans="32:34" x14ac:dyDescent="0.35">
      <c r="AF201" s="56">
        <v>43899</v>
      </c>
      <c r="AG201" s="55" t="s">
        <v>342</v>
      </c>
      <c r="AH201" s="55" t="s">
        <v>362</v>
      </c>
    </row>
    <row r="202" spans="32:34" x14ac:dyDescent="0.35">
      <c r="AF202" s="56">
        <v>43899</v>
      </c>
      <c r="AG202" s="55" t="s">
        <v>367</v>
      </c>
      <c r="AH202" s="55" t="s">
        <v>345</v>
      </c>
    </row>
    <row r="203" spans="32:34" x14ac:dyDescent="0.35">
      <c r="AF203" s="56">
        <v>43931</v>
      </c>
      <c r="AG203" s="55" t="s">
        <v>346</v>
      </c>
      <c r="AH203" s="55" t="s">
        <v>339</v>
      </c>
    </row>
    <row r="204" spans="32:34" x14ac:dyDescent="0.35">
      <c r="AF204" s="56">
        <v>43932</v>
      </c>
      <c r="AG204" s="55" t="s">
        <v>347</v>
      </c>
      <c r="AH204" s="55" t="s">
        <v>339</v>
      </c>
    </row>
    <row r="205" spans="32:34" x14ac:dyDescent="0.35">
      <c r="AF205" s="56">
        <v>43933</v>
      </c>
      <c r="AG205" s="55" t="s">
        <v>348</v>
      </c>
      <c r="AH205" s="55" t="s">
        <v>339</v>
      </c>
    </row>
    <row r="206" spans="32:34" x14ac:dyDescent="0.35">
      <c r="AF206" s="56">
        <v>43934</v>
      </c>
      <c r="AG206" s="55" t="s">
        <v>349</v>
      </c>
      <c r="AH206" s="55" t="s">
        <v>339</v>
      </c>
    </row>
    <row r="207" spans="32:34" x14ac:dyDescent="0.35">
      <c r="AF207" s="56">
        <v>43946</v>
      </c>
      <c r="AG207" s="55" t="s">
        <v>350</v>
      </c>
      <c r="AH207" s="55" t="s">
        <v>339</v>
      </c>
    </row>
    <row r="208" spans="32:34" x14ac:dyDescent="0.35">
      <c r="AF208" s="56">
        <v>43948</v>
      </c>
      <c r="AG208" s="55" t="s">
        <v>350</v>
      </c>
      <c r="AH208" s="55" t="s">
        <v>339</v>
      </c>
    </row>
    <row r="209" spans="32:34" x14ac:dyDescent="0.35">
      <c r="AF209" s="56">
        <v>43955</v>
      </c>
      <c r="AG209" s="55" t="s">
        <v>342</v>
      </c>
      <c r="AH209" s="55" t="s">
        <v>356</v>
      </c>
    </row>
    <row r="210" spans="32:34" x14ac:dyDescent="0.35">
      <c r="AF210" s="56">
        <v>43955</v>
      </c>
      <c r="AG210" s="55" t="s">
        <v>351</v>
      </c>
      <c r="AH210" s="55" t="s">
        <v>352</v>
      </c>
    </row>
    <row r="211" spans="32:34" x14ac:dyDescent="0.35">
      <c r="AF211" s="56">
        <v>43983</v>
      </c>
      <c r="AG211" s="55" t="s">
        <v>371</v>
      </c>
      <c r="AH211" s="55" t="s">
        <v>360</v>
      </c>
    </row>
    <row r="212" spans="32:34" x14ac:dyDescent="0.35">
      <c r="AF212" s="56">
        <v>43983</v>
      </c>
      <c r="AG212" s="55" t="s">
        <v>353</v>
      </c>
      <c r="AH212" s="55" t="s">
        <v>339</v>
      </c>
    </row>
    <row r="213" spans="32:34" x14ac:dyDescent="0.35">
      <c r="AF213" s="56">
        <v>43990</v>
      </c>
      <c r="AG213" s="55" t="s">
        <v>354</v>
      </c>
      <c r="AH213" s="55" t="s">
        <v>360</v>
      </c>
    </row>
    <row r="214" spans="32:34" x14ac:dyDescent="0.35">
      <c r="AF214" s="56">
        <v>43990</v>
      </c>
      <c r="AG214" s="55" t="s">
        <v>354</v>
      </c>
      <c r="AH214" s="55" t="s">
        <v>355</v>
      </c>
    </row>
    <row r="215" spans="32:34" x14ac:dyDescent="0.35">
      <c r="AF215" s="56">
        <v>43990</v>
      </c>
      <c r="AG215" s="55" t="s">
        <v>354</v>
      </c>
      <c r="AH215" s="55" t="s">
        <v>352</v>
      </c>
    </row>
    <row r="216" spans="32:34" x14ac:dyDescent="0.35">
      <c r="AF216" s="56">
        <v>43990</v>
      </c>
      <c r="AG216" s="55" t="s">
        <v>354</v>
      </c>
      <c r="AH216" s="55" t="s">
        <v>345</v>
      </c>
    </row>
    <row r="217" spans="32:34" x14ac:dyDescent="0.35">
      <c r="AF217" s="56">
        <v>43990</v>
      </c>
      <c r="AG217" s="55" t="s">
        <v>354</v>
      </c>
      <c r="AH217" s="55" t="s">
        <v>362</v>
      </c>
    </row>
    <row r="218" spans="32:34" x14ac:dyDescent="0.35">
      <c r="AF218" s="56">
        <v>44036</v>
      </c>
      <c r="AG218" s="55" t="s">
        <v>357</v>
      </c>
      <c r="AH218" s="55" t="s">
        <v>352</v>
      </c>
    </row>
    <row r="219" spans="32:34" x14ac:dyDescent="0.35">
      <c r="AF219" s="56">
        <v>44046</v>
      </c>
      <c r="AG219" s="55" t="s">
        <v>358</v>
      </c>
      <c r="AH219" s="55" t="s">
        <v>352</v>
      </c>
    </row>
    <row r="220" spans="32:34" x14ac:dyDescent="0.35">
      <c r="AF220" s="56">
        <v>44057</v>
      </c>
      <c r="AG220" s="55" t="s">
        <v>368</v>
      </c>
      <c r="AH220" s="55" t="s">
        <v>356</v>
      </c>
    </row>
    <row r="221" spans="32:34" x14ac:dyDescent="0.35">
      <c r="AF221" s="56">
        <v>44102</v>
      </c>
      <c r="AG221" s="55" t="s">
        <v>354</v>
      </c>
      <c r="AH221" s="55" t="s">
        <v>343</v>
      </c>
    </row>
    <row r="222" spans="32:34" x14ac:dyDescent="0.35">
      <c r="AF222" s="56">
        <v>44109</v>
      </c>
      <c r="AG222" s="55" t="s">
        <v>342</v>
      </c>
      <c r="AH222" s="55" t="s">
        <v>360</v>
      </c>
    </row>
    <row r="223" spans="32:34" x14ac:dyDescent="0.35">
      <c r="AF223" s="56">
        <v>44109</v>
      </c>
      <c r="AG223" s="55" t="s">
        <v>342</v>
      </c>
      <c r="AH223" s="55" t="s">
        <v>355</v>
      </c>
    </row>
    <row r="224" spans="32:34" x14ac:dyDescent="0.35">
      <c r="AF224" s="56">
        <v>44109</v>
      </c>
      <c r="AG224" s="55" t="s">
        <v>342</v>
      </c>
      <c r="AH224" s="55" t="s">
        <v>345</v>
      </c>
    </row>
    <row r="225" spans="32:34" x14ac:dyDescent="0.35">
      <c r="AF225" s="56">
        <v>44109</v>
      </c>
      <c r="AG225" s="55" t="s">
        <v>354</v>
      </c>
      <c r="AH225" s="55" t="s">
        <v>356</v>
      </c>
    </row>
    <row r="226" spans="32:34" x14ac:dyDescent="0.35">
      <c r="AF226" s="56">
        <v>44127</v>
      </c>
      <c r="AG226" s="55" t="s">
        <v>370</v>
      </c>
      <c r="AH226" s="55" t="s">
        <v>362</v>
      </c>
    </row>
    <row r="227" spans="32:34" x14ac:dyDescent="0.35">
      <c r="AF227" s="56">
        <v>44138</v>
      </c>
      <c r="AG227" s="55" t="s">
        <v>361</v>
      </c>
      <c r="AH227" s="55" t="s">
        <v>362</v>
      </c>
    </row>
    <row r="228" spans="32:34" x14ac:dyDescent="0.35">
      <c r="AF228" s="56">
        <v>44190</v>
      </c>
      <c r="AG228" s="55" t="s">
        <v>364</v>
      </c>
      <c r="AH228" s="55" t="s">
        <v>339</v>
      </c>
    </row>
    <row r="229" spans="32:34" x14ac:dyDescent="0.35">
      <c r="AF229" s="56">
        <v>44191</v>
      </c>
      <c r="AG229" s="55" t="s">
        <v>365</v>
      </c>
      <c r="AH229" s="55" t="s">
        <v>339</v>
      </c>
    </row>
    <row r="230" spans="32:34" x14ac:dyDescent="0.35">
      <c r="AF230" s="56">
        <v>44191</v>
      </c>
      <c r="AG230" s="55" t="s">
        <v>369</v>
      </c>
      <c r="AH230" s="55" t="s">
        <v>345</v>
      </c>
    </row>
    <row r="231" spans="32:34" x14ac:dyDescent="0.35">
      <c r="AF231" s="56">
        <v>44193</v>
      </c>
      <c r="AG231" s="55" t="s">
        <v>365</v>
      </c>
      <c r="AH231" s="55" t="s">
        <v>339</v>
      </c>
    </row>
    <row r="232" spans="32:34" x14ac:dyDescent="0.35">
      <c r="AF232" s="56">
        <v>44193</v>
      </c>
      <c r="AG232" s="55" t="s">
        <v>369</v>
      </c>
      <c r="AH232" s="55" t="s">
        <v>345</v>
      </c>
    </row>
    <row r="233" spans="32:34" x14ac:dyDescent="0.35">
      <c r="AF233" s="56">
        <v>44197</v>
      </c>
      <c r="AG233" s="55" t="s">
        <v>338</v>
      </c>
      <c r="AH233" s="55" t="s">
        <v>339</v>
      </c>
    </row>
    <row r="234" spans="32:34" x14ac:dyDescent="0.35">
      <c r="AF234" s="56">
        <v>44222</v>
      </c>
      <c r="AG234" s="55" t="s">
        <v>341</v>
      </c>
      <c r="AH234" s="55" t="s">
        <v>339</v>
      </c>
    </row>
    <row r="235" spans="32:34" x14ac:dyDescent="0.35">
      <c r="AF235" s="56">
        <v>44256</v>
      </c>
      <c r="AG235" s="55" t="s">
        <v>342</v>
      </c>
      <c r="AH235" s="55" t="s">
        <v>343</v>
      </c>
    </row>
    <row r="236" spans="32:34" x14ac:dyDescent="0.35">
      <c r="AF236" s="56">
        <v>44263</v>
      </c>
      <c r="AG236" s="55" t="s">
        <v>366</v>
      </c>
      <c r="AH236" s="55" t="s">
        <v>360</v>
      </c>
    </row>
    <row r="237" spans="32:34" x14ac:dyDescent="0.35">
      <c r="AF237" s="56">
        <v>44263</v>
      </c>
      <c r="AG237" s="55" t="s">
        <v>342</v>
      </c>
      <c r="AH237" s="55" t="s">
        <v>362</v>
      </c>
    </row>
    <row r="238" spans="32:34" x14ac:dyDescent="0.35">
      <c r="AF238" s="56">
        <v>44263</v>
      </c>
      <c r="AG238" s="55" t="s">
        <v>367</v>
      </c>
      <c r="AH238" s="55" t="s">
        <v>345</v>
      </c>
    </row>
    <row r="239" spans="32:34" x14ac:dyDescent="0.35">
      <c r="AF239" s="56">
        <v>44288</v>
      </c>
      <c r="AG239" s="55" t="s">
        <v>346</v>
      </c>
      <c r="AH239" s="55" t="s">
        <v>339</v>
      </c>
    </row>
    <row r="240" spans="32:34" x14ac:dyDescent="0.35">
      <c r="AF240" s="56">
        <v>44289</v>
      </c>
      <c r="AG240" s="55" t="s">
        <v>347</v>
      </c>
      <c r="AH240" s="55" t="s">
        <v>339</v>
      </c>
    </row>
    <row r="241" spans="32:34" x14ac:dyDescent="0.35">
      <c r="AF241" s="56">
        <v>44290</v>
      </c>
      <c r="AG241" s="55" t="s">
        <v>348</v>
      </c>
      <c r="AH241" s="55" t="s">
        <v>339</v>
      </c>
    </row>
    <row r="242" spans="32:34" x14ac:dyDescent="0.35">
      <c r="AF242" s="56">
        <v>44291</v>
      </c>
      <c r="AG242" s="55" t="s">
        <v>349</v>
      </c>
      <c r="AH242" s="55" t="s">
        <v>339</v>
      </c>
    </row>
    <row r="243" spans="32:34" x14ac:dyDescent="0.35">
      <c r="AF243" s="56">
        <v>44311</v>
      </c>
      <c r="AG243" s="55" t="s">
        <v>350</v>
      </c>
      <c r="AH243" s="55" t="s">
        <v>339</v>
      </c>
    </row>
    <row r="244" spans="32:34" x14ac:dyDescent="0.35">
      <c r="AF244" s="56">
        <v>44312</v>
      </c>
      <c r="AG244" s="55" t="s">
        <v>350</v>
      </c>
      <c r="AH244" s="55" t="s">
        <v>339</v>
      </c>
    </row>
    <row r="245" spans="32:34" x14ac:dyDescent="0.35">
      <c r="AF245" s="56">
        <v>44319</v>
      </c>
      <c r="AG245" s="55" t="s">
        <v>342</v>
      </c>
      <c r="AH245" s="55" t="s">
        <v>356</v>
      </c>
    </row>
    <row r="246" spans="32:34" x14ac:dyDescent="0.35">
      <c r="AF246" s="56">
        <v>44319</v>
      </c>
      <c r="AG246" s="55" t="s">
        <v>351</v>
      </c>
      <c r="AH246" s="55" t="s">
        <v>352</v>
      </c>
    </row>
    <row r="247" spans="32:34" x14ac:dyDescent="0.35">
      <c r="AF247" s="56">
        <v>44347</v>
      </c>
      <c r="AG247" s="55" t="s">
        <v>371</v>
      </c>
      <c r="AH247" s="55" t="s">
        <v>360</v>
      </c>
    </row>
    <row r="248" spans="32:34" x14ac:dyDescent="0.35">
      <c r="AF248" s="56">
        <v>44354</v>
      </c>
      <c r="AG248" s="55" t="s">
        <v>353</v>
      </c>
      <c r="AH248" s="55" t="s">
        <v>339</v>
      </c>
    </row>
    <row r="249" spans="32:34" x14ac:dyDescent="0.35">
      <c r="AF249" s="56">
        <v>44361</v>
      </c>
      <c r="AG249" s="55" t="s">
        <v>354</v>
      </c>
      <c r="AH249" s="55" t="s">
        <v>360</v>
      </c>
    </row>
    <row r="250" spans="32:34" x14ac:dyDescent="0.35">
      <c r="AF250" s="56">
        <v>44361</v>
      </c>
      <c r="AG250" s="55" t="s">
        <v>354</v>
      </c>
      <c r="AH250" s="55" t="s">
        <v>355</v>
      </c>
    </row>
    <row r="251" spans="32:34" x14ac:dyDescent="0.35">
      <c r="AF251" s="56">
        <v>44361</v>
      </c>
      <c r="AG251" s="55" t="s">
        <v>354</v>
      </c>
      <c r="AH251" s="55" t="s">
        <v>352</v>
      </c>
    </row>
    <row r="252" spans="32:34" x14ac:dyDescent="0.35">
      <c r="AF252" s="56">
        <v>44361</v>
      </c>
      <c r="AG252" s="55" t="s">
        <v>354</v>
      </c>
      <c r="AH252" s="55" t="s">
        <v>345</v>
      </c>
    </row>
    <row r="253" spans="32:34" x14ac:dyDescent="0.35">
      <c r="AF253" s="56">
        <v>44361</v>
      </c>
      <c r="AG253" s="55" t="s">
        <v>354</v>
      </c>
      <c r="AH253" s="55" t="s">
        <v>362</v>
      </c>
    </row>
    <row r="254" spans="32:34" x14ac:dyDescent="0.35">
      <c r="AF254" s="56">
        <v>44400</v>
      </c>
      <c r="AG254" s="55" t="s">
        <v>357</v>
      </c>
      <c r="AH254" s="55" t="s">
        <v>352</v>
      </c>
    </row>
    <row r="255" spans="32:34" x14ac:dyDescent="0.35">
      <c r="AF255" s="56">
        <v>44410</v>
      </c>
      <c r="AG255" s="55" t="s">
        <v>358</v>
      </c>
      <c r="AH255" s="55" t="s">
        <v>352</v>
      </c>
    </row>
    <row r="256" spans="32:34" x14ac:dyDescent="0.35">
      <c r="AF256" s="56">
        <v>44466</v>
      </c>
      <c r="AG256" s="55" t="s">
        <v>354</v>
      </c>
      <c r="AH256" s="55" t="s">
        <v>343</v>
      </c>
    </row>
    <row r="257" spans="32:34" x14ac:dyDescent="0.35">
      <c r="AF257" s="56">
        <v>44473</v>
      </c>
      <c r="AG257" s="55" t="s">
        <v>342</v>
      </c>
      <c r="AH257" s="55" t="s">
        <v>360</v>
      </c>
    </row>
    <row r="258" spans="32:34" x14ac:dyDescent="0.35">
      <c r="AF258" s="56">
        <v>44473</v>
      </c>
      <c r="AG258" s="55" t="s">
        <v>342</v>
      </c>
      <c r="AH258" s="55" t="s">
        <v>355</v>
      </c>
    </row>
    <row r="259" spans="32:34" x14ac:dyDescent="0.35">
      <c r="AF259" s="56">
        <v>44473</v>
      </c>
      <c r="AG259" s="55" t="s">
        <v>342</v>
      </c>
      <c r="AH259" s="55" t="s">
        <v>345</v>
      </c>
    </row>
    <row r="260" spans="32:34" x14ac:dyDescent="0.35">
      <c r="AF260" s="56">
        <v>44473</v>
      </c>
      <c r="AG260" s="55" t="s">
        <v>354</v>
      </c>
      <c r="AH260" s="55" t="s">
        <v>356</v>
      </c>
    </row>
    <row r="261" spans="32:34" x14ac:dyDescent="0.35">
      <c r="AF261" s="56">
        <v>44498</v>
      </c>
      <c r="AG261" s="55" t="s">
        <v>368</v>
      </c>
      <c r="AH261" s="55" t="s">
        <v>356</v>
      </c>
    </row>
    <row r="262" spans="32:34" x14ac:dyDescent="0.35">
      <c r="AF262" s="56">
        <v>44502</v>
      </c>
      <c r="AG262" s="55" t="s">
        <v>361</v>
      </c>
      <c r="AH262" s="55" t="s">
        <v>362</v>
      </c>
    </row>
    <row r="263" spans="32:34" x14ac:dyDescent="0.35">
      <c r="AF263" s="56">
        <v>44555</v>
      </c>
      <c r="AG263" s="55" t="s">
        <v>364</v>
      </c>
      <c r="AH263" s="55" t="s">
        <v>339</v>
      </c>
    </row>
    <row r="264" spans="32:34" x14ac:dyDescent="0.35">
      <c r="AF264" s="56">
        <v>44556</v>
      </c>
      <c r="AG264" s="55" t="s">
        <v>365</v>
      </c>
      <c r="AH264" s="55" t="s">
        <v>339</v>
      </c>
    </row>
    <row r="265" spans="32:34" x14ac:dyDescent="0.35">
      <c r="AF265" s="56">
        <v>44556</v>
      </c>
      <c r="AG265" s="55" t="s">
        <v>369</v>
      </c>
      <c r="AH265" s="55" t="s">
        <v>345</v>
      </c>
    </row>
    <row r="266" spans="32:34" x14ac:dyDescent="0.35">
      <c r="AF266" s="56">
        <v>44557</v>
      </c>
      <c r="AG266" s="55" t="s">
        <v>364</v>
      </c>
      <c r="AH266" s="55" t="s">
        <v>339</v>
      </c>
    </row>
    <row r="267" spans="32:34" x14ac:dyDescent="0.35">
      <c r="AF267" s="56">
        <v>44558</v>
      </c>
      <c r="AG267" s="55" t="s">
        <v>365</v>
      </c>
      <c r="AH267" s="55" t="s">
        <v>339</v>
      </c>
    </row>
    <row r="268" spans="32:34" x14ac:dyDescent="0.35">
      <c r="AF268" s="56">
        <v>44558</v>
      </c>
      <c r="AG268" s="55" t="s">
        <v>369</v>
      </c>
      <c r="AH268" s="55" t="s">
        <v>345</v>
      </c>
    </row>
    <row r="269" spans="32:34" x14ac:dyDescent="0.35">
      <c r="AF269" s="56">
        <v>44562</v>
      </c>
      <c r="AG269" s="55" t="s">
        <v>338</v>
      </c>
      <c r="AH269" s="55" t="s">
        <v>339</v>
      </c>
    </row>
    <row r="270" spans="32:34" x14ac:dyDescent="0.35">
      <c r="AF270" s="56">
        <v>44564</v>
      </c>
      <c r="AG270" s="55" t="s">
        <v>338</v>
      </c>
      <c r="AH270" s="55" t="s">
        <v>339</v>
      </c>
    </row>
    <row r="271" spans="32:34" x14ac:dyDescent="0.35">
      <c r="AF271" s="56">
        <v>44587</v>
      </c>
      <c r="AG271" s="55" t="s">
        <v>341</v>
      </c>
      <c r="AH271" s="55" t="s">
        <v>339</v>
      </c>
    </row>
    <row r="272" spans="32:34" x14ac:dyDescent="0.35">
      <c r="AF272" s="56">
        <v>44627</v>
      </c>
      <c r="AG272" s="55" t="s">
        <v>342</v>
      </c>
      <c r="AH272" s="55" t="s">
        <v>343</v>
      </c>
    </row>
    <row r="273" spans="32:34" x14ac:dyDescent="0.35">
      <c r="AF273" s="56">
        <v>44634</v>
      </c>
      <c r="AG273" s="55" t="s">
        <v>366</v>
      </c>
      <c r="AH273" s="55" t="s">
        <v>360</v>
      </c>
    </row>
    <row r="274" spans="32:34" x14ac:dyDescent="0.35">
      <c r="AF274" s="56">
        <v>44634</v>
      </c>
      <c r="AG274" s="55" t="s">
        <v>342</v>
      </c>
      <c r="AH274" s="55" t="s">
        <v>362</v>
      </c>
    </row>
    <row r="275" spans="32:34" x14ac:dyDescent="0.35">
      <c r="AF275" s="56">
        <v>44634</v>
      </c>
      <c r="AG275" s="55" t="s">
        <v>367</v>
      </c>
      <c r="AH275" s="55" t="s">
        <v>345</v>
      </c>
    </row>
    <row r="276" spans="32:34" x14ac:dyDescent="0.35">
      <c r="AF276" s="56">
        <v>44666</v>
      </c>
      <c r="AG276" s="55" t="s">
        <v>346</v>
      </c>
      <c r="AH276" s="55" t="s">
        <v>339</v>
      </c>
    </row>
    <row r="277" spans="32:34" x14ac:dyDescent="0.35">
      <c r="AF277" s="56">
        <v>44667</v>
      </c>
      <c r="AG277" s="55" t="s">
        <v>347</v>
      </c>
      <c r="AH277" s="55" t="s">
        <v>339</v>
      </c>
    </row>
    <row r="278" spans="32:34" x14ac:dyDescent="0.35">
      <c r="AF278" s="56">
        <v>44668</v>
      </c>
      <c r="AG278" s="55" t="s">
        <v>348</v>
      </c>
      <c r="AH278" s="55" t="s">
        <v>339</v>
      </c>
    </row>
    <row r="279" spans="32:34" x14ac:dyDescent="0.35">
      <c r="AF279" s="56">
        <v>44669</v>
      </c>
      <c r="AG279" s="55" t="s">
        <v>349</v>
      </c>
      <c r="AH279" s="55" t="s">
        <v>339</v>
      </c>
    </row>
    <row r="280" spans="32:34" x14ac:dyDescent="0.35">
      <c r="AF280" s="56">
        <v>44676</v>
      </c>
      <c r="AG280" s="55" t="s">
        <v>350</v>
      </c>
      <c r="AH280" s="55" t="s">
        <v>339</v>
      </c>
    </row>
    <row r="281" spans="32:34" x14ac:dyDescent="0.35">
      <c r="AF281" s="56">
        <v>44683</v>
      </c>
      <c r="AG281" s="55" t="s">
        <v>342</v>
      </c>
      <c r="AH281" s="55" t="s">
        <v>356</v>
      </c>
    </row>
    <row r="282" spans="32:34" x14ac:dyDescent="0.35">
      <c r="AF282" s="56">
        <v>44683</v>
      </c>
      <c r="AG282" s="55" t="s">
        <v>351</v>
      </c>
      <c r="AH282" s="55" t="s">
        <v>352</v>
      </c>
    </row>
    <row r="283" spans="32:34" x14ac:dyDescent="0.35">
      <c r="AF283" s="56">
        <v>44706</v>
      </c>
      <c r="AG283" s="55" t="s">
        <v>350</v>
      </c>
      <c r="AH283" s="55" t="s">
        <v>339</v>
      </c>
    </row>
    <row r="284" spans="32:34" x14ac:dyDescent="0.35">
      <c r="AF284" s="56">
        <v>44711</v>
      </c>
      <c r="AG284" s="55" t="s">
        <v>371</v>
      </c>
      <c r="AH284" s="55" t="s">
        <v>360</v>
      </c>
    </row>
    <row r="285" spans="32:34" x14ac:dyDescent="0.35">
      <c r="AF285" s="56">
        <v>44718</v>
      </c>
      <c r="AG285" s="55" t="s">
        <v>353</v>
      </c>
      <c r="AH285" s="55" t="s">
        <v>339</v>
      </c>
    </row>
    <row r="286" spans="32:34" x14ac:dyDescent="0.35">
      <c r="AF286" s="56">
        <v>44725</v>
      </c>
      <c r="AG286" s="55" t="s">
        <v>354</v>
      </c>
      <c r="AH286" s="55" t="s">
        <v>360</v>
      </c>
    </row>
    <row r="287" spans="32:34" x14ac:dyDescent="0.35">
      <c r="AF287" s="56">
        <v>44725</v>
      </c>
      <c r="AG287" s="55" t="s">
        <v>354</v>
      </c>
      <c r="AH287" s="55" t="s">
        <v>355</v>
      </c>
    </row>
    <row r="288" spans="32:34" x14ac:dyDescent="0.35">
      <c r="AF288" s="56">
        <v>44725</v>
      </c>
      <c r="AG288" s="55" t="s">
        <v>354</v>
      </c>
      <c r="AH288" s="55" t="s">
        <v>352</v>
      </c>
    </row>
    <row r="289" spans="32:34" x14ac:dyDescent="0.35">
      <c r="AF289" s="56">
        <v>44725</v>
      </c>
      <c r="AG289" s="55" t="s">
        <v>354</v>
      </c>
      <c r="AH289" s="55" t="s">
        <v>345</v>
      </c>
    </row>
    <row r="290" spans="32:34" x14ac:dyDescent="0.35">
      <c r="AF290" s="56">
        <v>44725</v>
      </c>
      <c r="AG290" s="55" t="s">
        <v>354</v>
      </c>
      <c r="AH290" s="55" t="s">
        <v>362</v>
      </c>
    </row>
    <row r="291" spans="32:34" x14ac:dyDescent="0.35">
      <c r="AF291" s="56">
        <v>44774</v>
      </c>
      <c r="AG291" s="55" t="s">
        <v>358</v>
      </c>
      <c r="AH291" s="55" t="s">
        <v>352</v>
      </c>
    </row>
    <row r="292" spans="32:34" x14ac:dyDescent="0.35">
      <c r="AF292" s="56">
        <v>44783</v>
      </c>
      <c r="AG292" s="55" t="s">
        <v>368</v>
      </c>
      <c r="AH292" s="55" t="s">
        <v>356</v>
      </c>
    </row>
    <row r="293" spans="32:34" x14ac:dyDescent="0.35">
      <c r="AF293" s="56">
        <v>44826</v>
      </c>
      <c r="AG293" s="55" t="s">
        <v>372</v>
      </c>
      <c r="AH293" s="55" t="s">
        <v>360</v>
      </c>
    </row>
    <row r="294" spans="32:34" x14ac:dyDescent="0.35">
      <c r="AF294" s="56">
        <v>44826</v>
      </c>
      <c r="AG294" s="55" t="s">
        <v>372</v>
      </c>
      <c r="AH294" s="55" t="s">
        <v>355</v>
      </c>
    </row>
    <row r="295" spans="32:34" x14ac:dyDescent="0.35">
      <c r="AF295" s="56">
        <v>44826</v>
      </c>
      <c r="AG295" s="55" t="s">
        <v>372</v>
      </c>
      <c r="AH295" s="55" t="s">
        <v>352</v>
      </c>
    </row>
    <row r="296" spans="32:34" x14ac:dyDescent="0.35">
      <c r="AF296" s="56">
        <v>44826</v>
      </c>
      <c r="AG296" s="55" t="s">
        <v>372</v>
      </c>
      <c r="AH296" s="55" t="s">
        <v>356</v>
      </c>
    </row>
    <row r="297" spans="32:34" x14ac:dyDescent="0.35">
      <c r="AF297" s="56">
        <v>44826</v>
      </c>
      <c r="AG297" s="55" t="s">
        <v>372</v>
      </c>
      <c r="AH297" s="55" t="s">
        <v>345</v>
      </c>
    </row>
    <row r="298" spans="32:34" x14ac:dyDescent="0.35">
      <c r="AF298" s="56">
        <v>44826</v>
      </c>
      <c r="AG298" s="55" t="s">
        <v>372</v>
      </c>
      <c r="AH298" s="55" t="s">
        <v>362</v>
      </c>
    </row>
    <row r="299" spans="32:34" x14ac:dyDescent="0.35">
      <c r="AF299" s="56">
        <v>44826</v>
      </c>
      <c r="AG299" s="55" t="s">
        <v>372</v>
      </c>
      <c r="AH299" s="55" t="s">
        <v>343</v>
      </c>
    </row>
    <row r="300" spans="32:34" x14ac:dyDescent="0.35">
      <c r="AF300" s="56">
        <v>44827</v>
      </c>
      <c r="AG300" s="55" t="s">
        <v>370</v>
      </c>
      <c r="AH300" s="55" t="s">
        <v>362</v>
      </c>
    </row>
    <row r="301" spans="32:34" x14ac:dyDescent="0.35">
      <c r="AF301" s="56">
        <v>44830</v>
      </c>
      <c r="AG301" s="55" t="s">
        <v>354</v>
      </c>
      <c r="AH301" s="55" t="s">
        <v>343</v>
      </c>
    </row>
    <row r="302" spans="32:34" x14ac:dyDescent="0.35">
      <c r="AF302" s="56">
        <v>44837</v>
      </c>
      <c r="AG302" s="55" t="s">
        <v>342</v>
      </c>
      <c r="AH302" s="55" t="s">
        <v>360</v>
      </c>
    </row>
    <row r="303" spans="32:34" x14ac:dyDescent="0.35">
      <c r="AF303" s="56">
        <v>44837</v>
      </c>
      <c r="AG303" s="55" t="s">
        <v>342</v>
      </c>
      <c r="AH303" s="55" t="s">
        <v>355</v>
      </c>
    </row>
    <row r="304" spans="32:34" x14ac:dyDescent="0.35">
      <c r="AF304" s="56">
        <v>44837</v>
      </c>
      <c r="AG304" s="55" t="s">
        <v>342</v>
      </c>
      <c r="AH304" s="55" t="s">
        <v>345</v>
      </c>
    </row>
    <row r="305" spans="32:34" x14ac:dyDescent="0.35">
      <c r="AF305" s="56">
        <v>44837</v>
      </c>
      <c r="AG305" s="55" t="s">
        <v>354</v>
      </c>
      <c r="AH305" s="55" t="s">
        <v>356</v>
      </c>
    </row>
    <row r="306" spans="32:34" x14ac:dyDescent="0.35">
      <c r="AF306" s="56">
        <v>44866</v>
      </c>
      <c r="AG306" s="55" t="s">
        <v>361</v>
      </c>
      <c r="AH306" s="55" t="s">
        <v>362</v>
      </c>
    </row>
    <row r="307" spans="32:34" x14ac:dyDescent="0.35">
      <c r="AF307" s="56">
        <v>44920</v>
      </c>
      <c r="AG307" s="55" t="s">
        <v>364</v>
      </c>
      <c r="AH307" s="55" t="s">
        <v>339</v>
      </c>
    </row>
    <row r="308" spans="32:34" x14ac:dyDescent="0.35">
      <c r="AF308" s="56">
        <v>44921</v>
      </c>
      <c r="AG308" s="55" t="s">
        <v>365</v>
      </c>
      <c r="AH308" s="55" t="s">
        <v>339</v>
      </c>
    </row>
    <row r="309" spans="32:34" x14ac:dyDescent="0.35">
      <c r="AF309" s="56">
        <v>44922</v>
      </c>
      <c r="AG309" s="55" t="s">
        <v>364</v>
      </c>
      <c r="AH309" s="55" t="s">
        <v>339</v>
      </c>
    </row>
    <row r="310" spans="32:34" x14ac:dyDescent="0.35">
      <c r="AF310" s="56">
        <v>44927</v>
      </c>
      <c r="AG310" s="55" t="s">
        <v>338</v>
      </c>
      <c r="AH310" s="55" t="s">
        <v>339</v>
      </c>
    </row>
    <row r="311" spans="32:34" x14ac:dyDescent="0.35">
      <c r="AF311" s="56">
        <v>44928</v>
      </c>
      <c r="AG311" s="55" t="s">
        <v>338</v>
      </c>
      <c r="AH311" s="55" t="s">
        <v>339</v>
      </c>
    </row>
    <row r="312" spans="32:34" x14ac:dyDescent="0.35">
      <c r="AF312" s="56">
        <v>44952</v>
      </c>
      <c r="AG312" s="55" t="s">
        <v>341</v>
      </c>
      <c r="AH312" s="55" t="s">
        <v>339</v>
      </c>
    </row>
    <row r="313" spans="32:34" x14ac:dyDescent="0.35">
      <c r="AF313" s="56">
        <v>44991</v>
      </c>
      <c r="AG313" s="55" t="s">
        <v>342</v>
      </c>
      <c r="AH313" s="55" t="s">
        <v>343</v>
      </c>
    </row>
    <row r="314" spans="32:34" x14ac:dyDescent="0.35">
      <c r="AF314" s="56">
        <v>44998</v>
      </c>
      <c r="AG314" s="55" t="s">
        <v>344</v>
      </c>
      <c r="AH314" s="55" t="s">
        <v>345</v>
      </c>
    </row>
    <row r="315" spans="32:34" x14ac:dyDescent="0.35">
      <c r="AF315" s="56">
        <v>44998</v>
      </c>
      <c r="AG315" s="55" t="s">
        <v>366</v>
      </c>
      <c r="AH315" s="55" t="s">
        <v>360</v>
      </c>
    </row>
    <row r="316" spans="32:34" x14ac:dyDescent="0.35">
      <c r="AF316" s="56">
        <v>44998</v>
      </c>
      <c r="AG316" s="55" t="s">
        <v>342</v>
      </c>
      <c r="AH316" s="55" t="s">
        <v>362</v>
      </c>
    </row>
    <row r="317" spans="32:34" x14ac:dyDescent="0.35">
      <c r="AF317" s="56">
        <v>45023</v>
      </c>
      <c r="AG317" s="55" t="s">
        <v>346</v>
      </c>
      <c r="AH317" s="55" t="s">
        <v>339</v>
      </c>
    </row>
    <row r="318" spans="32:34" x14ac:dyDescent="0.35">
      <c r="AF318" s="56">
        <v>45024</v>
      </c>
      <c r="AG318" s="55" t="s">
        <v>347</v>
      </c>
      <c r="AH318" s="55" t="s">
        <v>339</v>
      </c>
    </row>
    <row r="319" spans="32:34" x14ac:dyDescent="0.35">
      <c r="AF319" s="56">
        <v>45025</v>
      </c>
      <c r="AG319" s="55" t="s">
        <v>348</v>
      </c>
      <c r="AH319" s="55" t="s">
        <v>339</v>
      </c>
    </row>
    <row r="320" spans="32:34" x14ac:dyDescent="0.35">
      <c r="AF320" s="56">
        <v>45026</v>
      </c>
      <c r="AG320" s="55" t="s">
        <v>349</v>
      </c>
      <c r="AH320" s="55" t="s">
        <v>339</v>
      </c>
    </row>
    <row r="321" spans="32:34" x14ac:dyDescent="0.35">
      <c r="AF321" s="56">
        <v>45041</v>
      </c>
      <c r="AG321" s="55" t="s">
        <v>350</v>
      </c>
      <c r="AH321" s="55" t="s">
        <v>339</v>
      </c>
    </row>
    <row r="322" spans="32:34" x14ac:dyDescent="0.35">
      <c r="AF322" s="56">
        <v>45047</v>
      </c>
      <c r="AG322" s="55" t="s">
        <v>342</v>
      </c>
      <c r="AH322" s="55" t="s">
        <v>356</v>
      </c>
    </row>
    <row r="323" spans="32:34" x14ac:dyDescent="0.35">
      <c r="AF323" s="56">
        <v>45047</v>
      </c>
      <c r="AG323" s="55" t="s">
        <v>351</v>
      </c>
      <c r="AH323" s="55" t="s">
        <v>352</v>
      </c>
    </row>
    <row r="324" spans="32:34" x14ac:dyDescent="0.35">
      <c r="AF324" s="56">
        <v>45075</v>
      </c>
      <c r="AG324" s="55" t="s">
        <v>371</v>
      </c>
      <c r="AH324" s="55" t="s">
        <v>360</v>
      </c>
    </row>
    <row r="325" spans="32:34" x14ac:dyDescent="0.35">
      <c r="AF325" s="56">
        <v>45082</v>
      </c>
      <c r="AG325" s="55" t="s">
        <v>353</v>
      </c>
      <c r="AH325" s="55" t="s">
        <v>339</v>
      </c>
    </row>
    <row r="326" spans="32:34" x14ac:dyDescent="0.35">
      <c r="AF326" s="56">
        <v>45089</v>
      </c>
      <c r="AG326" s="55" t="s">
        <v>354</v>
      </c>
      <c r="AH326" s="55" t="s">
        <v>360</v>
      </c>
    </row>
    <row r="327" spans="32:34" x14ac:dyDescent="0.35">
      <c r="AF327" s="56">
        <v>45089</v>
      </c>
      <c r="AG327" s="55" t="s">
        <v>354</v>
      </c>
      <c r="AH327" s="55" t="s">
        <v>355</v>
      </c>
    </row>
    <row r="328" spans="32:34" x14ac:dyDescent="0.35">
      <c r="AF328" s="56">
        <v>45089</v>
      </c>
      <c r="AG328" s="55" t="s">
        <v>354</v>
      </c>
      <c r="AH328" s="55" t="s">
        <v>352</v>
      </c>
    </row>
    <row r="329" spans="32:34" x14ac:dyDescent="0.35">
      <c r="AF329" s="56">
        <v>45089</v>
      </c>
      <c r="AG329" s="55" t="s">
        <v>354</v>
      </c>
      <c r="AH329" s="55" t="s">
        <v>345</v>
      </c>
    </row>
    <row r="330" spans="32:34" x14ac:dyDescent="0.35">
      <c r="AF330" s="56">
        <v>45089</v>
      </c>
      <c r="AG330" s="55" t="s">
        <v>354</v>
      </c>
      <c r="AH330" s="55" t="s">
        <v>362</v>
      </c>
    </row>
    <row r="331" spans="32:34" x14ac:dyDescent="0.35">
      <c r="AF331" s="56">
        <v>45135</v>
      </c>
      <c r="AG331" s="55" t="s">
        <v>357</v>
      </c>
      <c r="AH331" s="55" t="s">
        <v>352</v>
      </c>
    </row>
    <row r="332" spans="32:34" x14ac:dyDescent="0.35">
      <c r="AF332" s="56">
        <v>45145</v>
      </c>
      <c r="AG332" s="55" t="s">
        <v>358</v>
      </c>
      <c r="AH332" s="55" t="s">
        <v>352</v>
      </c>
    </row>
    <row r="333" spans="32:34" x14ac:dyDescent="0.35">
      <c r="AF333" s="56">
        <v>45154</v>
      </c>
      <c r="AG333" s="55" t="s">
        <v>368</v>
      </c>
      <c r="AH333" s="55" t="s">
        <v>356</v>
      </c>
    </row>
    <row r="334" spans="32:34" x14ac:dyDescent="0.35">
      <c r="AF334" s="56">
        <v>45194</v>
      </c>
      <c r="AG334" s="55" t="s">
        <v>354</v>
      </c>
      <c r="AH334" s="55" t="s">
        <v>343</v>
      </c>
    </row>
    <row r="335" spans="32:34" x14ac:dyDescent="0.35">
      <c r="AF335" s="56">
        <v>45198</v>
      </c>
      <c r="AG335" s="55" t="s">
        <v>370</v>
      </c>
      <c r="AH335" s="55" t="s">
        <v>362</v>
      </c>
    </row>
    <row r="336" spans="32:34" x14ac:dyDescent="0.35">
      <c r="AF336" s="56">
        <v>45201</v>
      </c>
      <c r="AG336" s="55" t="s">
        <v>342</v>
      </c>
      <c r="AH336" s="55" t="s">
        <v>360</v>
      </c>
    </row>
    <row r="337" spans="32:34" x14ac:dyDescent="0.35">
      <c r="AF337" s="56">
        <v>45201</v>
      </c>
      <c r="AG337" s="55" t="s">
        <v>342</v>
      </c>
      <c r="AH337" s="55" t="s">
        <v>355</v>
      </c>
    </row>
    <row r="338" spans="32:34" x14ac:dyDescent="0.35">
      <c r="AF338" s="56">
        <v>45201</v>
      </c>
      <c r="AG338" s="55" t="s">
        <v>342</v>
      </c>
      <c r="AH338" s="55" t="s">
        <v>345</v>
      </c>
    </row>
    <row r="339" spans="32:34" x14ac:dyDescent="0.35">
      <c r="AF339" s="56">
        <v>45201</v>
      </c>
      <c r="AG339" s="55" t="s">
        <v>354</v>
      </c>
      <c r="AH339" s="55" t="s">
        <v>356</v>
      </c>
    </row>
    <row r="340" spans="32:34" x14ac:dyDescent="0.35">
      <c r="AF340" s="56">
        <v>45237</v>
      </c>
      <c r="AG340" s="55" t="s">
        <v>361</v>
      </c>
      <c r="AH340" s="55" t="s">
        <v>362</v>
      </c>
    </row>
    <row r="341" spans="32:34" x14ac:dyDescent="0.35">
      <c r="AF341" s="56">
        <v>45285</v>
      </c>
      <c r="AG341" s="55" t="s">
        <v>364</v>
      </c>
      <c r="AH341" s="55" t="s">
        <v>339</v>
      </c>
    </row>
    <row r="342" spans="32:34" x14ac:dyDescent="0.35">
      <c r="AF342" s="56">
        <v>45286</v>
      </c>
      <c r="AG342" s="55" t="s">
        <v>365</v>
      </c>
      <c r="AH342" s="55" t="s">
        <v>339</v>
      </c>
    </row>
    <row r="343" spans="32:34" x14ac:dyDescent="0.35">
      <c r="AF343" s="56">
        <v>45292</v>
      </c>
      <c r="AG343" s="55" t="s">
        <v>338</v>
      </c>
      <c r="AH343" s="55" t="s">
        <v>339</v>
      </c>
    </row>
    <row r="344" spans="32:34" x14ac:dyDescent="0.35">
      <c r="AF344" s="56">
        <v>45317</v>
      </c>
      <c r="AG344" s="55" t="s">
        <v>341</v>
      </c>
      <c r="AH344" s="55" t="s">
        <v>339</v>
      </c>
    </row>
    <row r="345" spans="32:34" x14ac:dyDescent="0.35">
      <c r="AF345" s="56">
        <v>45355</v>
      </c>
      <c r="AG345" s="55" t="s">
        <v>342</v>
      </c>
      <c r="AH345" s="55" t="s">
        <v>343</v>
      </c>
    </row>
    <row r="346" spans="32:34" x14ac:dyDescent="0.35">
      <c r="AF346" s="56">
        <v>45362</v>
      </c>
      <c r="AG346" s="55" t="s">
        <v>344</v>
      </c>
      <c r="AH346" s="55" t="s">
        <v>345</v>
      </c>
    </row>
    <row r="347" spans="32:34" x14ac:dyDescent="0.35">
      <c r="AF347" s="56">
        <v>45362</v>
      </c>
      <c r="AG347" s="55" t="s">
        <v>366</v>
      </c>
      <c r="AH347" s="55" t="s">
        <v>360</v>
      </c>
    </row>
    <row r="348" spans="32:34" x14ac:dyDescent="0.35">
      <c r="AF348" s="56">
        <v>45362</v>
      </c>
      <c r="AG348" s="55" t="s">
        <v>342</v>
      </c>
      <c r="AH348" s="55" t="s">
        <v>362</v>
      </c>
    </row>
    <row r="349" spans="32:34" x14ac:dyDescent="0.35">
      <c r="AF349" s="56">
        <v>45380</v>
      </c>
      <c r="AG349" s="55" t="s">
        <v>346</v>
      </c>
      <c r="AH349" s="55" t="s">
        <v>339</v>
      </c>
    </row>
    <row r="350" spans="32:34" x14ac:dyDescent="0.35">
      <c r="AF350" s="56">
        <v>45381</v>
      </c>
      <c r="AG350" s="55" t="s">
        <v>347</v>
      </c>
      <c r="AH350" s="55" t="s">
        <v>339</v>
      </c>
    </row>
    <row r="351" spans="32:34" x14ac:dyDescent="0.35">
      <c r="AF351" s="56">
        <v>45382</v>
      </c>
      <c r="AG351" s="55" t="s">
        <v>348</v>
      </c>
      <c r="AH351" s="55" t="s">
        <v>339</v>
      </c>
    </row>
    <row r="352" spans="32:34" x14ac:dyDescent="0.35">
      <c r="AF352" s="56">
        <v>45383</v>
      </c>
      <c r="AG352" s="55" t="s">
        <v>349</v>
      </c>
      <c r="AH352" s="55" t="s">
        <v>339</v>
      </c>
    </row>
    <row r="353" spans="32:34" x14ac:dyDescent="0.35">
      <c r="AF353" s="56">
        <v>45407</v>
      </c>
      <c r="AG353" s="55" t="s">
        <v>350</v>
      </c>
      <c r="AH353" s="55" t="s">
        <v>339</v>
      </c>
    </row>
    <row r="354" spans="32:34" x14ac:dyDescent="0.35">
      <c r="AF354" s="56">
        <v>45418</v>
      </c>
      <c r="AG354" s="55" t="s">
        <v>342</v>
      </c>
      <c r="AH354" s="55" t="s">
        <v>356</v>
      </c>
    </row>
    <row r="355" spans="32:34" x14ac:dyDescent="0.35">
      <c r="AF355" s="56">
        <v>45418</v>
      </c>
      <c r="AG355" s="55" t="s">
        <v>351</v>
      </c>
      <c r="AH355" s="55" t="s">
        <v>352</v>
      </c>
    </row>
    <row r="356" spans="32:34" x14ac:dyDescent="0.35">
      <c r="AF356" s="56">
        <v>45439</v>
      </c>
      <c r="AG356" s="55" t="s">
        <v>371</v>
      </c>
      <c r="AH356" s="55" t="s">
        <v>360</v>
      </c>
    </row>
    <row r="357" spans="32:34" x14ac:dyDescent="0.35">
      <c r="AF357" s="56">
        <v>45446</v>
      </c>
      <c r="AG357" s="55" t="s">
        <v>353</v>
      </c>
      <c r="AH357" s="55" t="s">
        <v>339</v>
      </c>
    </row>
    <row r="358" spans="32:34" x14ac:dyDescent="0.35">
      <c r="AF358" s="56">
        <v>45453</v>
      </c>
      <c r="AG358" s="55" t="s">
        <v>354</v>
      </c>
      <c r="AH358" s="55" t="s">
        <v>360</v>
      </c>
    </row>
    <row r="359" spans="32:34" x14ac:dyDescent="0.35">
      <c r="AF359" s="56">
        <v>45453</v>
      </c>
      <c r="AG359" s="55" t="s">
        <v>354</v>
      </c>
      <c r="AH359" s="55" t="s">
        <v>355</v>
      </c>
    </row>
    <row r="360" spans="32:34" x14ac:dyDescent="0.35">
      <c r="AF360" s="56">
        <v>45453</v>
      </c>
      <c r="AG360" s="55" t="s">
        <v>354</v>
      </c>
      <c r="AH360" s="55" t="s">
        <v>352</v>
      </c>
    </row>
    <row r="361" spans="32:34" x14ac:dyDescent="0.35">
      <c r="AF361" s="56">
        <v>45453</v>
      </c>
      <c r="AG361" s="55" t="s">
        <v>354</v>
      </c>
      <c r="AH361" s="55" t="s">
        <v>345</v>
      </c>
    </row>
    <row r="362" spans="32:34" x14ac:dyDescent="0.35">
      <c r="AF362" s="56">
        <v>45453</v>
      </c>
      <c r="AG362" s="55" t="s">
        <v>354</v>
      </c>
      <c r="AH362" s="55" t="s">
        <v>362</v>
      </c>
    </row>
    <row r="363" spans="32:34" x14ac:dyDescent="0.35">
      <c r="AF363" s="56">
        <v>45509</v>
      </c>
      <c r="AG363" s="55" t="s">
        <v>358</v>
      </c>
      <c r="AH363" s="55" t="s">
        <v>352</v>
      </c>
    </row>
    <row r="364" spans="32:34" x14ac:dyDescent="0.35">
      <c r="AF364" s="56">
        <v>45518</v>
      </c>
      <c r="AG364" s="55" t="s">
        <v>368</v>
      </c>
      <c r="AH364" s="55" t="s">
        <v>356</v>
      </c>
    </row>
    <row r="365" spans="32:34" x14ac:dyDescent="0.35">
      <c r="AF365" s="56">
        <v>45558</v>
      </c>
      <c r="AG365" s="55" t="s">
        <v>354</v>
      </c>
      <c r="AH365" s="55" t="s">
        <v>343</v>
      </c>
    </row>
    <row r="366" spans="32:34" x14ac:dyDescent="0.35">
      <c r="AF366" s="56">
        <v>45562</v>
      </c>
      <c r="AG366" s="55" t="s">
        <v>370</v>
      </c>
      <c r="AH366" s="55" t="s">
        <v>362</v>
      </c>
    </row>
    <row r="367" spans="32:34" x14ac:dyDescent="0.35">
      <c r="AF367" s="56">
        <v>45572</v>
      </c>
      <c r="AG367" s="55" t="s">
        <v>342</v>
      </c>
      <c r="AH367" s="55" t="s">
        <v>360</v>
      </c>
    </row>
    <row r="368" spans="32:34" x14ac:dyDescent="0.35">
      <c r="AF368" s="56">
        <v>45572</v>
      </c>
      <c r="AG368" s="55" t="s">
        <v>342</v>
      </c>
      <c r="AH368" s="55" t="s">
        <v>355</v>
      </c>
    </row>
    <row r="369" spans="32:34" x14ac:dyDescent="0.35">
      <c r="AF369" s="56">
        <v>45572</v>
      </c>
      <c r="AG369" s="55" t="s">
        <v>342</v>
      </c>
      <c r="AH369" s="55" t="s">
        <v>345</v>
      </c>
    </row>
    <row r="370" spans="32:34" x14ac:dyDescent="0.35">
      <c r="AF370" s="56">
        <v>45572</v>
      </c>
      <c r="AG370" s="55" t="s">
        <v>354</v>
      </c>
      <c r="AH370" s="55" t="s">
        <v>356</v>
      </c>
    </row>
    <row r="371" spans="32:34" x14ac:dyDescent="0.35">
      <c r="AF371" s="56">
        <v>45601</v>
      </c>
      <c r="AG371" s="55" t="s">
        <v>361</v>
      </c>
      <c r="AH371" s="55" t="s">
        <v>362</v>
      </c>
    </row>
    <row r="372" spans="32:34" x14ac:dyDescent="0.35">
      <c r="AF372" s="56">
        <v>45651</v>
      </c>
      <c r="AG372" s="55" t="s">
        <v>364</v>
      </c>
      <c r="AH372" s="55" t="s">
        <v>339</v>
      </c>
    </row>
    <row r="373" spans="32:34" x14ac:dyDescent="0.35">
      <c r="AF373" s="56">
        <v>45652</v>
      </c>
      <c r="AG373" s="55" t="s">
        <v>365</v>
      </c>
      <c r="AH373" s="55" t="s">
        <v>339</v>
      </c>
    </row>
    <row r="374" spans="32:34" x14ac:dyDescent="0.35">
      <c r="AF374" s="56">
        <v>45652</v>
      </c>
      <c r="AG374" s="55" t="s">
        <v>369</v>
      </c>
      <c r="AH374" s="55" t="s">
        <v>345</v>
      </c>
    </row>
    <row r="375" spans="32:34" x14ac:dyDescent="0.35">
      <c r="AF375" s="56">
        <v>45658</v>
      </c>
      <c r="AG375" s="55" t="s">
        <v>338</v>
      </c>
      <c r="AH375" s="55" t="s">
        <v>339</v>
      </c>
    </row>
    <row r="376" spans="32:34" x14ac:dyDescent="0.35">
      <c r="AF376" s="56">
        <v>45684</v>
      </c>
      <c r="AG376" s="55" t="s">
        <v>341</v>
      </c>
      <c r="AH376" s="55" t="s">
        <v>339</v>
      </c>
    </row>
    <row r="377" spans="32:34" x14ac:dyDescent="0.35">
      <c r="AF377" s="56">
        <v>45719</v>
      </c>
      <c r="AG377" s="55" t="s">
        <v>342</v>
      </c>
      <c r="AH377" s="55" t="s">
        <v>343</v>
      </c>
    </row>
    <row r="378" spans="32:34" x14ac:dyDescent="0.35">
      <c r="AF378" s="56">
        <v>45726</v>
      </c>
      <c r="AG378" s="55" t="s">
        <v>344</v>
      </c>
      <c r="AH378" s="55" t="s">
        <v>345</v>
      </c>
    </row>
    <row r="379" spans="32:34" x14ac:dyDescent="0.35">
      <c r="AF379" s="56">
        <v>45726</v>
      </c>
      <c r="AG379" s="55" t="s">
        <v>366</v>
      </c>
      <c r="AH379" s="55" t="s">
        <v>360</v>
      </c>
    </row>
    <row r="380" spans="32:34" x14ac:dyDescent="0.35">
      <c r="AF380" s="56">
        <v>45726</v>
      </c>
      <c r="AG380" s="55" t="s">
        <v>342</v>
      </c>
      <c r="AH380" s="55" t="s">
        <v>362</v>
      </c>
    </row>
    <row r="381" spans="32:34" x14ac:dyDescent="0.35">
      <c r="AF381" s="56">
        <v>45765</v>
      </c>
      <c r="AG381" s="55" t="s">
        <v>346</v>
      </c>
      <c r="AH381" s="55" t="s">
        <v>339</v>
      </c>
    </row>
    <row r="382" spans="32:34" x14ac:dyDescent="0.35">
      <c r="AF382" s="56">
        <v>45766</v>
      </c>
      <c r="AG382" s="55" t="s">
        <v>347</v>
      </c>
      <c r="AH382" s="55" t="s">
        <v>339</v>
      </c>
    </row>
    <row r="383" spans="32:34" x14ac:dyDescent="0.35">
      <c r="AF383" s="56">
        <v>45767</v>
      </c>
      <c r="AG383" s="55" t="s">
        <v>348</v>
      </c>
      <c r="AH383" s="55" t="s">
        <v>339</v>
      </c>
    </row>
    <row r="384" spans="32:34" x14ac:dyDescent="0.35">
      <c r="AF384" s="56">
        <v>45768</v>
      </c>
      <c r="AG384" s="55" t="s">
        <v>349</v>
      </c>
      <c r="AH384" s="55" t="s">
        <v>339</v>
      </c>
    </row>
    <row r="385" spans="32:34" x14ac:dyDescent="0.35">
      <c r="AF385" s="56">
        <v>45772</v>
      </c>
      <c r="AG385" s="55" t="s">
        <v>350</v>
      </c>
      <c r="AH385" s="55" t="s">
        <v>339</v>
      </c>
    </row>
    <row r="386" spans="32:34" x14ac:dyDescent="0.35">
      <c r="AF386" s="56">
        <v>45782</v>
      </c>
      <c r="AG386" s="55" t="s">
        <v>342</v>
      </c>
      <c r="AH386" s="55" t="s">
        <v>356</v>
      </c>
    </row>
    <row r="387" spans="32:34" x14ac:dyDescent="0.35">
      <c r="AF387" s="56">
        <v>45782</v>
      </c>
      <c r="AG387" s="55" t="s">
        <v>351</v>
      </c>
      <c r="AH387" s="55" t="s">
        <v>352</v>
      </c>
    </row>
    <row r="388" spans="32:34" x14ac:dyDescent="0.35">
      <c r="AF388" s="56">
        <v>45810</v>
      </c>
      <c r="AG388" s="55" t="s">
        <v>371</v>
      </c>
      <c r="AH388" s="55" t="s">
        <v>360</v>
      </c>
    </row>
    <row r="389" spans="32:34" x14ac:dyDescent="0.35">
      <c r="AF389" s="56">
        <v>45810</v>
      </c>
      <c r="AG389" s="55" t="s">
        <v>353</v>
      </c>
      <c r="AH389" s="55" t="s">
        <v>339</v>
      </c>
    </row>
    <row r="390" spans="32:34" x14ac:dyDescent="0.35">
      <c r="AF390" s="56">
        <v>45817</v>
      </c>
      <c r="AG390" s="55" t="s">
        <v>354</v>
      </c>
      <c r="AH390" s="55" t="s">
        <v>360</v>
      </c>
    </row>
    <row r="391" spans="32:34" x14ac:dyDescent="0.35">
      <c r="AF391" s="56">
        <v>45817</v>
      </c>
      <c r="AG391" s="55" t="s">
        <v>354</v>
      </c>
      <c r="AH391" s="55" t="s">
        <v>355</v>
      </c>
    </row>
    <row r="392" spans="32:34" x14ac:dyDescent="0.35">
      <c r="AF392" s="56">
        <v>45817</v>
      </c>
      <c r="AG392" s="55" t="s">
        <v>354</v>
      </c>
      <c r="AH392" s="55" t="s">
        <v>352</v>
      </c>
    </row>
    <row r="393" spans="32:34" x14ac:dyDescent="0.35">
      <c r="AF393" s="56">
        <v>45817</v>
      </c>
      <c r="AG393" s="55" t="s">
        <v>354</v>
      </c>
      <c r="AH393" s="55" t="s">
        <v>345</v>
      </c>
    </row>
    <row r="394" spans="32:34" x14ac:dyDescent="0.35">
      <c r="AF394" s="56">
        <v>45817</v>
      </c>
      <c r="AG394" s="55" t="s">
        <v>354</v>
      </c>
      <c r="AH394" s="55" t="s">
        <v>362</v>
      </c>
    </row>
    <row r="395" spans="32:34" x14ac:dyDescent="0.35">
      <c r="AF395" s="56">
        <v>45873</v>
      </c>
      <c r="AG395" s="55" t="s">
        <v>358</v>
      </c>
      <c r="AH395" s="55" t="s">
        <v>352</v>
      </c>
    </row>
    <row r="396" spans="32:34" x14ac:dyDescent="0.35">
      <c r="AF396" s="56">
        <v>45882</v>
      </c>
      <c r="AG396" s="55" t="s">
        <v>368</v>
      </c>
      <c r="AH396" s="55" t="s">
        <v>356</v>
      </c>
    </row>
    <row r="397" spans="32:34" x14ac:dyDescent="0.35">
      <c r="AF397" s="56">
        <v>45929</v>
      </c>
      <c r="AG397" s="55" t="s">
        <v>354</v>
      </c>
      <c r="AH397" s="55" t="s">
        <v>343</v>
      </c>
    </row>
    <row r="398" spans="32:34" x14ac:dyDescent="0.35">
      <c r="AF398" s="56">
        <v>45936</v>
      </c>
      <c r="AG398" s="55" t="s">
        <v>342</v>
      </c>
      <c r="AH398" s="55" t="s">
        <v>360</v>
      </c>
    </row>
    <row r="399" spans="32:34" x14ac:dyDescent="0.35">
      <c r="AF399" s="56">
        <v>45936</v>
      </c>
      <c r="AG399" s="55" t="s">
        <v>342</v>
      </c>
      <c r="AH399" s="55" t="s">
        <v>355</v>
      </c>
    </row>
    <row r="400" spans="32:34" x14ac:dyDescent="0.35">
      <c r="AF400" s="56">
        <v>45936</v>
      </c>
      <c r="AG400" s="55" t="s">
        <v>342</v>
      </c>
      <c r="AH400" s="55" t="s">
        <v>345</v>
      </c>
    </row>
    <row r="401" spans="32:34" x14ac:dyDescent="0.35">
      <c r="AF401" s="56">
        <v>45936</v>
      </c>
      <c r="AG401" s="55" t="s">
        <v>354</v>
      </c>
      <c r="AH401" s="55" t="s">
        <v>356</v>
      </c>
    </row>
    <row r="402" spans="32:34" x14ac:dyDescent="0.35">
      <c r="AF402" s="56">
        <v>45965</v>
      </c>
      <c r="AG402" s="55" t="s">
        <v>361</v>
      </c>
      <c r="AH402" s="55" t="s">
        <v>362</v>
      </c>
    </row>
    <row r="403" spans="32:34" x14ac:dyDescent="0.35">
      <c r="AF403" s="56">
        <v>46016</v>
      </c>
      <c r="AG403" s="55" t="s">
        <v>364</v>
      </c>
      <c r="AH403" s="55" t="s">
        <v>339</v>
      </c>
    </row>
    <row r="404" spans="32:34" x14ac:dyDescent="0.35">
      <c r="AF404" s="56">
        <v>46017</v>
      </c>
      <c r="AG404" s="55" t="s">
        <v>365</v>
      </c>
      <c r="AH404" s="55" t="s">
        <v>339</v>
      </c>
    </row>
    <row r="405" spans="32:34" x14ac:dyDescent="0.35">
      <c r="AF405" s="56">
        <v>46017</v>
      </c>
      <c r="AG405" s="55" t="s">
        <v>369</v>
      </c>
      <c r="AH405" s="55" t="s">
        <v>345</v>
      </c>
    </row>
    <row r="406" spans="32:34" x14ac:dyDescent="0.35">
      <c r="AF406" s="56">
        <v>46023</v>
      </c>
      <c r="AG406" s="55" t="s">
        <v>338</v>
      </c>
      <c r="AH406" s="55" t="s">
        <v>339</v>
      </c>
    </row>
    <row r="407" spans="32:34" x14ac:dyDescent="0.35">
      <c r="AF407" s="56">
        <v>46048</v>
      </c>
      <c r="AG407" s="55" t="s">
        <v>341</v>
      </c>
      <c r="AH407" s="55" t="s">
        <v>339</v>
      </c>
    </row>
    <row r="408" spans="32:34" x14ac:dyDescent="0.35">
      <c r="AF408" s="56">
        <v>46090</v>
      </c>
      <c r="AG408" s="55" t="s">
        <v>366</v>
      </c>
      <c r="AH408" s="55" t="s">
        <v>360</v>
      </c>
    </row>
    <row r="409" spans="32:34" x14ac:dyDescent="0.35">
      <c r="AF409" s="56">
        <v>46115</v>
      </c>
      <c r="AG409" s="55" t="s">
        <v>346</v>
      </c>
      <c r="AH409" s="55" t="s">
        <v>339</v>
      </c>
    </row>
    <row r="410" spans="32:34" x14ac:dyDescent="0.35">
      <c r="AF410" s="56">
        <v>46116</v>
      </c>
      <c r="AG410" s="55" t="s">
        <v>347</v>
      </c>
      <c r="AH410" s="55" t="s">
        <v>339</v>
      </c>
    </row>
    <row r="411" spans="32:34" x14ac:dyDescent="0.35">
      <c r="AF411" s="56">
        <v>46117</v>
      </c>
      <c r="AG411" s="55" t="s">
        <v>348</v>
      </c>
      <c r="AH411" s="55" t="s">
        <v>339</v>
      </c>
    </row>
    <row r="412" spans="32:34" x14ac:dyDescent="0.35">
      <c r="AF412" s="56">
        <v>46118</v>
      </c>
      <c r="AG412" s="55" t="s">
        <v>349</v>
      </c>
      <c r="AH412" s="55" t="s">
        <v>339</v>
      </c>
    </row>
    <row r="413" spans="32:34" x14ac:dyDescent="0.35">
      <c r="AF413" s="56">
        <v>46137</v>
      </c>
      <c r="AG413" s="55" t="s">
        <v>350</v>
      </c>
      <c r="AH413" s="55" t="s">
        <v>339</v>
      </c>
    </row>
    <row r="414" spans="32:34" x14ac:dyDescent="0.35">
      <c r="AF414" s="56">
        <v>46174</v>
      </c>
      <c r="AG414" s="55" t="s">
        <v>371</v>
      </c>
      <c r="AH414" s="55" t="s">
        <v>360</v>
      </c>
    </row>
    <row r="415" spans="32:34" x14ac:dyDescent="0.35">
      <c r="AF415" s="56">
        <v>46181</v>
      </c>
      <c r="AG415" s="55" t="s">
        <v>354</v>
      </c>
      <c r="AH415" s="55" t="s">
        <v>360</v>
      </c>
    </row>
    <row r="416" spans="32:34" x14ac:dyDescent="0.35">
      <c r="AF416" s="56">
        <v>46300</v>
      </c>
      <c r="AG416" s="55" t="s">
        <v>342</v>
      </c>
      <c r="AH416" s="55" t="s">
        <v>360</v>
      </c>
    </row>
    <row r="417" spans="32:34" x14ac:dyDescent="0.35">
      <c r="AF417" s="56">
        <v>46381</v>
      </c>
      <c r="AG417" s="55" t="s">
        <v>364</v>
      </c>
      <c r="AH417" s="55" t="s">
        <v>339</v>
      </c>
    </row>
    <row r="418" spans="32:34" x14ac:dyDescent="0.35">
      <c r="AF418" s="56">
        <v>46382</v>
      </c>
      <c r="AG418" s="55" t="s">
        <v>365</v>
      </c>
      <c r="AH418" s="55" t="s">
        <v>339</v>
      </c>
    </row>
    <row r="419" spans="32:34" x14ac:dyDescent="0.35">
      <c r="AF419" s="56">
        <v>46384</v>
      </c>
      <c r="AG419" s="55" t="s">
        <v>365</v>
      </c>
      <c r="AH419" s="55" t="s">
        <v>339</v>
      </c>
    </row>
    <row r="420" spans="32:34" x14ac:dyDescent="0.35">
      <c r="AF420" s="56">
        <v>46388</v>
      </c>
      <c r="AG420" s="55" t="s">
        <v>338</v>
      </c>
      <c r="AH420" s="55" t="s">
        <v>339</v>
      </c>
    </row>
    <row r="421" spans="32:34" x14ac:dyDescent="0.35">
      <c r="AF421" s="56"/>
    </row>
  </sheetData>
  <sheetProtection algorithmName="SHA-512" hashValue="2vShVEv1qrU7EF2MvQwFN2W/ASU4GXmrUeklH+L9ethTcNcZdS9be2B03xl+NQpnV69wT7fJPyKIRjSUYQcBgQ==" saltValue="wF4ud08Wiym6WkCvs90//Q==" spinCount="100000" sheet="1" objects="1" scenarios="1" formatCells="0" formatColumns="0" formatRows="0" sort="0" autoFilter="0"/>
  <mergeCells count="7">
    <mergeCell ref="Z9:AB9"/>
    <mergeCell ref="B9:D9"/>
    <mergeCell ref="F9:H9"/>
    <mergeCell ref="J9:L9"/>
    <mergeCell ref="N9:P9"/>
    <mergeCell ref="R9:T9"/>
    <mergeCell ref="V9:X9"/>
  </mergeCells>
  <phoneticPr fontId="11" type="noConversion"/>
  <conditionalFormatting sqref="B11:B12">
    <cfRule type="duplicateValues" dxfId="101" priority="18"/>
  </conditionalFormatting>
  <conditionalFormatting sqref="F11:F12">
    <cfRule type="duplicateValues" dxfId="100" priority="16"/>
  </conditionalFormatting>
  <conditionalFormatting sqref="J11:J12">
    <cfRule type="duplicateValues" dxfId="99" priority="14"/>
  </conditionalFormatting>
  <conditionalFormatting sqref="N11:N12">
    <cfRule type="duplicateValues" dxfId="98" priority="12"/>
  </conditionalFormatting>
  <conditionalFormatting sqref="R11:R12">
    <cfRule type="duplicateValues" dxfId="97" priority="10"/>
  </conditionalFormatting>
  <conditionalFormatting sqref="V11:V12">
    <cfRule type="duplicateValues" dxfId="96" priority="8"/>
  </conditionalFormatting>
  <conditionalFormatting sqref="Z11:Z12">
    <cfRule type="duplicateValues" dxfId="95" priority="6"/>
  </conditionalFormatting>
  <conditionalFormatting sqref="N11:N16">
    <cfRule type="duplicateValues" dxfId="94" priority="21"/>
  </conditionalFormatting>
  <conditionalFormatting sqref="R11:R16">
    <cfRule type="duplicateValues" dxfId="93" priority="22"/>
  </conditionalFormatting>
  <conditionalFormatting sqref="Z11:Z13">
    <cfRule type="duplicateValues" dxfId="92" priority="23"/>
  </conditionalFormatting>
  <conditionalFormatting sqref="V11:V26">
    <cfRule type="duplicateValues" dxfId="91" priority="24"/>
  </conditionalFormatting>
  <conditionalFormatting sqref="B11:B13">
    <cfRule type="duplicateValues" dxfId="90" priority="1144"/>
    <cfRule type="duplicateValues" dxfId="89" priority="1145"/>
  </conditionalFormatting>
  <conditionalFormatting sqref="J11:J21">
    <cfRule type="duplicateValues" dxfId="88" priority="1680"/>
    <cfRule type="duplicateValues" dxfId="87" priority="1681"/>
  </conditionalFormatting>
  <conditionalFormatting sqref="F11:F34">
    <cfRule type="duplicateValues" dxfId="86" priority="2687"/>
    <cfRule type="duplicateValues" dxfId="85" priority="2688"/>
  </conditionalFormatting>
  <dataValidations count="1">
    <dataValidation type="date" allowBlank="1" showInputMessage="1" showErrorMessage="1" sqref="AF7:AF420" xr:uid="{07830502-135C-4706-B833-BD9C4BB80909}">
      <formula1>36526</formula1>
      <formula2>62094</formula2>
    </dataValidation>
  </dataValidations>
  <pageMargins left="0.7" right="0.7" top="0.75" bottom="0.75" header="0.3" footer="0.3"/>
  <pageSetup paperSize="9" orientation="portrait" r:id="rId1"/>
  <headerFooter>
    <oddHeader>&amp;L&amp;"Century Gothic"&amp;10&amp;K000000 Business&amp;1#_x000D_</oddHeader>
  </headerFooter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3E04C-28C0-4801-A0BF-325D672B9055}">
  <sheetPr codeName="Sheet9"/>
  <dimension ref="A1"/>
  <sheetViews>
    <sheetView showGridLines="0" zoomScale="85" zoomScaleNormal="85" workbookViewId="0">
      <selection activeCell="F1" sqref="F1:F1048576"/>
    </sheetView>
  </sheetViews>
  <sheetFormatPr defaultRowHeight="14.5" x14ac:dyDescent="0.35"/>
  <cols>
    <col min="2" max="2" width="13.54296875" bestFit="1" customWidth="1"/>
    <col min="3" max="3" width="15.54296875" bestFit="1" customWidth="1"/>
    <col min="4" max="4" width="8" bestFit="1" customWidth="1"/>
    <col min="5" max="5" width="4.54296875" bestFit="1" customWidth="1"/>
    <col min="6" max="6" width="10.7265625" bestFit="1" customWidth="1"/>
  </cols>
  <sheetData/>
  <sheetProtection formatCells="0" formatColumns="0" formatRows="0" deleteRows="0" sort="0" autoFilter="0"/>
  <pageMargins left="0.7" right="0.7" top="0.75" bottom="0.75" header="0.3" footer="0.3"/>
  <headerFooter>
    <oddHeader>&amp;L&amp;"Century Gothic"&amp;10&amp;K000000 Business&amp;1#_x000D_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18551-34A2-4F79-B3BE-59BE7469B4D0}">
  <sheetPr codeName="Sheet3">
    <tabColor theme="1" tint="0.249977111117893"/>
  </sheetPr>
  <dimension ref="A1:L13"/>
  <sheetViews>
    <sheetView workbookViewId="0">
      <selection activeCell="C2" sqref="C2"/>
    </sheetView>
  </sheetViews>
  <sheetFormatPr defaultRowHeight="14.5" x14ac:dyDescent="0.35"/>
  <cols>
    <col min="1" max="1" width="14.1796875" bestFit="1" customWidth="1"/>
    <col min="2" max="2" width="47.54296875" bestFit="1" customWidth="1"/>
    <col min="3" max="3" width="8.81640625" bestFit="1" customWidth="1"/>
    <col min="12" max="12" width="0" hidden="1" customWidth="1"/>
  </cols>
  <sheetData>
    <row r="1" spans="1:12" x14ac:dyDescent="0.35">
      <c r="A1" t="s">
        <v>418</v>
      </c>
      <c r="B1" t="s">
        <v>419</v>
      </c>
      <c r="C1" t="s">
        <v>420</v>
      </c>
      <c r="L1" t="s">
        <v>307</v>
      </c>
    </row>
    <row r="2" spans="1:12" x14ac:dyDescent="0.35">
      <c r="A2" s="7" t="s">
        <v>245</v>
      </c>
      <c r="B2" s="7" t="s">
        <v>315</v>
      </c>
      <c r="C2" s="7"/>
      <c r="L2" t="s">
        <v>308</v>
      </c>
    </row>
    <row r="3" spans="1:12" x14ac:dyDescent="0.35">
      <c r="A3" s="7" t="s">
        <v>246</v>
      </c>
      <c r="B3" s="7" t="s">
        <v>316</v>
      </c>
      <c r="C3" s="7"/>
      <c r="L3" t="s">
        <v>310</v>
      </c>
    </row>
    <row r="4" spans="1:12" x14ac:dyDescent="0.35">
      <c r="A4" s="7" t="s">
        <v>247</v>
      </c>
      <c r="B4" s="7" t="s">
        <v>320</v>
      </c>
      <c r="C4" s="7"/>
      <c r="L4" t="s">
        <v>311</v>
      </c>
    </row>
    <row r="5" spans="1:12" x14ac:dyDescent="0.35">
      <c r="A5" s="7" t="s">
        <v>248</v>
      </c>
      <c r="B5" s="7" t="s">
        <v>319</v>
      </c>
      <c r="C5" s="7"/>
      <c r="L5" t="s">
        <v>312</v>
      </c>
    </row>
    <row r="6" spans="1:12" x14ac:dyDescent="0.35">
      <c r="A6" s="7" t="s">
        <v>249</v>
      </c>
      <c r="B6" s="7" t="s">
        <v>309</v>
      </c>
      <c r="C6" s="7"/>
    </row>
    <row r="7" spans="1:12" x14ac:dyDescent="0.35">
      <c r="A7" s="7" t="s">
        <v>250</v>
      </c>
      <c r="B7" s="7" t="s">
        <v>317</v>
      </c>
      <c r="C7" s="7"/>
    </row>
    <row r="8" spans="1:12" x14ac:dyDescent="0.35">
      <c r="A8" s="7" t="s">
        <v>251</v>
      </c>
      <c r="B8" s="7" t="s">
        <v>333</v>
      </c>
      <c r="C8" s="7"/>
    </row>
    <row r="9" spans="1:12" x14ac:dyDescent="0.35">
      <c r="A9" s="7" t="s">
        <v>252</v>
      </c>
      <c r="B9" s="7" t="s">
        <v>332</v>
      </c>
      <c r="C9" s="7"/>
    </row>
    <row r="10" spans="1:12" x14ac:dyDescent="0.35">
      <c r="A10" s="7" t="s">
        <v>253</v>
      </c>
      <c r="B10" s="7" t="s">
        <v>321</v>
      </c>
      <c r="C10" s="7"/>
    </row>
    <row r="11" spans="1:12" x14ac:dyDescent="0.35">
      <c r="A11" s="7" t="s">
        <v>254</v>
      </c>
      <c r="B11" s="7" t="s">
        <v>318</v>
      </c>
      <c r="C11" s="7"/>
    </row>
    <row r="12" spans="1:12" x14ac:dyDescent="0.35">
      <c r="A12" s="7" t="s">
        <v>255</v>
      </c>
      <c r="B12" s="7" t="s">
        <v>314</v>
      </c>
      <c r="C12" s="7"/>
    </row>
    <row r="13" spans="1:12" x14ac:dyDescent="0.35">
      <c r="A13" s="7" t="s">
        <v>256</v>
      </c>
      <c r="B13" s="7" t="s">
        <v>313</v>
      </c>
      <c r="C13" s="7"/>
    </row>
  </sheetData>
  <sheetProtection formatCells="0" formatColumns="0" formatRows="0" deleteRows="0" sort="0" autoFilter="0"/>
  <dataValidations count="1">
    <dataValidation type="list" allowBlank="1" showInputMessage="1" showErrorMessage="1" sqref="C2:C13" xr:uid="{4B2C7CB0-B77D-4E6A-AA09-EE81CFBC9F54}">
      <formula1>List_Upper</formula1>
    </dataValidation>
  </dataValidations>
  <pageMargins left="0.7" right="0.7" top="0.75" bottom="0.75" header="0.3" footer="0.3"/>
  <headerFooter>
    <oddHeader>&amp;L&amp;"Century Gothic"&amp;10&amp;K000000 Business&amp;1#_x000D_</oddHeader>
  </headerFooter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938B8-124A-4D9D-A76D-D2821EA71990}">
  <sheetPr codeName="Sheet4">
    <tabColor theme="1" tint="0.249977111117893"/>
  </sheetPr>
  <dimension ref="A1:O17"/>
  <sheetViews>
    <sheetView workbookViewId="0">
      <selection activeCell="I20" sqref="I20"/>
    </sheetView>
  </sheetViews>
  <sheetFormatPr defaultRowHeight="14.5" x14ac:dyDescent="0.35"/>
  <cols>
    <col min="1" max="1" width="12.1796875" bestFit="1" customWidth="1"/>
    <col min="2" max="2" width="13.08984375" bestFit="1" customWidth="1"/>
    <col min="3" max="4" width="15.7265625" bestFit="1" customWidth="1"/>
    <col min="5" max="5" width="15.54296875" bestFit="1" customWidth="1"/>
    <col min="6" max="7" width="15.90625" bestFit="1" customWidth="1"/>
    <col min="8" max="8" width="15.1796875" bestFit="1" customWidth="1"/>
    <col min="9" max="9" width="15.26953125" bestFit="1" customWidth="1"/>
    <col min="10" max="10" width="9.36328125" style="15" bestFit="1" customWidth="1"/>
    <col min="11" max="11" width="10.26953125" style="15" bestFit="1" customWidth="1"/>
    <col min="12" max="12" width="8.54296875" style="15" bestFit="1" customWidth="1"/>
    <col min="13" max="13" width="8" style="15" bestFit="1" customWidth="1"/>
  </cols>
  <sheetData>
    <row r="1" spans="1:15" x14ac:dyDescent="0.35">
      <c r="A1" t="s">
        <v>18</v>
      </c>
      <c r="B1" t="s">
        <v>21</v>
      </c>
      <c r="C1" t="s">
        <v>411</v>
      </c>
      <c r="D1" t="s">
        <v>412</v>
      </c>
      <c r="E1" t="s">
        <v>34</v>
      </c>
      <c r="F1" t="s">
        <v>44</v>
      </c>
      <c r="G1" t="s">
        <v>35</v>
      </c>
      <c r="H1" t="s">
        <v>36</v>
      </c>
      <c r="I1" t="s">
        <v>37</v>
      </c>
      <c r="J1" t="s">
        <v>417</v>
      </c>
      <c r="K1" s="15" t="s">
        <v>239</v>
      </c>
      <c r="L1" t="s">
        <v>240</v>
      </c>
      <c r="M1" t="s">
        <v>41</v>
      </c>
      <c r="O1" s="89" t="s">
        <v>431</v>
      </c>
    </row>
    <row r="2" spans="1:15" x14ac:dyDescent="0.35">
      <c r="A2" t="s">
        <v>0</v>
      </c>
      <c r="B2" t="s">
        <v>27</v>
      </c>
      <c r="C2" s="7" t="s">
        <v>199</v>
      </c>
      <c r="D2" s="7" t="s">
        <v>72</v>
      </c>
      <c r="E2" s="7" t="s">
        <v>129</v>
      </c>
      <c r="F2" s="7" t="s">
        <v>152</v>
      </c>
      <c r="G2" s="7" t="s">
        <v>158</v>
      </c>
      <c r="H2" s="7" t="s">
        <v>169</v>
      </c>
      <c r="I2" s="7" t="s">
        <v>162</v>
      </c>
      <c r="J2" t="s">
        <v>98</v>
      </c>
      <c r="K2" s="15">
        <v>433546</v>
      </c>
      <c r="L2">
        <v>500000</v>
      </c>
      <c r="M2"/>
    </row>
    <row r="3" spans="1:15" x14ac:dyDescent="0.35">
      <c r="A3" t="s">
        <v>1</v>
      </c>
      <c r="B3" t="s">
        <v>28</v>
      </c>
      <c r="C3" s="7" t="s">
        <v>199</v>
      </c>
      <c r="D3" s="7" t="s">
        <v>72</v>
      </c>
      <c r="E3" s="7" t="s">
        <v>129</v>
      </c>
      <c r="F3" s="7" t="s">
        <v>152</v>
      </c>
      <c r="G3" s="7" t="s">
        <v>158</v>
      </c>
      <c r="H3" s="7" t="s">
        <v>177</v>
      </c>
      <c r="I3" s="7" t="s">
        <v>164</v>
      </c>
      <c r="J3" t="s">
        <v>98</v>
      </c>
      <c r="K3" s="15">
        <v>445830</v>
      </c>
      <c r="L3">
        <v>700000</v>
      </c>
      <c r="M3"/>
    </row>
    <row r="4" spans="1:15" x14ac:dyDescent="0.35">
      <c r="A4" t="s">
        <v>2</v>
      </c>
      <c r="B4" t="s">
        <v>29</v>
      </c>
      <c r="C4" s="7" t="s">
        <v>199</v>
      </c>
      <c r="D4" s="7" t="s">
        <v>72</v>
      </c>
      <c r="E4" s="7" t="s">
        <v>129</v>
      </c>
      <c r="F4" s="7" t="s">
        <v>152</v>
      </c>
      <c r="G4" s="7" t="s">
        <v>158</v>
      </c>
      <c r="H4" s="7" t="s">
        <v>177</v>
      </c>
      <c r="I4" s="7" t="s">
        <v>164</v>
      </c>
      <c r="J4" t="s">
        <v>98</v>
      </c>
      <c r="K4" s="15">
        <v>47294</v>
      </c>
      <c r="L4"/>
      <c r="M4"/>
    </row>
    <row r="5" spans="1:15" x14ac:dyDescent="0.35">
      <c r="A5" t="s">
        <v>3</v>
      </c>
      <c r="B5" t="s">
        <v>30</v>
      </c>
      <c r="C5" s="7" t="s">
        <v>199</v>
      </c>
      <c r="D5" s="7" t="s">
        <v>78</v>
      </c>
      <c r="E5" s="7" t="s">
        <v>130</v>
      </c>
      <c r="F5" s="7" t="s">
        <v>152</v>
      </c>
      <c r="G5" s="7" t="s">
        <v>158</v>
      </c>
      <c r="H5" s="7" t="s">
        <v>185</v>
      </c>
      <c r="I5" s="7" t="s">
        <v>162</v>
      </c>
      <c r="J5" t="s">
        <v>98</v>
      </c>
      <c r="K5" s="15">
        <v>483228</v>
      </c>
      <c r="L5"/>
      <c r="M5"/>
    </row>
    <row r="6" spans="1:15" x14ac:dyDescent="0.35">
      <c r="A6" t="s">
        <v>4</v>
      </c>
      <c r="B6" t="s">
        <v>51</v>
      </c>
      <c r="C6" s="7" t="s">
        <v>199</v>
      </c>
      <c r="D6" s="7" t="s">
        <v>78</v>
      </c>
      <c r="E6" s="7" t="s">
        <v>129</v>
      </c>
      <c r="F6" s="7" t="s">
        <v>153</v>
      </c>
      <c r="G6" s="7" t="s">
        <v>158</v>
      </c>
      <c r="H6" s="7" t="s">
        <v>185</v>
      </c>
      <c r="I6" s="7" t="s">
        <v>162</v>
      </c>
      <c r="J6" t="s">
        <v>98</v>
      </c>
      <c r="K6" s="15">
        <v>253577</v>
      </c>
      <c r="L6"/>
      <c r="M6"/>
    </row>
    <row r="7" spans="1:15" x14ac:dyDescent="0.35">
      <c r="A7" t="s">
        <v>5</v>
      </c>
      <c r="B7" t="s">
        <v>52</v>
      </c>
      <c r="C7" s="7" t="s">
        <v>199</v>
      </c>
      <c r="D7" s="7" t="s">
        <v>78</v>
      </c>
      <c r="E7" s="7" t="s">
        <v>129</v>
      </c>
      <c r="F7" s="7" t="s">
        <v>153</v>
      </c>
      <c r="G7" s="7" t="s">
        <v>158</v>
      </c>
      <c r="H7" s="7" t="s">
        <v>185</v>
      </c>
      <c r="I7" s="7" t="s">
        <v>162</v>
      </c>
      <c r="J7" t="s">
        <v>98</v>
      </c>
      <c r="K7" s="15">
        <v>451703</v>
      </c>
      <c r="L7"/>
      <c r="M7"/>
    </row>
    <row r="8" spans="1:15" x14ac:dyDescent="0.35">
      <c r="A8" t="s">
        <v>6</v>
      </c>
      <c r="B8" t="s">
        <v>53</v>
      </c>
      <c r="C8" s="7" t="s">
        <v>199</v>
      </c>
      <c r="D8" s="7" t="s">
        <v>82</v>
      </c>
      <c r="E8" s="7" t="s">
        <v>129</v>
      </c>
      <c r="F8" s="7" t="s">
        <v>153</v>
      </c>
      <c r="G8" s="7" t="s">
        <v>160</v>
      </c>
      <c r="H8" s="7" t="s">
        <v>185</v>
      </c>
      <c r="I8" s="7" t="s">
        <v>162</v>
      </c>
      <c r="J8" t="s">
        <v>98</v>
      </c>
      <c r="K8" s="15">
        <v>444652</v>
      </c>
      <c r="L8"/>
      <c r="M8"/>
    </row>
    <row r="9" spans="1:15" x14ac:dyDescent="0.35">
      <c r="A9" t="s">
        <v>7</v>
      </c>
      <c r="B9" t="s">
        <v>54</v>
      </c>
      <c r="C9" s="7" t="s">
        <v>199</v>
      </c>
      <c r="D9" s="7" t="s">
        <v>82</v>
      </c>
      <c r="E9" s="7" t="s">
        <v>129</v>
      </c>
      <c r="F9" s="7" t="s">
        <v>153</v>
      </c>
      <c r="G9" s="7" t="s">
        <v>160</v>
      </c>
      <c r="H9" s="7" t="s">
        <v>179</v>
      </c>
      <c r="I9" s="7" t="s">
        <v>164</v>
      </c>
      <c r="J9" t="s">
        <v>98</v>
      </c>
      <c r="K9" s="15">
        <v>330747</v>
      </c>
      <c r="L9"/>
      <c r="M9"/>
    </row>
    <row r="10" spans="1:15" x14ac:dyDescent="0.35">
      <c r="A10" t="s">
        <v>8</v>
      </c>
      <c r="B10" t="s">
        <v>55</v>
      </c>
      <c r="C10" s="7" t="s">
        <v>199</v>
      </c>
      <c r="D10" s="7" t="s">
        <v>86</v>
      </c>
      <c r="E10" s="7" t="s">
        <v>129</v>
      </c>
      <c r="F10" s="7" t="s">
        <v>154</v>
      </c>
      <c r="G10" s="7" t="s">
        <v>160</v>
      </c>
      <c r="H10" s="7" t="s">
        <v>179</v>
      </c>
      <c r="I10" s="7" t="s">
        <v>164</v>
      </c>
      <c r="J10" t="s">
        <v>98</v>
      </c>
      <c r="K10" s="15">
        <v>327522</v>
      </c>
      <c r="L10"/>
      <c r="M10"/>
    </row>
    <row r="11" spans="1:15" x14ac:dyDescent="0.35">
      <c r="A11" t="s">
        <v>9</v>
      </c>
      <c r="B11" t="s">
        <v>56</v>
      </c>
      <c r="C11" s="7" t="s">
        <v>199</v>
      </c>
      <c r="D11" s="7" t="s">
        <v>86</v>
      </c>
      <c r="E11" s="7" t="s">
        <v>129</v>
      </c>
      <c r="F11" s="7" t="s">
        <v>154</v>
      </c>
      <c r="G11" s="7" t="s">
        <v>160</v>
      </c>
      <c r="H11" s="7" t="s">
        <v>181</v>
      </c>
      <c r="I11" s="7" t="s">
        <v>163</v>
      </c>
      <c r="J11" t="s">
        <v>98</v>
      </c>
      <c r="K11" s="15">
        <v>142790</v>
      </c>
      <c r="L11"/>
      <c r="M11"/>
    </row>
    <row r="12" spans="1:15" x14ac:dyDescent="0.35">
      <c r="A12" t="s">
        <v>10</v>
      </c>
      <c r="B12" t="s">
        <v>57</v>
      </c>
      <c r="C12" s="7" t="s">
        <v>199</v>
      </c>
      <c r="D12" s="7" t="s">
        <v>86</v>
      </c>
      <c r="E12" s="7" t="s">
        <v>129</v>
      </c>
      <c r="F12" s="7" t="s">
        <v>154</v>
      </c>
      <c r="G12" s="7" t="s">
        <v>138</v>
      </c>
      <c r="H12" s="7" t="s">
        <v>191</v>
      </c>
      <c r="I12" s="7" t="s">
        <v>163</v>
      </c>
      <c r="J12" t="s">
        <v>98</v>
      </c>
      <c r="K12" s="15">
        <v>58004</v>
      </c>
      <c r="L12"/>
      <c r="M12"/>
    </row>
    <row r="13" spans="1:15" x14ac:dyDescent="0.35">
      <c r="A13" t="s">
        <v>11</v>
      </c>
      <c r="B13" t="s">
        <v>58</v>
      </c>
      <c r="C13" s="7" t="s">
        <v>199</v>
      </c>
      <c r="D13" s="7" t="s">
        <v>86</v>
      </c>
      <c r="E13" s="7" t="s">
        <v>129</v>
      </c>
      <c r="F13" s="7" t="s">
        <v>154</v>
      </c>
      <c r="G13" s="7" t="s">
        <v>138</v>
      </c>
      <c r="H13" s="7" t="s">
        <v>191</v>
      </c>
      <c r="I13" s="7" t="s">
        <v>163</v>
      </c>
      <c r="J13" t="s">
        <v>82</v>
      </c>
      <c r="K13" s="15">
        <v>351770</v>
      </c>
      <c r="L13"/>
      <c r="M13"/>
    </row>
    <row r="14" spans="1:15" x14ac:dyDescent="0.35">
      <c r="A14" t="s">
        <v>12</v>
      </c>
      <c r="B14" t="s">
        <v>59</v>
      </c>
      <c r="C14" s="7" t="s">
        <v>199</v>
      </c>
      <c r="D14" s="7" t="s">
        <v>102</v>
      </c>
      <c r="E14" s="7" t="s">
        <v>129</v>
      </c>
      <c r="F14" s="7" t="s">
        <v>155</v>
      </c>
      <c r="G14" s="7" t="s">
        <v>138</v>
      </c>
      <c r="H14" s="7" t="s">
        <v>191</v>
      </c>
      <c r="I14" s="7" t="s">
        <v>163</v>
      </c>
      <c r="J14" t="s">
        <v>82</v>
      </c>
      <c r="K14" s="15">
        <v>426433</v>
      </c>
      <c r="L14"/>
      <c r="M14"/>
    </row>
    <row r="15" spans="1:15" x14ac:dyDescent="0.35">
      <c r="A15" t="s">
        <v>13</v>
      </c>
      <c r="B15" t="s">
        <v>60</v>
      </c>
      <c r="C15" s="7" t="s">
        <v>199</v>
      </c>
      <c r="D15" s="7" t="s">
        <v>102</v>
      </c>
      <c r="E15" s="7" t="s">
        <v>129</v>
      </c>
      <c r="F15" s="7" t="s">
        <v>155</v>
      </c>
      <c r="G15" s="7" t="s">
        <v>138</v>
      </c>
      <c r="H15" s="7" t="s">
        <v>191</v>
      </c>
      <c r="I15" s="7" t="s">
        <v>163</v>
      </c>
      <c r="J15" t="s">
        <v>72</v>
      </c>
      <c r="K15" s="15">
        <v>349293</v>
      </c>
      <c r="L15"/>
      <c r="M15"/>
    </row>
    <row r="16" spans="1:15" x14ac:dyDescent="0.35">
      <c r="A16" t="s">
        <v>14</v>
      </c>
      <c r="B16" t="s">
        <v>61</v>
      </c>
      <c r="C16" s="7" t="s">
        <v>199</v>
      </c>
      <c r="D16" s="7" t="s">
        <v>108</v>
      </c>
      <c r="E16" s="7" t="s">
        <v>129</v>
      </c>
      <c r="F16" s="7" t="s">
        <v>155</v>
      </c>
      <c r="G16" s="7" t="s">
        <v>157</v>
      </c>
      <c r="H16" s="7" t="s">
        <v>181</v>
      </c>
      <c r="I16" s="7" t="s">
        <v>163</v>
      </c>
      <c r="J16" t="s">
        <v>98</v>
      </c>
      <c r="K16" s="15">
        <v>337401</v>
      </c>
      <c r="L16"/>
      <c r="M16"/>
    </row>
    <row r="17" spans="1:13" x14ac:dyDescent="0.35">
      <c r="A17" t="s">
        <v>15</v>
      </c>
      <c r="B17" t="s">
        <v>62</v>
      </c>
      <c r="C17" s="7" t="s">
        <v>199</v>
      </c>
      <c r="D17" s="7" t="s">
        <v>108</v>
      </c>
      <c r="E17" s="7" t="s">
        <v>129</v>
      </c>
      <c r="F17" s="7" t="s">
        <v>156</v>
      </c>
      <c r="G17" s="7" t="s">
        <v>157</v>
      </c>
      <c r="H17" s="7" t="s">
        <v>181</v>
      </c>
      <c r="I17" s="7" t="s">
        <v>163</v>
      </c>
      <c r="J17" t="s">
        <v>98</v>
      </c>
      <c r="K17" s="15">
        <v>179627</v>
      </c>
      <c r="L17"/>
      <c r="M17"/>
    </row>
  </sheetData>
  <sheetProtection formatCells="0" formatColumns="0" formatRows="0" deleteRows="0" sort="0" autoFilter="0"/>
  <phoneticPr fontId="11" type="noConversion"/>
  <pageMargins left="0.7" right="0.7" top="0.75" bottom="0.75" header="0.3" footer="0.3"/>
  <headerFooter>
    <oddHeader>&amp;L&amp;"Century Gothic"&amp;10&amp;K000000 Business&amp;1#_x000D_</oddHead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A741B-BCB2-4A2E-8140-61C4B6F616E7}">
  <sheetPr codeName="Sheet5">
    <tabColor theme="1" tint="0.249977111117893"/>
  </sheetPr>
  <dimension ref="A1:I193"/>
  <sheetViews>
    <sheetView workbookViewId="0">
      <selection activeCell="H15" sqref="H15"/>
    </sheetView>
  </sheetViews>
  <sheetFormatPr defaultRowHeight="14.5" x14ac:dyDescent="0.35"/>
  <cols>
    <col min="1" max="1" width="12.7265625" bestFit="1" customWidth="1"/>
    <col min="2" max="2" width="9.1796875" bestFit="1" customWidth="1"/>
    <col min="3" max="4" width="10.7265625" bestFit="1" customWidth="1"/>
    <col min="5" max="5" width="9.7265625" bestFit="1" customWidth="1"/>
    <col min="6" max="6" width="21.26953125" bestFit="1" customWidth="1"/>
    <col min="7" max="7" width="47.81640625" bestFit="1" customWidth="1"/>
  </cols>
  <sheetData>
    <row r="1" spans="1:9" x14ac:dyDescent="0.35">
      <c r="A1" t="s">
        <v>18</v>
      </c>
      <c r="B1" t="s">
        <v>306</v>
      </c>
      <c r="C1" t="s">
        <v>257</v>
      </c>
      <c r="D1" t="s">
        <v>258</v>
      </c>
      <c r="E1" t="s">
        <v>40</v>
      </c>
      <c r="F1" t="s">
        <v>38</v>
      </c>
      <c r="G1" t="s">
        <v>386</v>
      </c>
      <c r="I1" s="89" t="s">
        <v>431</v>
      </c>
    </row>
    <row r="2" spans="1:9" x14ac:dyDescent="0.35">
      <c r="A2" t="s">
        <v>0</v>
      </c>
      <c r="B2" s="7" t="s">
        <v>387</v>
      </c>
      <c r="C2" s="10">
        <v>45735</v>
      </c>
      <c r="D2" s="10">
        <v>45292</v>
      </c>
      <c r="E2" s="10">
        <v>45292</v>
      </c>
      <c r="F2" t="s">
        <v>27</v>
      </c>
      <c r="G2" s="7" t="s">
        <v>388</v>
      </c>
    </row>
    <row r="3" spans="1:9" x14ac:dyDescent="0.35">
      <c r="A3" t="s">
        <v>0</v>
      </c>
      <c r="B3" s="7" t="s">
        <v>389</v>
      </c>
      <c r="C3" s="10">
        <v>45756</v>
      </c>
      <c r="D3" s="10">
        <v>45292</v>
      </c>
      <c r="E3" s="10">
        <v>45292</v>
      </c>
      <c r="F3" t="s">
        <v>27</v>
      </c>
      <c r="G3" s="7" t="s">
        <v>390</v>
      </c>
    </row>
    <row r="4" spans="1:9" x14ac:dyDescent="0.35">
      <c r="A4" t="s">
        <v>0</v>
      </c>
      <c r="B4" s="7" t="s">
        <v>391</v>
      </c>
      <c r="C4" s="10">
        <v>45763</v>
      </c>
      <c r="D4" s="10">
        <v>45292</v>
      </c>
      <c r="E4" s="10">
        <v>45292</v>
      </c>
      <c r="F4" t="s">
        <v>27</v>
      </c>
      <c r="G4" s="7" t="s">
        <v>392</v>
      </c>
    </row>
    <row r="5" spans="1:9" x14ac:dyDescent="0.35">
      <c r="A5" t="s">
        <v>0</v>
      </c>
      <c r="B5" s="7" t="s">
        <v>393</v>
      </c>
      <c r="C5" s="10">
        <v>45775</v>
      </c>
      <c r="D5" s="10">
        <v>45292</v>
      </c>
      <c r="E5" s="10">
        <v>45292</v>
      </c>
      <c r="F5" t="s">
        <v>27</v>
      </c>
      <c r="G5" s="7" t="s">
        <v>394</v>
      </c>
    </row>
    <row r="6" spans="1:9" x14ac:dyDescent="0.35">
      <c r="A6" t="s">
        <v>0</v>
      </c>
      <c r="B6" s="7" t="s">
        <v>395</v>
      </c>
      <c r="C6" s="10">
        <v>45783</v>
      </c>
      <c r="D6" s="10">
        <v>45306</v>
      </c>
      <c r="E6" s="10"/>
      <c r="F6" t="s">
        <v>27</v>
      </c>
      <c r="G6" s="7" t="s">
        <v>396</v>
      </c>
    </row>
    <row r="7" spans="1:9" x14ac:dyDescent="0.35">
      <c r="A7" t="s">
        <v>0</v>
      </c>
      <c r="B7" s="7" t="s">
        <v>397</v>
      </c>
      <c r="C7" s="10">
        <v>45812</v>
      </c>
      <c r="D7" s="10">
        <v>45335</v>
      </c>
      <c r="E7" s="10"/>
      <c r="F7" t="s">
        <v>27</v>
      </c>
      <c r="G7" s="7" t="s">
        <v>398</v>
      </c>
    </row>
    <row r="8" spans="1:9" x14ac:dyDescent="0.35">
      <c r="A8" t="s">
        <v>0</v>
      </c>
      <c r="B8" s="7" t="s">
        <v>399</v>
      </c>
      <c r="C8" s="10">
        <v>45834</v>
      </c>
      <c r="D8" s="10">
        <v>45357</v>
      </c>
      <c r="E8" s="10"/>
      <c r="F8" t="s">
        <v>27</v>
      </c>
      <c r="G8" s="7" t="s">
        <v>400</v>
      </c>
    </row>
    <row r="9" spans="1:9" x14ac:dyDescent="0.35">
      <c r="A9" t="s">
        <v>0</v>
      </c>
      <c r="B9" s="7" t="s">
        <v>401</v>
      </c>
      <c r="C9" s="10">
        <v>45841</v>
      </c>
      <c r="D9" s="10">
        <v>45365</v>
      </c>
      <c r="E9" s="10"/>
      <c r="F9" t="s">
        <v>27</v>
      </c>
      <c r="G9" s="7" t="s">
        <v>402</v>
      </c>
    </row>
    <row r="10" spans="1:9" x14ac:dyDescent="0.35">
      <c r="A10" t="s">
        <v>0</v>
      </c>
      <c r="B10" s="7" t="s">
        <v>403</v>
      </c>
      <c r="C10" s="10">
        <v>45841</v>
      </c>
      <c r="D10" s="10">
        <v>45379</v>
      </c>
      <c r="E10" s="10"/>
      <c r="F10" t="s">
        <v>27</v>
      </c>
      <c r="G10" s="7" t="s">
        <v>404</v>
      </c>
    </row>
    <row r="11" spans="1:9" x14ac:dyDescent="0.35">
      <c r="A11" t="s">
        <v>0</v>
      </c>
      <c r="B11" s="7" t="s">
        <v>405</v>
      </c>
      <c r="C11" s="10">
        <v>45855</v>
      </c>
      <c r="D11" s="10">
        <v>45397</v>
      </c>
      <c r="E11" s="10"/>
      <c r="F11" t="s">
        <v>27</v>
      </c>
      <c r="G11" s="7" t="s">
        <v>406</v>
      </c>
    </row>
    <row r="12" spans="1:9" x14ac:dyDescent="0.35">
      <c r="A12" t="s">
        <v>0</v>
      </c>
      <c r="B12" s="7" t="s">
        <v>407</v>
      </c>
      <c r="C12" s="10">
        <v>45860</v>
      </c>
      <c r="D12" s="10">
        <v>45400</v>
      </c>
      <c r="E12" s="10"/>
      <c r="F12" t="s">
        <v>27</v>
      </c>
      <c r="G12" s="7" t="s">
        <v>408</v>
      </c>
    </row>
    <row r="13" spans="1:9" x14ac:dyDescent="0.35">
      <c r="A13" t="s">
        <v>0</v>
      </c>
      <c r="B13" s="7" t="s">
        <v>409</v>
      </c>
      <c r="C13" s="10">
        <v>46023</v>
      </c>
      <c r="D13" s="10">
        <v>45567</v>
      </c>
      <c r="E13" s="10"/>
      <c r="F13" t="s">
        <v>27</v>
      </c>
      <c r="G13" s="7" t="s">
        <v>410</v>
      </c>
    </row>
    <row r="14" spans="1:9" x14ac:dyDescent="0.35">
      <c r="A14" t="s">
        <v>1</v>
      </c>
      <c r="B14" s="7" t="s">
        <v>387</v>
      </c>
      <c r="C14" s="10">
        <v>46079</v>
      </c>
      <c r="D14" s="10">
        <v>45323</v>
      </c>
      <c r="E14" s="10">
        <v>45323</v>
      </c>
      <c r="F14" t="s">
        <v>28</v>
      </c>
      <c r="G14" s="7" t="s">
        <v>388</v>
      </c>
    </row>
    <row r="15" spans="1:9" x14ac:dyDescent="0.35">
      <c r="A15" t="s">
        <v>1</v>
      </c>
      <c r="B15" s="7" t="s">
        <v>389</v>
      </c>
      <c r="C15" s="10">
        <v>46101</v>
      </c>
      <c r="D15" s="10">
        <v>45337</v>
      </c>
      <c r="E15" s="10"/>
      <c r="F15" t="s">
        <v>28</v>
      </c>
      <c r="G15" s="7" t="s">
        <v>390</v>
      </c>
    </row>
    <row r="16" spans="1:9" x14ac:dyDescent="0.35">
      <c r="A16" t="s">
        <v>1</v>
      </c>
      <c r="B16" s="7" t="s">
        <v>391</v>
      </c>
      <c r="C16" s="10">
        <v>46108</v>
      </c>
      <c r="D16" s="10">
        <v>45344</v>
      </c>
      <c r="E16" s="10"/>
      <c r="F16" t="s">
        <v>28</v>
      </c>
      <c r="G16" s="7" t="s">
        <v>392</v>
      </c>
    </row>
    <row r="17" spans="1:7" x14ac:dyDescent="0.35">
      <c r="A17" t="s">
        <v>1</v>
      </c>
      <c r="B17" s="7" t="s">
        <v>393</v>
      </c>
      <c r="C17" s="10">
        <v>46119</v>
      </c>
      <c r="D17" s="10">
        <v>45351</v>
      </c>
      <c r="E17" s="10"/>
      <c r="F17" t="s">
        <v>28</v>
      </c>
      <c r="G17" s="7" t="s">
        <v>394</v>
      </c>
    </row>
    <row r="18" spans="1:7" x14ac:dyDescent="0.35">
      <c r="A18" t="s">
        <v>1</v>
      </c>
      <c r="B18" s="7" t="s">
        <v>395</v>
      </c>
      <c r="C18" s="10">
        <v>46126</v>
      </c>
      <c r="D18" s="10">
        <v>45359</v>
      </c>
      <c r="E18" s="10"/>
      <c r="F18" t="s">
        <v>28</v>
      </c>
      <c r="G18" s="7" t="s">
        <v>396</v>
      </c>
    </row>
    <row r="19" spans="1:7" x14ac:dyDescent="0.35">
      <c r="A19" t="s">
        <v>1</v>
      </c>
      <c r="B19" s="7" t="s">
        <v>397</v>
      </c>
      <c r="C19" s="10">
        <v>46154</v>
      </c>
      <c r="D19" s="10">
        <v>45392</v>
      </c>
      <c r="E19" s="10"/>
      <c r="F19" t="s">
        <v>28</v>
      </c>
      <c r="G19" s="7" t="s">
        <v>398</v>
      </c>
    </row>
    <row r="20" spans="1:7" x14ac:dyDescent="0.35">
      <c r="A20" t="s">
        <v>1</v>
      </c>
      <c r="B20" s="7" t="s">
        <v>399</v>
      </c>
      <c r="C20" s="10">
        <v>46176</v>
      </c>
      <c r="D20" s="10">
        <v>45414</v>
      </c>
      <c r="E20" s="10"/>
      <c r="F20" t="s">
        <v>28</v>
      </c>
      <c r="G20" s="7" t="s">
        <v>400</v>
      </c>
    </row>
    <row r="21" spans="1:7" x14ac:dyDescent="0.35">
      <c r="A21" t="s">
        <v>1</v>
      </c>
      <c r="B21" s="7" t="s">
        <v>401</v>
      </c>
      <c r="C21" s="10">
        <v>46184</v>
      </c>
      <c r="D21" s="10">
        <v>45422</v>
      </c>
      <c r="E21" s="10"/>
      <c r="F21" t="s">
        <v>28</v>
      </c>
      <c r="G21" s="7" t="s">
        <v>402</v>
      </c>
    </row>
    <row r="22" spans="1:7" x14ac:dyDescent="0.35">
      <c r="A22" t="s">
        <v>1</v>
      </c>
      <c r="B22" s="7" t="s">
        <v>403</v>
      </c>
      <c r="C22" s="10">
        <v>46198</v>
      </c>
      <c r="D22" s="10">
        <v>45436</v>
      </c>
      <c r="E22" s="10"/>
      <c r="F22" t="s">
        <v>28</v>
      </c>
      <c r="G22" s="7" t="s">
        <v>404</v>
      </c>
    </row>
    <row r="23" spans="1:7" x14ac:dyDescent="0.35">
      <c r="A23" t="s">
        <v>1</v>
      </c>
      <c r="B23" s="7" t="s">
        <v>405</v>
      </c>
      <c r="C23" s="10">
        <v>46212</v>
      </c>
      <c r="D23" s="10">
        <v>45455</v>
      </c>
      <c r="E23" s="10"/>
      <c r="F23" t="s">
        <v>28</v>
      </c>
      <c r="G23" s="7" t="s">
        <v>406</v>
      </c>
    </row>
    <row r="24" spans="1:7" x14ac:dyDescent="0.35">
      <c r="A24" t="s">
        <v>1</v>
      </c>
      <c r="B24" s="7" t="s">
        <v>407</v>
      </c>
      <c r="C24" s="10">
        <v>46217</v>
      </c>
      <c r="D24" s="10">
        <v>45460</v>
      </c>
      <c r="E24" s="10"/>
      <c r="F24" t="s">
        <v>28</v>
      </c>
      <c r="G24" s="7" t="s">
        <v>408</v>
      </c>
    </row>
    <row r="25" spans="1:7" x14ac:dyDescent="0.35">
      <c r="A25" t="s">
        <v>1</v>
      </c>
      <c r="B25" s="7" t="s">
        <v>409</v>
      </c>
      <c r="C25" s="10">
        <v>46433</v>
      </c>
      <c r="D25" s="10">
        <v>45681</v>
      </c>
      <c r="E25" s="10"/>
      <c r="F25" t="s">
        <v>28</v>
      </c>
      <c r="G25" s="7" t="s">
        <v>410</v>
      </c>
    </row>
    <row r="26" spans="1:7" x14ac:dyDescent="0.35">
      <c r="A26" t="s">
        <v>2</v>
      </c>
      <c r="B26" s="7" t="s">
        <v>387</v>
      </c>
      <c r="C26" s="10">
        <v>45289</v>
      </c>
      <c r="D26" s="10">
        <v>45352</v>
      </c>
      <c r="E26" s="10">
        <v>45352</v>
      </c>
      <c r="F26" t="s">
        <v>29</v>
      </c>
      <c r="G26" s="7" t="s">
        <v>388</v>
      </c>
    </row>
    <row r="27" spans="1:7" x14ac:dyDescent="0.35">
      <c r="A27" t="s">
        <v>2</v>
      </c>
      <c r="B27" s="7" t="s">
        <v>389</v>
      </c>
      <c r="C27" s="10">
        <v>45313</v>
      </c>
      <c r="D27" s="10">
        <v>45377</v>
      </c>
      <c r="E27" s="10"/>
      <c r="F27" t="s">
        <v>29</v>
      </c>
      <c r="G27" s="7" t="s">
        <v>390</v>
      </c>
    </row>
    <row r="28" spans="1:7" x14ac:dyDescent="0.35">
      <c r="A28" t="s">
        <v>2</v>
      </c>
      <c r="B28" s="7" t="s">
        <v>391</v>
      </c>
      <c r="C28" s="10">
        <v>45321</v>
      </c>
      <c r="D28" s="10">
        <v>45393</v>
      </c>
      <c r="E28" s="10"/>
      <c r="F28" t="s">
        <v>29</v>
      </c>
      <c r="G28" s="7" t="s">
        <v>392</v>
      </c>
    </row>
    <row r="29" spans="1:7" x14ac:dyDescent="0.35">
      <c r="A29" t="s">
        <v>2</v>
      </c>
      <c r="B29" s="7" t="s">
        <v>393</v>
      </c>
      <c r="C29" s="10">
        <v>45328</v>
      </c>
      <c r="D29" s="10">
        <v>45408</v>
      </c>
      <c r="E29" s="10"/>
      <c r="F29" t="s">
        <v>29</v>
      </c>
      <c r="G29" s="7" t="s">
        <v>394</v>
      </c>
    </row>
    <row r="30" spans="1:7" x14ac:dyDescent="0.35">
      <c r="A30" t="s">
        <v>2</v>
      </c>
      <c r="B30" s="7" t="s">
        <v>395</v>
      </c>
      <c r="C30" s="10">
        <v>45335</v>
      </c>
      <c r="D30" s="10">
        <v>45425</v>
      </c>
      <c r="E30" s="10"/>
      <c r="F30" t="s">
        <v>29</v>
      </c>
      <c r="G30" s="7" t="s">
        <v>396</v>
      </c>
    </row>
    <row r="31" spans="1:7" x14ac:dyDescent="0.35">
      <c r="A31" t="s">
        <v>2</v>
      </c>
      <c r="B31" s="7" t="s">
        <v>397</v>
      </c>
      <c r="C31" s="10">
        <v>45365</v>
      </c>
      <c r="D31" s="10">
        <v>45440</v>
      </c>
      <c r="E31" s="10"/>
      <c r="F31" t="s">
        <v>29</v>
      </c>
      <c r="G31" s="7" t="s">
        <v>398</v>
      </c>
    </row>
    <row r="32" spans="1:7" x14ac:dyDescent="0.35">
      <c r="A32" t="s">
        <v>2</v>
      </c>
      <c r="B32" s="7" t="s">
        <v>399</v>
      </c>
      <c r="C32" s="10">
        <v>45390</v>
      </c>
      <c r="D32" s="10">
        <v>45463</v>
      </c>
      <c r="E32" s="10"/>
      <c r="F32" t="s">
        <v>29</v>
      </c>
      <c r="G32" s="7" t="s">
        <v>400</v>
      </c>
    </row>
    <row r="33" spans="1:7" x14ac:dyDescent="0.35">
      <c r="A33" t="s">
        <v>2</v>
      </c>
      <c r="B33" s="7" t="s">
        <v>401</v>
      </c>
      <c r="C33" s="10">
        <v>45397</v>
      </c>
      <c r="D33" s="10">
        <v>45470</v>
      </c>
      <c r="E33" s="10"/>
      <c r="F33" t="s">
        <v>29</v>
      </c>
      <c r="G33" s="7" t="s">
        <v>402</v>
      </c>
    </row>
    <row r="34" spans="1:7" x14ac:dyDescent="0.35">
      <c r="A34" t="s">
        <v>2</v>
      </c>
      <c r="B34" s="7" t="s">
        <v>403</v>
      </c>
      <c r="C34" s="10">
        <v>45412</v>
      </c>
      <c r="D34" s="10">
        <v>45484</v>
      </c>
      <c r="E34" s="10"/>
      <c r="F34" t="s">
        <v>29</v>
      </c>
      <c r="G34" s="7" t="s">
        <v>404</v>
      </c>
    </row>
    <row r="35" spans="1:7" x14ac:dyDescent="0.35">
      <c r="A35" t="s">
        <v>2</v>
      </c>
      <c r="B35" s="7" t="s">
        <v>405</v>
      </c>
      <c r="C35" s="10">
        <v>45427</v>
      </c>
      <c r="D35" s="10">
        <v>45498</v>
      </c>
      <c r="E35" s="10"/>
      <c r="F35" t="s">
        <v>29</v>
      </c>
      <c r="G35" s="7" t="s">
        <v>406</v>
      </c>
    </row>
    <row r="36" spans="1:7" x14ac:dyDescent="0.35">
      <c r="A36" t="s">
        <v>2</v>
      </c>
      <c r="B36" s="7" t="s">
        <v>407</v>
      </c>
      <c r="C36" s="10">
        <v>45432</v>
      </c>
      <c r="D36" s="10">
        <v>45503</v>
      </c>
      <c r="E36" s="10"/>
      <c r="F36" t="s">
        <v>29</v>
      </c>
      <c r="G36" s="7" t="s">
        <v>408</v>
      </c>
    </row>
    <row r="37" spans="1:7" x14ac:dyDescent="0.35">
      <c r="A37" t="s">
        <v>2</v>
      </c>
      <c r="B37" s="7" t="s">
        <v>409</v>
      </c>
      <c r="C37" s="10">
        <v>45732</v>
      </c>
      <c r="D37" s="10">
        <v>45805</v>
      </c>
      <c r="E37" s="10"/>
      <c r="F37" t="s">
        <v>29</v>
      </c>
      <c r="G37" s="7" t="s">
        <v>410</v>
      </c>
    </row>
    <row r="38" spans="1:7" x14ac:dyDescent="0.35">
      <c r="A38" t="s">
        <v>3</v>
      </c>
      <c r="B38" s="7" t="s">
        <v>387</v>
      </c>
      <c r="C38" s="10">
        <v>45783</v>
      </c>
      <c r="D38" s="10">
        <v>45444</v>
      </c>
      <c r="E38" s="10">
        <v>45444</v>
      </c>
      <c r="F38" t="s">
        <v>30</v>
      </c>
      <c r="G38" s="7" t="s">
        <v>388</v>
      </c>
    </row>
    <row r="39" spans="1:7" x14ac:dyDescent="0.35">
      <c r="A39" t="s">
        <v>3</v>
      </c>
      <c r="B39" s="7" t="s">
        <v>389</v>
      </c>
      <c r="C39" s="10">
        <v>45804</v>
      </c>
      <c r="D39" s="10">
        <v>45519</v>
      </c>
      <c r="E39" s="10"/>
      <c r="F39" t="s">
        <v>30</v>
      </c>
      <c r="G39" s="7" t="s">
        <v>390</v>
      </c>
    </row>
    <row r="40" spans="1:7" x14ac:dyDescent="0.35">
      <c r="A40" t="s">
        <v>3</v>
      </c>
      <c r="B40" s="7" t="s">
        <v>391</v>
      </c>
      <c r="C40" s="10">
        <v>45812</v>
      </c>
      <c r="D40" s="10">
        <v>45526</v>
      </c>
      <c r="E40" s="10"/>
      <c r="F40" t="s">
        <v>30</v>
      </c>
      <c r="G40" s="7" t="s">
        <v>392</v>
      </c>
    </row>
    <row r="41" spans="1:7" x14ac:dyDescent="0.35">
      <c r="A41" t="s">
        <v>3</v>
      </c>
      <c r="B41" s="7" t="s">
        <v>393</v>
      </c>
      <c r="C41" s="10">
        <v>45820</v>
      </c>
      <c r="D41" s="10">
        <v>45533</v>
      </c>
      <c r="E41" s="10"/>
      <c r="F41" t="s">
        <v>30</v>
      </c>
      <c r="G41" s="7" t="s">
        <v>394</v>
      </c>
    </row>
    <row r="42" spans="1:7" x14ac:dyDescent="0.35">
      <c r="A42" t="s">
        <v>3</v>
      </c>
      <c r="B42" s="7" t="s">
        <v>395</v>
      </c>
      <c r="C42" s="10">
        <v>45827</v>
      </c>
      <c r="D42" s="10">
        <v>45540</v>
      </c>
      <c r="E42" s="10"/>
      <c r="F42" t="s">
        <v>30</v>
      </c>
      <c r="G42" s="7" t="s">
        <v>396</v>
      </c>
    </row>
    <row r="43" spans="1:7" x14ac:dyDescent="0.35">
      <c r="A43" t="s">
        <v>3</v>
      </c>
      <c r="B43" s="7" t="s">
        <v>397</v>
      </c>
      <c r="C43" s="10">
        <v>45855</v>
      </c>
      <c r="D43" s="10">
        <v>45573</v>
      </c>
      <c r="E43" s="10"/>
      <c r="F43" t="s">
        <v>30</v>
      </c>
      <c r="G43" s="7" t="s">
        <v>398</v>
      </c>
    </row>
    <row r="44" spans="1:7" x14ac:dyDescent="0.35">
      <c r="A44" t="s">
        <v>3</v>
      </c>
      <c r="B44" s="7" t="s">
        <v>399</v>
      </c>
      <c r="C44" s="10">
        <v>45877</v>
      </c>
      <c r="D44" s="10">
        <v>45594</v>
      </c>
      <c r="E44" s="10"/>
      <c r="F44" t="s">
        <v>30</v>
      </c>
      <c r="G44" s="7" t="s">
        <v>400</v>
      </c>
    </row>
    <row r="45" spans="1:7" x14ac:dyDescent="0.35">
      <c r="A45" t="s">
        <v>3</v>
      </c>
      <c r="B45" s="7" t="s">
        <v>401</v>
      </c>
      <c r="C45" s="10">
        <v>45887</v>
      </c>
      <c r="D45" s="10">
        <v>45602</v>
      </c>
      <c r="E45" s="10"/>
      <c r="F45" t="s">
        <v>30</v>
      </c>
      <c r="G45" s="7" t="s">
        <v>402</v>
      </c>
    </row>
    <row r="46" spans="1:7" x14ac:dyDescent="0.35">
      <c r="A46" t="s">
        <v>3</v>
      </c>
      <c r="B46" s="7" t="s">
        <v>403</v>
      </c>
      <c r="C46" s="10">
        <v>45901</v>
      </c>
      <c r="D46" s="10">
        <v>45616</v>
      </c>
      <c r="E46" s="10"/>
      <c r="F46" t="s">
        <v>30</v>
      </c>
      <c r="G46" s="7" t="s">
        <v>404</v>
      </c>
    </row>
    <row r="47" spans="1:7" x14ac:dyDescent="0.35">
      <c r="A47" t="s">
        <v>3</v>
      </c>
      <c r="B47" s="7" t="s">
        <v>405</v>
      </c>
      <c r="C47" s="10">
        <v>45915</v>
      </c>
      <c r="D47" s="10">
        <v>45630</v>
      </c>
      <c r="E47" s="10"/>
      <c r="F47" t="s">
        <v>30</v>
      </c>
      <c r="G47" s="7" t="s">
        <v>406</v>
      </c>
    </row>
    <row r="48" spans="1:7" x14ac:dyDescent="0.35">
      <c r="A48" t="s">
        <v>3</v>
      </c>
      <c r="B48" s="7" t="s">
        <v>407</v>
      </c>
      <c r="C48" s="10">
        <v>45918</v>
      </c>
      <c r="D48" s="10">
        <v>45635</v>
      </c>
      <c r="E48" s="10"/>
      <c r="F48" t="s">
        <v>30</v>
      </c>
      <c r="G48" s="7" t="s">
        <v>408</v>
      </c>
    </row>
    <row r="49" spans="1:7" x14ac:dyDescent="0.35">
      <c r="A49" t="s">
        <v>3</v>
      </c>
      <c r="B49" s="7" t="s">
        <v>409</v>
      </c>
      <c r="C49" s="10">
        <v>46053</v>
      </c>
      <c r="D49" s="10">
        <v>45771</v>
      </c>
      <c r="E49" s="10"/>
      <c r="F49" t="s">
        <v>30</v>
      </c>
      <c r="G49" s="7" t="s">
        <v>410</v>
      </c>
    </row>
    <row r="50" spans="1:7" x14ac:dyDescent="0.35">
      <c r="A50" t="s">
        <v>4</v>
      </c>
      <c r="B50" s="7" t="s">
        <v>387</v>
      </c>
      <c r="C50" s="10">
        <v>46244</v>
      </c>
      <c r="D50" s="10">
        <v>46244</v>
      </c>
      <c r="E50" s="10"/>
      <c r="F50" t="s">
        <v>51</v>
      </c>
      <c r="G50" s="7" t="s">
        <v>388</v>
      </c>
    </row>
    <row r="51" spans="1:7" x14ac:dyDescent="0.35">
      <c r="A51" t="s">
        <v>4</v>
      </c>
      <c r="B51" s="7" t="s">
        <v>389</v>
      </c>
      <c r="C51" s="10">
        <v>46265</v>
      </c>
      <c r="D51" s="10">
        <v>46265</v>
      </c>
      <c r="E51" s="10"/>
      <c r="F51" t="s">
        <v>51</v>
      </c>
      <c r="G51" s="7" t="s">
        <v>390</v>
      </c>
    </row>
    <row r="52" spans="1:7" x14ac:dyDescent="0.35">
      <c r="A52" t="s">
        <v>4</v>
      </c>
      <c r="B52" s="7" t="s">
        <v>391</v>
      </c>
      <c r="C52" s="10">
        <v>46272</v>
      </c>
      <c r="D52" s="10">
        <v>46272</v>
      </c>
      <c r="E52" s="10"/>
      <c r="F52" t="s">
        <v>51</v>
      </c>
      <c r="G52" s="7" t="s">
        <v>392</v>
      </c>
    </row>
    <row r="53" spans="1:7" x14ac:dyDescent="0.35">
      <c r="A53" t="s">
        <v>4</v>
      </c>
      <c r="B53" s="7" t="s">
        <v>393</v>
      </c>
      <c r="C53" s="10">
        <v>46279</v>
      </c>
      <c r="D53" s="10">
        <v>46279</v>
      </c>
      <c r="E53" s="10"/>
      <c r="F53" t="s">
        <v>51</v>
      </c>
      <c r="G53" s="7" t="s">
        <v>394</v>
      </c>
    </row>
    <row r="54" spans="1:7" x14ac:dyDescent="0.35">
      <c r="A54" t="s">
        <v>4</v>
      </c>
      <c r="B54" s="7" t="s">
        <v>395</v>
      </c>
      <c r="C54" s="10">
        <v>46286</v>
      </c>
      <c r="D54" s="10">
        <v>46286</v>
      </c>
      <c r="E54" s="10"/>
      <c r="F54" t="s">
        <v>51</v>
      </c>
      <c r="G54" s="7" t="s">
        <v>396</v>
      </c>
    </row>
    <row r="55" spans="1:7" x14ac:dyDescent="0.35">
      <c r="A55" t="s">
        <v>4</v>
      </c>
      <c r="B55" s="7" t="s">
        <v>397</v>
      </c>
      <c r="C55" s="10">
        <v>46315</v>
      </c>
      <c r="D55" s="10">
        <v>46315</v>
      </c>
      <c r="E55" s="10"/>
      <c r="F55" t="s">
        <v>51</v>
      </c>
      <c r="G55" s="7" t="s">
        <v>398</v>
      </c>
    </row>
    <row r="56" spans="1:7" x14ac:dyDescent="0.35">
      <c r="A56" t="s">
        <v>4</v>
      </c>
      <c r="B56" s="7" t="s">
        <v>399</v>
      </c>
      <c r="C56" s="10">
        <v>46336</v>
      </c>
      <c r="D56" s="10">
        <v>46336</v>
      </c>
      <c r="E56" s="10"/>
      <c r="F56" t="s">
        <v>51</v>
      </c>
      <c r="G56" s="7" t="s">
        <v>400</v>
      </c>
    </row>
    <row r="57" spans="1:7" x14ac:dyDescent="0.35">
      <c r="A57" t="s">
        <v>4</v>
      </c>
      <c r="B57" s="7" t="s">
        <v>401</v>
      </c>
      <c r="C57" s="10">
        <v>46343</v>
      </c>
      <c r="D57" s="10">
        <v>46343</v>
      </c>
      <c r="E57" s="10"/>
      <c r="F57" t="s">
        <v>51</v>
      </c>
      <c r="G57" s="7" t="s">
        <v>402</v>
      </c>
    </row>
    <row r="58" spans="1:7" x14ac:dyDescent="0.35">
      <c r="A58" t="s">
        <v>4</v>
      </c>
      <c r="B58" s="7" t="s">
        <v>403</v>
      </c>
      <c r="C58" s="10">
        <v>46357</v>
      </c>
      <c r="D58" s="10">
        <v>46357</v>
      </c>
      <c r="E58" s="10"/>
      <c r="F58" t="s">
        <v>51</v>
      </c>
      <c r="G58" s="7" t="s">
        <v>404</v>
      </c>
    </row>
    <row r="59" spans="1:7" x14ac:dyDescent="0.35">
      <c r="A59" t="s">
        <v>4</v>
      </c>
      <c r="B59" s="7" t="s">
        <v>405</v>
      </c>
      <c r="C59" s="10">
        <v>46371</v>
      </c>
      <c r="D59" s="10">
        <v>46371</v>
      </c>
      <c r="E59" s="10"/>
      <c r="F59" t="s">
        <v>51</v>
      </c>
      <c r="G59" s="7" t="s">
        <v>406</v>
      </c>
    </row>
    <row r="60" spans="1:7" x14ac:dyDescent="0.35">
      <c r="A60" t="s">
        <v>4</v>
      </c>
      <c r="B60" s="7" t="s">
        <v>407</v>
      </c>
      <c r="C60" s="10">
        <v>46374</v>
      </c>
      <c r="D60" s="10">
        <v>46374</v>
      </c>
      <c r="E60" s="10"/>
      <c r="F60" t="s">
        <v>51</v>
      </c>
      <c r="G60" s="7" t="s">
        <v>408</v>
      </c>
    </row>
    <row r="61" spans="1:7" x14ac:dyDescent="0.35">
      <c r="A61" t="s">
        <v>4</v>
      </c>
      <c r="B61" s="7" t="s">
        <v>409</v>
      </c>
      <c r="C61" s="10">
        <v>46463</v>
      </c>
      <c r="D61" s="10">
        <v>46463</v>
      </c>
      <c r="E61" s="10"/>
      <c r="F61" t="s">
        <v>51</v>
      </c>
      <c r="G61" s="7" t="s">
        <v>410</v>
      </c>
    </row>
    <row r="62" spans="1:7" x14ac:dyDescent="0.35">
      <c r="A62" t="s">
        <v>5</v>
      </c>
      <c r="B62" s="7" t="s">
        <v>387</v>
      </c>
      <c r="C62" s="10">
        <v>45565</v>
      </c>
      <c r="D62" s="10">
        <v>45565</v>
      </c>
      <c r="E62" s="10"/>
      <c r="F62" t="s">
        <v>52</v>
      </c>
      <c r="G62" s="7" t="s">
        <v>388</v>
      </c>
    </row>
    <row r="63" spans="1:7" x14ac:dyDescent="0.35">
      <c r="A63" t="s">
        <v>5</v>
      </c>
      <c r="B63" s="7" t="s">
        <v>389</v>
      </c>
      <c r="C63" s="10">
        <v>45587</v>
      </c>
      <c r="D63" s="10">
        <v>45587</v>
      </c>
      <c r="E63" s="10"/>
      <c r="F63" t="s">
        <v>52</v>
      </c>
      <c r="G63" s="7" t="s">
        <v>390</v>
      </c>
    </row>
    <row r="64" spans="1:7" x14ac:dyDescent="0.35">
      <c r="A64" t="s">
        <v>5</v>
      </c>
      <c r="B64" s="7" t="s">
        <v>391</v>
      </c>
      <c r="C64" s="10">
        <v>45594</v>
      </c>
      <c r="D64" s="10">
        <v>45594</v>
      </c>
      <c r="E64" s="10"/>
      <c r="F64" t="s">
        <v>52</v>
      </c>
      <c r="G64" s="7" t="s">
        <v>392</v>
      </c>
    </row>
    <row r="65" spans="1:7" x14ac:dyDescent="0.35">
      <c r="A65" t="s">
        <v>5</v>
      </c>
      <c r="B65" s="7" t="s">
        <v>393</v>
      </c>
      <c r="C65" s="10">
        <v>45602</v>
      </c>
      <c r="D65" s="10">
        <v>45602</v>
      </c>
      <c r="E65" s="10"/>
      <c r="F65" t="s">
        <v>52</v>
      </c>
      <c r="G65" s="7" t="s">
        <v>394</v>
      </c>
    </row>
    <row r="66" spans="1:7" x14ac:dyDescent="0.35">
      <c r="A66" t="s">
        <v>5</v>
      </c>
      <c r="B66" s="7" t="s">
        <v>395</v>
      </c>
      <c r="C66" s="10">
        <v>45609</v>
      </c>
      <c r="D66" s="10">
        <v>45609</v>
      </c>
      <c r="E66" s="10"/>
      <c r="F66" t="s">
        <v>52</v>
      </c>
      <c r="G66" s="7" t="s">
        <v>396</v>
      </c>
    </row>
    <row r="67" spans="1:7" x14ac:dyDescent="0.35">
      <c r="A67" t="s">
        <v>5</v>
      </c>
      <c r="B67" s="7" t="s">
        <v>397</v>
      </c>
      <c r="C67" s="10">
        <v>45637</v>
      </c>
      <c r="D67" s="10">
        <v>45637</v>
      </c>
      <c r="E67" s="10"/>
      <c r="F67" t="s">
        <v>52</v>
      </c>
      <c r="G67" s="7" t="s">
        <v>398</v>
      </c>
    </row>
    <row r="68" spans="1:7" x14ac:dyDescent="0.35">
      <c r="A68" t="s">
        <v>5</v>
      </c>
      <c r="B68" s="7" t="s">
        <v>399</v>
      </c>
      <c r="C68" s="10">
        <v>45663</v>
      </c>
      <c r="D68" s="10">
        <v>45663</v>
      </c>
      <c r="E68" s="10"/>
      <c r="F68" t="s">
        <v>52</v>
      </c>
      <c r="G68" s="7" t="s">
        <v>400</v>
      </c>
    </row>
    <row r="69" spans="1:7" x14ac:dyDescent="0.35">
      <c r="A69" t="s">
        <v>5</v>
      </c>
      <c r="B69" s="7" t="s">
        <v>401</v>
      </c>
      <c r="C69" s="10">
        <v>45670</v>
      </c>
      <c r="D69" s="10">
        <v>45670</v>
      </c>
      <c r="E69" s="10"/>
      <c r="F69" t="s">
        <v>52</v>
      </c>
      <c r="G69" s="7" t="s">
        <v>402</v>
      </c>
    </row>
    <row r="70" spans="1:7" x14ac:dyDescent="0.35">
      <c r="A70" t="s">
        <v>5</v>
      </c>
      <c r="B70" s="7" t="s">
        <v>403</v>
      </c>
      <c r="C70" s="10">
        <v>45685</v>
      </c>
      <c r="D70" s="10">
        <v>45685</v>
      </c>
      <c r="E70" s="10"/>
      <c r="F70" t="s">
        <v>52</v>
      </c>
      <c r="G70" s="7" t="s">
        <v>404</v>
      </c>
    </row>
    <row r="71" spans="1:7" x14ac:dyDescent="0.35">
      <c r="A71" t="s">
        <v>5</v>
      </c>
      <c r="B71" s="7" t="s">
        <v>405</v>
      </c>
      <c r="C71" s="10">
        <v>45699</v>
      </c>
      <c r="D71" s="10">
        <v>45699</v>
      </c>
      <c r="E71" s="10"/>
      <c r="F71" t="s">
        <v>52</v>
      </c>
      <c r="G71" s="7" t="s">
        <v>406</v>
      </c>
    </row>
    <row r="72" spans="1:7" x14ac:dyDescent="0.35">
      <c r="A72" t="s">
        <v>5</v>
      </c>
      <c r="B72" s="7" t="s">
        <v>407</v>
      </c>
      <c r="C72" s="10">
        <v>45702</v>
      </c>
      <c r="D72" s="10">
        <v>45702</v>
      </c>
      <c r="E72" s="10"/>
      <c r="F72" t="s">
        <v>52</v>
      </c>
      <c r="G72" s="7" t="s">
        <v>408</v>
      </c>
    </row>
    <row r="73" spans="1:7" x14ac:dyDescent="0.35">
      <c r="A73" t="s">
        <v>5</v>
      </c>
      <c r="B73" s="7" t="s">
        <v>409</v>
      </c>
      <c r="C73" s="10">
        <v>45762</v>
      </c>
      <c r="D73" s="10">
        <v>45762</v>
      </c>
      <c r="E73" s="10"/>
      <c r="F73" t="s">
        <v>52</v>
      </c>
      <c r="G73" s="7" t="s">
        <v>410</v>
      </c>
    </row>
    <row r="74" spans="1:7" x14ac:dyDescent="0.35">
      <c r="A74" t="s">
        <v>6</v>
      </c>
      <c r="B74" s="7" t="s">
        <v>387</v>
      </c>
      <c r="C74" s="10">
        <v>46339</v>
      </c>
      <c r="D74" s="10">
        <v>46339</v>
      </c>
      <c r="E74" s="10"/>
      <c r="F74" t="s">
        <v>53</v>
      </c>
      <c r="G74" s="7" t="s">
        <v>388</v>
      </c>
    </row>
    <row r="75" spans="1:7" x14ac:dyDescent="0.35">
      <c r="A75" t="s">
        <v>6</v>
      </c>
      <c r="B75" s="7" t="s">
        <v>389</v>
      </c>
      <c r="C75" s="10">
        <v>46360</v>
      </c>
      <c r="D75" s="10">
        <v>46360</v>
      </c>
      <c r="E75" s="10"/>
      <c r="F75" t="s">
        <v>53</v>
      </c>
      <c r="G75" s="7" t="s">
        <v>390</v>
      </c>
    </row>
    <row r="76" spans="1:7" x14ac:dyDescent="0.35">
      <c r="A76" t="s">
        <v>6</v>
      </c>
      <c r="B76" s="7" t="s">
        <v>391</v>
      </c>
      <c r="C76" s="10">
        <v>46367</v>
      </c>
      <c r="D76" s="10">
        <v>46367</v>
      </c>
      <c r="E76" s="10"/>
      <c r="F76" t="s">
        <v>53</v>
      </c>
      <c r="G76" s="7" t="s">
        <v>392</v>
      </c>
    </row>
    <row r="77" spans="1:7" x14ac:dyDescent="0.35">
      <c r="A77" t="s">
        <v>6</v>
      </c>
      <c r="B77" s="7" t="s">
        <v>393</v>
      </c>
      <c r="C77" s="10">
        <v>46374</v>
      </c>
      <c r="D77" s="10">
        <v>46374</v>
      </c>
      <c r="E77" s="10"/>
      <c r="F77" t="s">
        <v>53</v>
      </c>
      <c r="G77" s="7" t="s">
        <v>394</v>
      </c>
    </row>
    <row r="78" spans="1:7" x14ac:dyDescent="0.35">
      <c r="A78" t="s">
        <v>6</v>
      </c>
      <c r="B78" s="7" t="s">
        <v>395</v>
      </c>
      <c r="C78" s="10">
        <v>46385</v>
      </c>
      <c r="D78" s="10">
        <v>46385</v>
      </c>
      <c r="E78" s="10"/>
      <c r="F78" t="s">
        <v>53</v>
      </c>
      <c r="G78" s="7" t="s">
        <v>396</v>
      </c>
    </row>
    <row r="79" spans="1:7" x14ac:dyDescent="0.35">
      <c r="A79" t="s">
        <v>6</v>
      </c>
      <c r="B79" s="7" t="s">
        <v>397</v>
      </c>
      <c r="C79" s="10">
        <v>46414</v>
      </c>
      <c r="D79" s="10">
        <v>46414</v>
      </c>
      <c r="E79" s="10"/>
      <c r="F79" t="s">
        <v>53</v>
      </c>
      <c r="G79" s="7" t="s">
        <v>398</v>
      </c>
    </row>
    <row r="80" spans="1:7" x14ac:dyDescent="0.35">
      <c r="A80" t="s">
        <v>6</v>
      </c>
      <c r="B80" s="7" t="s">
        <v>399</v>
      </c>
      <c r="C80" s="10">
        <v>46435</v>
      </c>
      <c r="D80" s="10">
        <v>46435</v>
      </c>
      <c r="E80" s="10"/>
      <c r="F80" t="s">
        <v>53</v>
      </c>
      <c r="G80" s="7" t="s">
        <v>400</v>
      </c>
    </row>
    <row r="81" spans="1:7" x14ac:dyDescent="0.35">
      <c r="A81" t="s">
        <v>6</v>
      </c>
      <c r="B81" s="7" t="s">
        <v>401</v>
      </c>
      <c r="C81" s="10">
        <v>46442</v>
      </c>
      <c r="D81" s="10">
        <v>46442</v>
      </c>
      <c r="E81" s="10"/>
      <c r="F81" t="s">
        <v>53</v>
      </c>
      <c r="G81" s="7" t="s">
        <v>402</v>
      </c>
    </row>
    <row r="82" spans="1:7" x14ac:dyDescent="0.35">
      <c r="A82" t="s">
        <v>6</v>
      </c>
      <c r="B82" s="7" t="s">
        <v>403</v>
      </c>
      <c r="C82" s="10">
        <v>46456</v>
      </c>
      <c r="D82" s="10">
        <v>46456</v>
      </c>
      <c r="E82" s="10"/>
      <c r="F82" t="s">
        <v>53</v>
      </c>
      <c r="G82" s="7" t="s">
        <v>404</v>
      </c>
    </row>
    <row r="83" spans="1:7" x14ac:dyDescent="0.35">
      <c r="A83" t="s">
        <v>6</v>
      </c>
      <c r="B83" s="7" t="s">
        <v>405</v>
      </c>
      <c r="C83" s="10">
        <v>46470</v>
      </c>
      <c r="D83" s="10">
        <v>46470</v>
      </c>
      <c r="E83" s="10"/>
      <c r="F83" t="s">
        <v>53</v>
      </c>
      <c r="G83" s="7" t="s">
        <v>406</v>
      </c>
    </row>
    <row r="84" spans="1:7" x14ac:dyDescent="0.35">
      <c r="A84" t="s">
        <v>6</v>
      </c>
      <c r="B84" s="7" t="s">
        <v>407</v>
      </c>
      <c r="C84" s="10">
        <v>46475</v>
      </c>
      <c r="D84" s="10">
        <v>46475</v>
      </c>
      <c r="E84" s="10"/>
      <c r="F84" t="s">
        <v>53</v>
      </c>
      <c r="G84" s="7" t="s">
        <v>408</v>
      </c>
    </row>
    <row r="85" spans="1:7" x14ac:dyDescent="0.35">
      <c r="A85" t="s">
        <v>6</v>
      </c>
      <c r="B85" s="7" t="s">
        <v>409</v>
      </c>
      <c r="C85" s="10">
        <v>46587</v>
      </c>
      <c r="D85" s="10">
        <v>46587</v>
      </c>
      <c r="E85" s="10"/>
      <c r="F85" t="s">
        <v>53</v>
      </c>
      <c r="G85" s="7" t="s">
        <v>410</v>
      </c>
    </row>
    <row r="86" spans="1:7" x14ac:dyDescent="0.35">
      <c r="A86" t="s">
        <v>7</v>
      </c>
      <c r="B86" s="7" t="s">
        <v>387</v>
      </c>
      <c r="C86" s="10">
        <v>45763</v>
      </c>
      <c r="D86" s="10">
        <v>45763</v>
      </c>
      <c r="E86" s="10"/>
      <c r="F86" t="s">
        <v>54</v>
      </c>
      <c r="G86" s="7" t="s">
        <v>388</v>
      </c>
    </row>
    <row r="87" spans="1:7" x14ac:dyDescent="0.35">
      <c r="A87" t="s">
        <v>7</v>
      </c>
      <c r="B87" s="7" t="s">
        <v>389</v>
      </c>
      <c r="C87" s="10">
        <v>45790</v>
      </c>
      <c r="D87" s="10">
        <v>45790</v>
      </c>
      <c r="E87" s="10"/>
      <c r="F87" t="s">
        <v>54</v>
      </c>
      <c r="G87" s="7" t="s">
        <v>390</v>
      </c>
    </row>
    <row r="88" spans="1:7" x14ac:dyDescent="0.35">
      <c r="A88" t="s">
        <v>7</v>
      </c>
      <c r="B88" s="7" t="s">
        <v>391</v>
      </c>
      <c r="C88" s="10">
        <v>45797</v>
      </c>
      <c r="D88" s="10">
        <v>45797</v>
      </c>
      <c r="E88" s="10"/>
      <c r="F88" t="s">
        <v>54</v>
      </c>
      <c r="G88" s="7" t="s">
        <v>392</v>
      </c>
    </row>
    <row r="89" spans="1:7" x14ac:dyDescent="0.35">
      <c r="A89" t="s">
        <v>7</v>
      </c>
      <c r="B89" s="7" t="s">
        <v>393</v>
      </c>
      <c r="C89" s="10">
        <v>45804</v>
      </c>
      <c r="D89" s="10">
        <v>45804</v>
      </c>
      <c r="E89" s="10"/>
      <c r="F89" t="s">
        <v>54</v>
      </c>
      <c r="G89" s="7" t="s">
        <v>394</v>
      </c>
    </row>
    <row r="90" spans="1:7" x14ac:dyDescent="0.35">
      <c r="A90" t="s">
        <v>7</v>
      </c>
      <c r="B90" s="7" t="s">
        <v>395</v>
      </c>
      <c r="C90" s="10">
        <v>45812</v>
      </c>
      <c r="D90" s="10">
        <v>45812</v>
      </c>
      <c r="E90" s="10"/>
      <c r="F90" t="s">
        <v>54</v>
      </c>
      <c r="G90" s="7" t="s">
        <v>396</v>
      </c>
    </row>
    <row r="91" spans="1:7" x14ac:dyDescent="0.35">
      <c r="A91" t="s">
        <v>7</v>
      </c>
      <c r="B91" s="7" t="s">
        <v>397</v>
      </c>
      <c r="C91" s="10">
        <v>45841</v>
      </c>
      <c r="D91" s="10">
        <v>45841</v>
      </c>
      <c r="E91" s="10"/>
      <c r="F91" t="s">
        <v>54</v>
      </c>
      <c r="G91" s="7" t="s">
        <v>398</v>
      </c>
    </row>
    <row r="92" spans="1:7" x14ac:dyDescent="0.35">
      <c r="A92" t="s">
        <v>7</v>
      </c>
      <c r="B92" s="7" t="s">
        <v>399</v>
      </c>
      <c r="C92" s="10">
        <v>45862</v>
      </c>
      <c r="D92" s="10">
        <v>45862</v>
      </c>
      <c r="E92" s="10"/>
      <c r="F92" t="s">
        <v>54</v>
      </c>
      <c r="G92" s="7" t="s">
        <v>400</v>
      </c>
    </row>
    <row r="93" spans="1:7" x14ac:dyDescent="0.35">
      <c r="A93" t="s">
        <v>7</v>
      </c>
      <c r="B93" s="7" t="s">
        <v>401</v>
      </c>
      <c r="C93" s="10">
        <v>45869</v>
      </c>
      <c r="D93" s="10">
        <v>45869</v>
      </c>
      <c r="E93" s="10"/>
      <c r="F93" t="s">
        <v>54</v>
      </c>
      <c r="G93" s="7" t="s">
        <v>402</v>
      </c>
    </row>
    <row r="94" spans="1:7" x14ac:dyDescent="0.35">
      <c r="A94" t="s">
        <v>7</v>
      </c>
      <c r="B94" s="7" t="s">
        <v>403</v>
      </c>
      <c r="C94" s="10">
        <v>45887</v>
      </c>
      <c r="D94" s="10">
        <v>45887</v>
      </c>
      <c r="E94" s="10"/>
      <c r="F94" t="s">
        <v>54</v>
      </c>
      <c r="G94" s="7" t="s">
        <v>404</v>
      </c>
    </row>
    <row r="95" spans="1:7" x14ac:dyDescent="0.35">
      <c r="A95" t="s">
        <v>7</v>
      </c>
      <c r="B95" s="7" t="s">
        <v>405</v>
      </c>
      <c r="C95" s="10">
        <v>45901</v>
      </c>
      <c r="D95" s="10">
        <v>45901</v>
      </c>
      <c r="E95" s="10"/>
      <c r="F95" t="s">
        <v>54</v>
      </c>
      <c r="G95" s="7" t="s">
        <v>406</v>
      </c>
    </row>
    <row r="96" spans="1:7" x14ac:dyDescent="0.35">
      <c r="A96" t="s">
        <v>7</v>
      </c>
      <c r="B96" s="7" t="s">
        <v>407</v>
      </c>
      <c r="C96" s="10">
        <v>45904</v>
      </c>
      <c r="D96" s="10">
        <v>45904</v>
      </c>
      <c r="E96" s="10"/>
      <c r="F96" t="s">
        <v>54</v>
      </c>
      <c r="G96" s="7" t="s">
        <v>408</v>
      </c>
    </row>
    <row r="97" spans="1:7" x14ac:dyDescent="0.35">
      <c r="A97" t="s">
        <v>7</v>
      </c>
      <c r="B97" s="7" t="s">
        <v>409</v>
      </c>
      <c r="C97" s="10">
        <v>46083</v>
      </c>
      <c r="D97" s="10">
        <v>46083</v>
      </c>
      <c r="E97" s="10"/>
      <c r="F97" t="s">
        <v>54</v>
      </c>
      <c r="G97" s="7" t="s">
        <v>410</v>
      </c>
    </row>
    <row r="98" spans="1:7" x14ac:dyDescent="0.35">
      <c r="A98" t="s">
        <v>8</v>
      </c>
      <c r="B98" s="7" t="s">
        <v>387</v>
      </c>
      <c r="C98" s="10">
        <v>46218</v>
      </c>
      <c r="D98" s="10">
        <v>46218</v>
      </c>
      <c r="E98" s="10"/>
      <c r="F98" t="s">
        <v>55</v>
      </c>
      <c r="G98" s="7" t="s">
        <v>388</v>
      </c>
    </row>
    <row r="99" spans="1:7" x14ac:dyDescent="0.35">
      <c r="A99" t="s">
        <v>8</v>
      </c>
      <c r="B99" s="7" t="s">
        <v>389</v>
      </c>
      <c r="C99" s="10">
        <v>46239</v>
      </c>
      <c r="D99" s="10">
        <v>46239</v>
      </c>
      <c r="E99" s="10"/>
      <c r="F99" t="s">
        <v>55</v>
      </c>
      <c r="G99" s="7" t="s">
        <v>390</v>
      </c>
    </row>
    <row r="100" spans="1:7" x14ac:dyDescent="0.35">
      <c r="A100" t="s">
        <v>8</v>
      </c>
      <c r="B100" s="7" t="s">
        <v>391</v>
      </c>
      <c r="C100" s="10">
        <v>46246</v>
      </c>
      <c r="D100" s="10">
        <v>46246</v>
      </c>
      <c r="E100" s="10"/>
      <c r="F100" t="s">
        <v>55</v>
      </c>
      <c r="G100" s="7" t="s">
        <v>392</v>
      </c>
    </row>
    <row r="101" spans="1:7" x14ac:dyDescent="0.35">
      <c r="A101" t="s">
        <v>8</v>
      </c>
      <c r="B101" s="7" t="s">
        <v>393</v>
      </c>
      <c r="C101" s="10">
        <v>46253</v>
      </c>
      <c r="D101" s="10">
        <v>46253</v>
      </c>
      <c r="E101" s="10"/>
      <c r="F101" t="s">
        <v>55</v>
      </c>
      <c r="G101" s="7" t="s">
        <v>394</v>
      </c>
    </row>
    <row r="102" spans="1:7" x14ac:dyDescent="0.35">
      <c r="A102" t="s">
        <v>8</v>
      </c>
      <c r="B102" s="7" t="s">
        <v>395</v>
      </c>
      <c r="C102" s="10">
        <v>46260</v>
      </c>
      <c r="D102" s="10">
        <v>46260</v>
      </c>
      <c r="E102" s="10"/>
      <c r="F102" t="s">
        <v>55</v>
      </c>
      <c r="G102" s="7" t="s">
        <v>396</v>
      </c>
    </row>
    <row r="103" spans="1:7" x14ac:dyDescent="0.35">
      <c r="A103" t="s">
        <v>8</v>
      </c>
      <c r="B103" s="7" t="s">
        <v>397</v>
      </c>
      <c r="C103" s="10">
        <v>46288</v>
      </c>
      <c r="D103" s="10">
        <v>46288</v>
      </c>
      <c r="E103" s="10"/>
      <c r="F103" t="s">
        <v>55</v>
      </c>
      <c r="G103" s="7" t="s">
        <v>398</v>
      </c>
    </row>
    <row r="104" spans="1:7" x14ac:dyDescent="0.35">
      <c r="A104" t="s">
        <v>8</v>
      </c>
      <c r="B104" s="7" t="s">
        <v>399</v>
      </c>
      <c r="C104" s="10">
        <v>46310</v>
      </c>
      <c r="D104" s="10">
        <v>46310</v>
      </c>
      <c r="E104" s="10"/>
      <c r="F104" t="s">
        <v>55</v>
      </c>
      <c r="G104" s="7" t="s">
        <v>400</v>
      </c>
    </row>
    <row r="105" spans="1:7" x14ac:dyDescent="0.35">
      <c r="A105" t="s">
        <v>8</v>
      </c>
      <c r="B105" s="7" t="s">
        <v>401</v>
      </c>
      <c r="C105" s="10">
        <v>46317</v>
      </c>
      <c r="D105" s="10">
        <v>46317</v>
      </c>
      <c r="E105" s="10"/>
      <c r="F105" t="s">
        <v>55</v>
      </c>
      <c r="G105" s="7" t="s">
        <v>402</v>
      </c>
    </row>
    <row r="106" spans="1:7" x14ac:dyDescent="0.35">
      <c r="A106" t="s">
        <v>8</v>
      </c>
      <c r="B106" s="7" t="s">
        <v>403</v>
      </c>
      <c r="C106" s="10">
        <v>46331</v>
      </c>
      <c r="D106" s="10">
        <v>46331</v>
      </c>
      <c r="E106" s="10"/>
      <c r="F106" t="s">
        <v>55</v>
      </c>
      <c r="G106" s="7" t="s">
        <v>404</v>
      </c>
    </row>
    <row r="107" spans="1:7" x14ac:dyDescent="0.35">
      <c r="A107" t="s">
        <v>8</v>
      </c>
      <c r="B107" s="7" t="s">
        <v>405</v>
      </c>
      <c r="C107" s="10">
        <v>46345</v>
      </c>
      <c r="D107" s="10">
        <v>46345</v>
      </c>
      <c r="E107" s="10"/>
      <c r="F107" t="s">
        <v>55</v>
      </c>
      <c r="G107" s="7" t="s">
        <v>406</v>
      </c>
    </row>
    <row r="108" spans="1:7" x14ac:dyDescent="0.35">
      <c r="A108" t="s">
        <v>8</v>
      </c>
      <c r="B108" s="7" t="s">
        <v>407</v>
      </c>
      <c r="C108" s="10">
        <v>46350</v>
      </c>
      <c r="D108" s="10">
        <v>46350</v>
      </c>
      <c r="E108" s="10"/>
      <c r="F108" t="s">
        <v>55</v>
      </c>
      <c r="G108" s="7" t="s">
        <v>408</v>
      </c>
    </row>
    <row r="109" spans="1:7" x14ac:dyDescent="0.35">
      <c r="A109" t="s">
        <v>8</v>
      </c>
      <c r="B109" s="7" t="s">
        <v>409</v>
      </c>
      <c r="C109" s="10">
        <v>46493</v>
      </c>
      <c r="D109" s="10">
        <v>46493</v>
      </c>
      <c r="E109" s="10"/>
      <c r="F109" t="s">
        <v>55</v>
      </c>
      <c r="G109" s="7" t="s">
        <v>410</v>
      </c>
    </row>
    <row r="110" spans="1:7" x14ac:dyDescent="0.35">
      <c r="A110" t="s">
        <v>9</v>
      </c>
      <c r="B110" s="7" t="s">
        <v>387</v>
      </c>
      <c r="C110" s="10">
        <v>45485</v>
      </c>
      <c r="D110" s="10">
        <v>45485</v>
      </c>
      <c r="E110" s="10"/>
      <c r="F110" t="s">
        <v>56</v>
      </c>
      <c r="G110" s="7" t="s">
        <v>388</v>
      </c>
    </row>
    <row r="111" spans="1:7" x14ac:dyDescent="0.35">
      <c r="A111" t="s">
        <v>9</v>
      </c>
      <c r="B111" s="7" t="s">
        <v>389</v>
      </c>
      <c r="C111" s="10">
        <v>45506</v>
      </c>
      <c r="D111" s="10">
        <v>45506</v>
      </c>
      <c r="E111" s="10"/>
      <c r="F111" t="s">
        <v>56</v>
      </c>
      <c r="G111" s="7" t="s">
        <v>390</v>
      </c>
    </row>
    <row r="112" spans="1:7" x14ac:dyDescent="0.35">
      <c r="A112" t="s">
        <v>9</v>
      </c>
      <c r="B112" s="7" t="s">
        <v>391</v>
      </c>
      <c r="C112" s="10">
        <v>45516</v>
      </c>
      <c r="D112" s="10">
        <v>45516</v>
      </c>
      <c r="E112" s="10"/>
      <c r="F112" t="s">
        <v>56</v>
      </c>
      <c r="G112" s="7" t="s">
        <v>392</v>
      </c>
    </row>
    <row r="113" spans="1:7" x14ac:dyDescent="0.35">
      <c r="A113" t="s">
        <v>9</v>
      </c>
      <c r="B113" s="7" t="s">
        <v>393</v>
      </c>
      <c r="C113" s="10">
        <v>45524</v>
      </c>
      <c r="D113" s="10">
        <v>45524</v>
      </c>
      <c r="E113" s="10"/>
      <c r="F113" t="s">
        <v>56</v>
      </c>
      <c r="G113" s="7" t="s">
        <v>394</v>
      </c>
    </row>
    <row r="114" spans="1:7" x14ac:dyDescent="0.35">
      <c r="A114" t="s">
        <v>9</v>
      </c>
      <c r="B114" s="7" t="s">
        <v>395</v>
      </c>
      <c r="C114" s="10">
        <v>45531</v>
      </c>
      <c r="D114" s="10">
        <v>45531</v>
      </c>
      <c r="E114" s="10"/>
      <c r="F114" t="s">
        <v>56</v>
      </c>
      <c r="G114" s="7" t="s">
        <v>396</v>
      </c>
    </row>
    <row r="115" spans="1:7" x14ac:dyDescent="0.35">
      <c r="A115" t="s">
        <v>9</v>
      </c>
      <c r="B115" s="7" t="s">
        <v>397</v>
      </c>
      <c r="C115" s="10">
        <v>45560</v>
      </c>
      <c r="D115" s="10">
        <v>45560</v>
      </c>
      <c r="E115" s="10"/>
      <c r="F115" t="s">
        <v>56</v>
      </c>
      <c r="G115" s="7" t="s">
        <v>398</v>
      </c>
    </row>
    <row r="116" spans="1:7" x14ac:dyDescent="0.35">
      <c r="A116" t="s">
        <v>9</v>
      </c>
      <c r="B116" s="7" t="s">
        <v>399</v>
      </c>
      <c r="C116" s="10">
        <v>45583</v>
      </c>
      <c r="D116" s="10">
        <v>45583</v>
      </c>
      <c r="E116" s="10"/>
      <c r="F116" t="s">
        <v>56</v>
      </c>
      <c r="G116" s="7" t="s">
        <v>400</v>
      </c>
    </row>
    <row r="117" spans="1:7" x14ac:dyDescent="0.35">
      <c r="A117" t="s">
        <v>9</v>
      </c>
      <c r="B117" s="7" t="s">
        <v>401</v>
      </c>
      <c r="C117" s="10">
        <v>45590</v>
      </c>
      <c r="D117" s="10">
        <v>45590</v>
      </c>
      <c r="E117" s="10"/>
      <c r="F117" t="s">
        <v>56</v>
      </c>
      <c r="G117" s="7" t="s">
        <v>402</v>
      </c>
    </row>
    <row r="118" spans="1:7" x14ac:dyDescent="0.35">
      <c r="A118" t="s">
        <v>9</v>
      </c>
      <c r="B118" s="7" t="s">
        <v>403</v>
      </c>
      <c r="C118" s="10">
        <v>45607</v>
      </c>
      <c r="D118" s="10">
        <v>45607</v>
      </c>
      <c r="E118" s="10"/>
      <c r="F118" t="s">
        <v>56</v>
      </c>
      <c r="G118" s="7" t="s">
        <v>404</v>
      </c>
    </row>
    <row r="119" spans="1:7" x14ac:dyDescent="0.35">
      <c r="A119" t="s">
        <v>9</v>
      </c>
      <c r="B119" s="7" t="s">
        <v>405</v>
      </c>
      <c r="C119" s="10">
        <v>45621</v>
      </c>
      <c r="D119" s="10">
        <v>45621</v>
      </c>
      <c r="E119" s="10"/>
      <c r="F119" t="s">
        <v>56</v>
      </c>
      <c r="G119" s="7" t="s">
        <v>406</v>
      </c>
    </row>
    <row r="120" spans="1:7" x14ac:dyDescent="0.35">
      <c r="A120" t="s">
        <v>9</v>
      </c>
      <c r="B120" s="7" t="s">
        <v>407</v>
      </c>
      <c r="C120" s="10">
        <v>45624</v>
      </c>
      <c r="D120" s="10">
        <v>45624</v>
      </c>
      <c r="E120" s="10"/>
      <c r="F120" t="s">
        <v>56</v>
      </c>
      <c r="G120" s="7" t="s">
        <v>408</v>
      </c>
    </row>
    <row r="121" spans="1:7" x14ac:dyDescent="0.35">
      <c r="A121" t="s">
        <v>9</v>
      </c>
      <c r="B121" s="7" t="s">
        <v>409</v>
      </c>
      <c r="C121" s="10">
        <v>45792</v>
      </c>
      <c r="D121" s="10">
        <v>45792</v>
      </c>
      <c r="E121" s="10"/>
      <c r="F121" t="s">
        <v>56</v>
      </c>
      <c r="G121" s="7" t="s">
        <v>410</v>
      </c>
    </row>
    <row r="122" spans="1:7" x14ac:dyDescent="0.35">
      <c r="A122" t="s">
        <v>10</v>
      </c>
      <c r="B122" s="7" t="s">
        <v>387</v>
      </c>
      <c r="C122" s="10">
        <v>46272</v>
      </c>
      <c r="D122" s="10">
        <v>46272</v>
      </c>
      <c r="E122" s="10"/>
      <c r="F122" t="s">
        <v>57</v>
      </c>
      <c r="G122" s="7" t="s">
        <v>388</v>
      </c>
    </row>
    <row r="123" spans="1:7" x14ac:dyDescent="0.35">
      <c r="A123" t="s">
        <v>10</v>
      </c>
      <c r="B123" s="7" t="s">
        <v>389</v>
      </c>
      <c r="C123" s="10">
        <v>46293</v>
      </c>
      <c r="D123" s="10">
        <v>46293</v>
      </c>
      <c r="E123" s="10"/>
      <c r="F123" t="s">
        <v>57</v>
      </c>
      <c r="G123" s="7" t="s">
        <v>390</v>
      </c>
    </row>
    <row r="124" spans="1:7" x14ac:dyDescent="0.35">
      <c r="A124" t="s">
        <v>10</v>
      </c>
      <c r="B124" s="7" t="s">
        <v>391</v>
      </c>
      <c r="C124" s="10">
        <v>46301</v>
      </c>
      <c r="D124" s="10">
        <v>46301</v>
      </c>
      <c r="E124" s="10"/>
      <c r="F124" t="s">
        <v>57</v>
      </c>
      <c r="G124" s="7" t="s">
        <v>392</v>
      </c>
    </row>
    <row r="125" spans="1:7" x14ac:dyDescent="0.35">
      <c r="A125" t="s">
        <v>10</v>
      </c>
      <c r="B125" s="7" t="s">
        <v>393</v>
      </c>
      <c r="C125" s="10">
        <v>46308</v>
      </c>
      <c r="D125" s="10">
        <v>46308</v>
      </c>
      <c r="E125" s="10"/>
      <c r="F125" t="s">
        <v>57</v>
      </c>
      <c r="G125" s="7" t="s">
        <v>394</v>
      </c>
    </row>
    <row r="126" spans="1:7" x14ac:dyDescent="0.35">
      <c r="A126" t="s">
        <v>10</v>
      </c>
      <c r="B126" s="7" t="s">
        <v>395</v>
      </c>
      <c r="C126" s="10">
        <v>46315</v>
      </c>
      <c r="D126" s="10">
        <v>46315</v>
      </c>
      <c r="E126" s="10"/>
      <c r="F126" t="s">
        <v>57</v>
      </c>
      <c r="G126" s="7" t="s">
        <v>396</v>
      </c>
    </row>
    <row r="127" spans="1:7" x14ac:dyDescent="0.35">
      <c r="A127" t="s">
        <v>10</v>
      </c>
      <c r="B127" s="7" t="s">
        <v>397</v>
      </c>
      <c r="C127" s="10">
        <v>46343</v>
      </c>
      <c r="D127" s="10">
        <v>46343</v>
      </c>
      <c r="E127" s="10"/>
      <c r="F127" t="s">
        <v>57</v>
      </c>
      <c r="G127" s="7" t="s">
        <v>398</v>
      </c>
    </row>
    <row r="128" spans="1:7" x14ac:dyDescent="0.35">
      <c r="A128" t="s">
        <v>10</v>
      </c>
      <c r="B128" s="7" t="s">
        <v>399</v>
      </c>
      <c r="C128" s="10">
        <v>46364</v>
      </c>
      <c r="D128" s="10">
        <v>46364</v>
      </c>
      <c r="E128" s="10"/>
      <c r="F128" t="s">
        <v>57</v>
      </c>
      <c r="G128" s="7" t="s">
        <v>400</v>
      </c>
    </row>
    <row r="129" spans="1:7" x14ac:dyDescent="0.35">
      <c r="A129" t="s">
        <v>10</v>
      </c>
      <c r="B129" s="7" t="s">
        <v>401</v>
      </c>
      <c r="C129" s="10">
        <v>46371</v>
      </c>
      <c r="D129" s="10">
        <v>46371</v>
      </c>
      <c r="E129" s="10"/>
      <c r="F129" t="s">
        <v>57</v>
      </c>
      <c r="G129" s="7" t="s">
        <v>402</v>
      </c>
    </row>
    <row r="130" spans="1:7" x14ac:dyDescent="0.35">
      <c r="A130" t="s">
        <v>10</v>
      </c>
      <c r="B130" s="7" t="s">
        <v>403</v>
      </c>
      <c r="C130" s="10">
        <v>46387</v>
      </c>
      <c r="D130" s="10">
        <v>46387</v>
      </c>
      <c r="E130" s="10"/>
      <c r="F130" t="s">
        <v>57</v>
      </c>
      <c r="G130" s="7" t="s">
        <v>404</v>
      </c>
    </row>
    <row r="131" spans="1:7" x14ac:dyDescent="0.35">
      <c r="A131" t="s">
        <v>10</v>
      </c>
      <c r="B131" s="7" t="s">
        <v>405</v>
      </c>
      <c r="C131" s="10">
        <v>46402</v>
      </c>
      <c r="D131" s="10">
        <v>46402</v>
      </c>
      <c r="E131" s="10"/>
      <c r="F131" t="s">
        <v>57</v>
      </c>
      <c r="G131" s="7" t="s">
        <v>406</v>
      </c>
    </row>
    <row r="132" spans="1:7" x14ac:dyDescent="0.35">
      <c r="A132" t="s">
        <v>10</v>
      </c>
      <c r="B132" s="7" t="s">
        <v>407</v>
      </c>
      <c r="C132" s="10">
        <v>46407</v>
      </c>
      <c r="D132" s="10">
        <v>46407</v>
      </c>
      <c r="E132" s="10"/>
      <c r="F132" t="s">
        <v>57</v>
      </c>
      <c r="G132" s="7" t="s">
        <v>408</v>
      </c>
    </row>
    <row r="133" spans="1:7" x14ac:dyDescent="0.35">
      <c r="A133" t="s">
        <v>10</v>
      </c>
      <c r="B133" s="7" t="s">
        <v>409</v>
      </c>
      <c r="C133" s="10">
        <v>46617</v>
      </c>
      <c r="D133" s="10">
        <v>46617</v>
      </c>
      <c r="E133" s="10"/>
      <c r="F133" t="s">
        <v>57</v>
      </c>
      <c r="G133" s="7" t="s">
        <v>410</v>
      </c>
    </row>
    <row r="134" spans="1:7" x14ac:dyDescent="0.35">
      <c r="A134" t="s">
        <v>11</v>
      </c>
      <c r="B134" s="7" t="s">
        <v>387</v>
      </c>
      <c r="C134" s="10">
        <v>45677</v>
      </c>
      <c r="D134" s="10">
        <v>45677</v>
      </c>
      <c r="E134" s="10"/>
      <c r="F134" t="s">
        <v>58</v>
      </c>
      <c r="G134" s="7" t="s">
        <v>388</v>
      </c>
    </row>
    <row r="135" spans="1:7" x14ac:dyDescent="0.35">
      <c r="A135" t="s">
        <v>11</v>
      </c>
      <c r="B135" s="7" t="s">
        <v>389</v>
      </c>
      <c r="C135" s="10">
        <v>45699</v>
      </c>
      <c r="D135" s="10">
        <v>46126</v>
      </c>
      <c r="E135" s="10"/>
      <c r="F135" t="s">
        <v>58</v>
      </c>
      <c r="G135" s="7" t="s">
        <v>390</v>
      </c>
    </row>
    <row r="136" spans="1:7" x14ac:dyDescent="0.35">
      <c r="A136" t="s">
        <v>11</v>
      </c>
      <c r="B136" s="7" t="s">
        <v>391</v>
      </c>
      <c r="C136" s="10">
        <v>45706</v>
      </c>
      <c r="D136" s="10">
        <v>46133</v>
      </c>
      <c r="E136" s="10"/>
      <c r="F136" t="s">
        <v>58</v>
      </c>
      <c r="G136" s="7" t="s">
        <v>392</v>
      </c>
    </row>
    <row r="137" spans="1:7" x14ac:dyDescent="0.35">
      <c r="A137" t="s">
        <v>11</v>
      </c>
      <c r="B137" s="7" t="s">
        <v>393</v>
      </c>
      <c r="C137" s="10">
        <v>45713</v>
      </c>
      <c r="D137" s="10">
        <v>46140</v>
      </c>
      <c r="E137" s="10"/>
      <c r="F137" t="s">
        <v>58</v>
      </c>
      <c r="G137" s="7" t="s">
        <v>394</v>
      </c>
    </row>
    <row r="138" spans="1:7" x14ac:dyDescent="0.35">
      <c r="A138" t="s">
        <v>11</v>
      </c>
      <c r="B138" s="7" t="s">
        <v>395</v>
      </c>
      <c r="C138" s="10">
        <v>45721</v>
      </c>
      <c r="D138" s="10">
        <v>46147</v>
      </c>
      <c r="E138" s="10"/>
      <c r="F138" t="s">
        <v>58</v>
      </c>
      <c r="G138" s="7" t="s">
        <v>396</v>
      </c>
    </row>
    <row r="139" spans="1:7" x14ac:dyDescent="0.35">
      <c r="A139" t="s">
        <v>11</v>
      </c>
      <c r="B139" s="7" t="s">
        <v>397</v>
      </c>
      <c r="C139" s="10">
        <v>45750</v>
      </c>
      <c r="D139" s="10">
        <v>46176</v>
      </c>
      <c r="E139" s="10"/>
      <c r="F139" t="s">
        <v>58</v>
      </c>
      <c r="G139" s="7" t="s">
        <v>398</v>
      </c>
    </row>
    <row r="140" spans="1:7" x14ac:dyDescent="0.35">
      <c r="A140" t="s">
        <v>11</v>
      </c>
      <c r="B140" s="7" t="s">
        <v>399</v>
      </c>
      <c r="C140" s="10">
        <v>45776</v>
      </c>
      <c r="D140" s="10">
        <v>46198</v>
      </c>
      <c r="E140" s="10"/>
      <c r="F140" t="s">
        <v>58</v>
      </c>
      <c r="G140" s="7" t="s">
        <v>400</v>
      </c>
    </row>
    <row r="141" spans="1:7" x14ac:dyDescent="0.35">
      <c r="A141" t="s">
        <v>11</v>
      </c>
      <c r="B141" s="7" t="s">
        <v>401</v>
      </c>
      <c r="C141" s="10">
        <v>45784</v>
      </c>
      <c r="D141" s="10">
        <v>46205</v>
      </c>
      <c r="E141" s="10"/>
      <c r="F141" t="s">
        <v>58</v>
      </c>
      <c r="G141" s="7" t="s">
        <v>402</v>
      </c>
    </row>
    <row r="142" spans="1:7" x14ac:dyDescent="0.35">
      <c r="A142" t="s">
        <v>11</v>
      </c>
      <c r="B142" s="7" t="s">
        <v>403</v>
      </c>
      <c r="C142" s="10">
        <v>45798</v>
      </c>
      <c r="D142" s="10">
        <v>46219</v>
      </c>
      <c r="E142" s="10"/>
      <c r="F142" t="s">
        <v>58</v>
      </c>
      <c r="G142" s="7" t="s">
        <v>404</v>
      </c>
    </row>
    <row r="143" spans="1:7" x14ac:dyDescent="0.35">
      <c r="A143" t="s">
        <v>11</v>
      </c>
      <c r="B143" s="7" t="s">
        <v>405</v>
      </c>
      <c r="C143" s="10">
        <v>45813</v>
      </c>
      <c r="D143" s="10">
        <v>46233</v>
      </c>
      <c r="E143" s="10"/>
      <c r="F143" t="s">
        <v>58</v>
      </c>
      <c r="G143" s="7" t="s">
        <v>406</v>
      </c>
    </row>
    <row r="144" spans="1:7" x14ac:dyDescent="0.35">
      <c r="A144" t="s">
        <v>11</v>
      </c>
      <c r="B144" s="7" t="s">
        <v>407</v>
      </c>
      <c r="C144" s="10">
        <v>45819</v>
      </c>
      <c r="D144" s="10">
        <v>46238</v>
      </c>
      <c r="E144" s="10"/>
      <c r="F144" t="s">
        <v>58</v>
      </c>
      <c r="G144" s="7" t="s">
        <v>408</v>
      </c>
    </row>
    <row r="145" spans="1:7" x14ac:dyDescent="0.35">
      <c r="A145" t="s">
        <v>11</v>
      </c>
      <c r="B145" s="7" t="s">
        <v>409</v>
      </c>
      <c r="C145" s="10">
        <v>46113</v>
      </c>
      <c r="D145" s="10">
        <v>46524</v>
      </c>
      <c r="E145" s="10"/>
      <c r="F145" t="s">
        <v>58</v>
      </c>
      <c r="G145" s="7" t="s">
        <v>410</v>
      </c>
    </row>
    <row r="146" spans="1:7" x14ac:dyDescent="0.35">
      <c r="A146" t="s">
        <v>12</v>
      </c>
      <c r="B146" s="7" t="s">
        <v>387</v>
      </c>
      <c r="C146" s="10">
        <v>46268</v>
      </c>
      <c r="D146" s="10">
        <v>46268</v>
      </c>
      <c r="E146" s="10"/>
      <c r="F146" t="s">
        <v>59</v>
      </c>
      <c r="G146" s="7" t="s">
        <v>388</v>
      </c>
    </row>
    <row r="147" spans="1:7" x14ac:dyDescent="0.35">
      <c r="A147" t="s">
        <v>12</v>
      </c>
      <c r="B147" s="7" t="s">
        <v>389</v>
      </c>
      <c r="C147" s="10">
        <v>46289</v>
      </c>
      <c r="D147" s="10">
        <v>46694</v>
      </c>
      <c r="E147" s="10"/>
      <c r="F147" t="s">
        <v>59</v>
      </c>
      <c r="G147" s="7" t="s">
        <v>390</v>
      </c>
    </row>
    <row r="148" spans="1:7" x14ac:dyDescent="0.35">
      <c r="A148" t="s">
        <v>12</v>
      </c>
      <c r="B148" s="7" t="s">
        <v>391</v>
      </c>
      <c r="C148" s="10">
        <v>46296</v>
      </c>
      <c r="D148" s="10">
        <v>46701</v>
      </c>
      <c r="E148" s="10"/>
      <c r="F148" t="s">
        <v>59</v>
      </c>
      <c r="G148" s="7" t="s">
        <v>392</v>
      </c>
    </row>
    <row r="149" spans="1:7" x14ac:dyDescent="0.35">
      <c r="A149" t="s">
        <v>12</v>
      </c>
      <c r="B149" s="7" t="s">
        <v>393</v>
      </c>
      <c r="C149" s="10">
        <v>46304</v>
      </c>
      <c r="D149" s="10">
        <v>46708</v>
      </c>
      <c r="E149" s="10"/>
      <c r="F149" t="s">
        <v>59</v>
      </c>
      <c r="G149" s="7" t="s">
        <v>394</v>
      </c>
    </row>
    <row r="150" spans="1:7" x14ac:dyDescent="0.35">
      <c r="A150" t="s">
        <v>12</v>
      </c>
      <c r="B150" s="7" t="s">
        <v>395</v>
      </c>
      <c r="C150" s="10">
        <v>46311</v>
      </c>
      <c r="D150" s="10">
        <v>46715</v>
      </c>
      <c r="E150" s="10"/>
      <c r="F150" t="s">
        <v>59</v>
      </c>
      <c r="G150" s="7" t="s">
        <v>396</v>
      </c>
    </row>
    <row r="151" spans="1:7" x14ac:dyDescent="0.35">
      <c r="A151" t="s">
        <v>12</v>
      </c>
      <c r="B151" s="7" t="s">
        <v>397</v>
      </c>
      <c r="C151" s="10">
        <v>46339</v>
      </c>
      <c r="D151" s="10">
        <v>46743</v>
      </c>
      <c r="E151" s="10"/>
      <c r="F151" t="s">
        <v>59</v>
      </c>
      <c r="G151" s="7" t="s">
        <v>398</v>
      </c>
    </row>
    <row r="152" spans="1:7" x14ac:dyDescent="0.35">
      <c r="A152" t="s">
        <v>12</v>
      </c>
      <c r="B152" s="7" t="s">
        <v>399</v>
      </c>
      <c r="C152" s="10">
        <v>46360</v>
      </c>
      <c r="D152" s="10">
        <v>46764</v>
      </c>
      <c r="E152" s="10"/>
      <c r="F152" t="s">
        <v>59</v>
      </c>
      <c r="G152" s="7" t="s">
        <v>400</v>
      </c>
    </row>
    <row r="153" spans="1:7" x14ac:dyDescent="0.35">
      <c r="A153" t="s">
        <v>12</v>
      </c>
      <c r="B153" s="7" t="s">
        <v>401</v>
      </c>
      <c r="C153" s="10">
        <v>46367</v>
      </c>
      <c r="D153" s="10">
        <v>46771</v>
      </c>
      <c r="E153" s="10"/>
      <c r="F153" t="s">
        <v>59</v>
      </c>
      <c r="G153" s="7" t="s">
        <v>402</v>
      </c>
    </row>
    <row r="154" spans="1:7" x14ac:dyDescent="0.35">
      <c r="A154" t="s">
        <v>12</v>
      </c>
      <c r="B154" s="7" t="s">
        <v>403</v>
      </c>
      <c r="C154" s="10">
        <v>46385</v>
      </c>
      <c r="D154" s="10">
        <v>46785</v>
      </c>
      <c r="E154" s="10"/>
      <c r="F154" t="s">
        <v>59</v>
      </c>
      <c r="G154" s="7" t="s">
        <v>404</v>
      </c>
    </row>
    <row r="155" spans="1:7" x14ac:dyDescent="0.35">
      <c r="A155" t="s">
        <v>12</v>
      </c>
      <c r="B155" s="7" t="s">
        <v>405</v>
      </c>
      <c r="C155" s="10">
        <v>46400</v>
      </c>
      <c r="D155" s="10">
        <v>46799</v>
      </c>
      <c r="E155" s="10"/>
      <c r="F155" t="s">
        <v>59</v>
      </c>
      <c r="G155" s="7" t="s">
        <v>406</v>
      </c>
    </row>
    <row r="156" spans="1:7" x14ac:dyDescent="0.35">
      <c r="A156" t="s">
        <v>12</v>
      </c>
      <c r="B156" s="7" t="s">
        <v>407</v>
      </c>
      <c r="C156" s="10">
        <v>46405</v>
      </c>
      <c r="D156" s="10">
        <v>46804</v>
      </c>
      <c r="E156" s="10"/>
      <c r="F156" t="s">
        <v>59</v>
      </c>
      <c r="G156" s="7" t="s">
        <v>408</v>
      </c>
    </row>
    <row r="157" spans="1:7" x14ac:dyDescent="0.35">
      <c r="A157" t="s">
        <v>12</v>
      </c>
      <c r="B157" s="7" t="s">
        <v>409</v>
      </c>
      <c r="C157" s="10">
        <v>46523</v>
      </c>
      <c r="D157" s="10">
        <v>46923</v>
      </c>
      <c r="E157" s="10"/>
      <c r="F157" t="s">
        <v>59</v>
      </c>
      <c r="G157" s="7" t="s">
        <v>410</v>
      </c>
    </row>
    <row r="158" spans="1:7" x14ac:dyDescent="0.35">
      <c r="A158" t="s">
        <v>13</v>
      </c>
      <c r="B158" s="7" t="s">
        <v>387</v>
      </c>
      <c r="C158" s="10">
        <v>45545</v>
      </c>
      <c r="D158" s="10">
        <v>45545</v>
      </c>
      <c r="E158" s="10"/>
      <c r="F158" t="s">
        <v>60</v>
      </c>
      <c r="G158" s="7" t="s">
        <v>388</v>
      </c>
    </row>
    <row r="159" spans="1:7" x14ac:dyDescent="0.35">
      <c r="A159" t="s">
        <v>13</v>
      </c>
      <c r="B159" s="7" t="s">
        <v>389</v>
      </c>
      <c r="C159" s="10">
        <v>45568</v>
      </c>
      <c r="D159" s="10">
        <v>45994</v>
      </c>
      <c r="E159" s="10"/>
      <c r="F159" t="s">
        <v>60</v>
      </c>
      <c r="G159" s="7" t="s">
        <v>390</v>
      </c>
    </row>
    <row r="160" spans="1:7" x14ac:dyDescent="0.35">
      <c r="A160" t="s">
        <v>13</v>
      </c>
      <c r="B160" s="7" t="s">
        <v>391</v>
      </c>
      <c r="C160" s="10">
        <v>45576</v>
      </c>
      <c r="D160" s="10">
        <v>46001</v>
      </c>
      <c r="E160" s="10"/>
      <c r="F160" t="s">
        <v>60</v>
      </c>
      <c r="G160" s="7" t="s">
        <v>392</v>
      </c>
    </row>
    <row r="161" spans="1:7" x14ac:dyDescent="0.35">
      <c r="A161" t="s">
        <v>13</v>
      </c>
      <c r="B161" s="7" t="s">
        <v>393</v>
      </c>
      <c r="C161" s="10">
        <v>45583</v>
      </c>
      <c r="D161" s="10">
        <v>46008</v>
      </c>
      <c r="E161" s="10"/>
      <c r="F161" t="s">
        <v>60</v>
      </c>
      <c r="G161" s="7" t="s">
        <v>394</v>
      </c>
    </row>
    <row r="162" spans="1:7" x14ac:dyDescent="0.35">
      <c r="A162" t="s">
        <v>13</v>
      </c>
      <c r="B162" s="7" t="s">
        <v>395</v>
      </c>
      <c r="C162" s="10">
        <v>45590</v>
      </c>
      <c r="D162" s="10">
        <v>46015</v>
      </c>
      <c r="E162" s="10"/>
      <c r="F162" t="s">
        <v>60</v>
      </c>
      <c r="G162" s="7" t="s">
        <v>396</v>
      </c>
    </row>
    <row r="163" spans="1:7" x14ac:dyDescent="0.35">
      <c r="A163" t="s">
        <v>13</v>
      </c>
      <c r="B163" s="7" t="s">
        <v>397</v>
      </c>
      <c r="C163" s="10">
        <v>45621</v>
      </c>
      <c r="D163" s="10">
        <v>46049</v>
      </c>
      <c r="E163" s="10"/>
      <c r="F163" t="s">
        <v>60</v>
      </c>
      <c r="G163" s="7" t="s">
        <v>398</v>
      </c>
    </row>
    <row r="164" spans="1:7" x14ac:dyDescent="0.35">
      <c r="A164" t="s">
        <v>13</v>
      </c>
      <c r="B164" s="7" t="s">
        <v>399</v>
      </c>
      <c r="C164" s="10">
        <v>45642</v>
      </c>
      <c r="D164" s="10">
        <v>46070</v>
      </c>
      <c r="E164" s="10"/>
      <c r="F164" t="s">
        <v>60</v>
      </c>
      <c r="G164" s="7" t="s">
        <v>400</v>
      </c>
    </row>
    <row r="165" spans="1:7" x14ac:dyDescent="0.35">
      <c r="A165" t="s">
        <v>13</v>
      </c>
      <c r="B165" s="7" t="s">
        <v>401</v>
      </c>
      <c r="C165" s="10">
        <v>45649</v>
      </c>
      <c r="D165" s="10">
        <v>46077</v>
      </c>
      <c r="E165" s="10"/>
      <c r="F165" t="s">
        <v>60</v>
      </c>
      <c r="G165" s="7" t="s">
        <v>402</v>
      </c>
    </row>
    <row r="166" spans="1:7" x14ac:dyDescent="0.35">
      <c r="A166" t="s">
        <v>13</v>
      </c>
      <c r="B166" s="7" t="s">
        <v>403</v>
      </c>
      <c r="C166" s="10">
        <v>45666</v>
      </c>
      <c r="D166" s="10">
        <v>46092</v>
      </c>
      <c r="E166" s="10"/>
      <c r="F166" t="s">
        <v>60</v>
      </c>
      <c r="G166" s="7" t="s">
        <v>404</v>
      </c>
    </row>
    <row r="167" spans="1:7" x14ac:dyDescent="0.35">
      <c r="A167" t="s">
        <v>13</v>
      </c>
      <c r="B167" s="7" t="s">
        <v>405</v>
      </c>
      <c r="C167" s="10">
        <v>45680</v>
      </c>
      <c r="D167" s="10">
        <v>46106</v>
      </c>
      <c r="E167" s="10"/>
      <c r="F167" t="s">
        <v>60</v>
      </c>
      <c r="G167" s="7" t="s">
        <v>406</v>
      </c>
    </row>
    <row r="168" spans="1:7" x14ac:dyDescent="0.35">
      <c r="A168" t="s">
        <v>13</v>
      </c>
      <c r="B168" s="7" t="s">
        <v>407</v>
      </c>
      <c r="C168" s="10">
        <v>45686</v>
      </c>
      <c r="D168" s="10">
        <v>46111</v>
      </c>
      <c r="E168" s="10"/>
      <c r="F168" t="s">
        <v>60</v>
      </c>
      <c r="G168" s="7" t="s">
        <v>408</v>
      </c>
    </row>
    <row r="169" spans="1:7" x14ac:dyDescent="0.35">
      <c r="A169" t="s">
        <v>13</v>
      </c>
      <c r="B169" s="7" t="s">
        <v>409</v>
      </c>
      <c r="C169" s="10">
        <v>45822</v>
      </c>
      <c r="D169" s="10">
        <v>46241</v>
      </c>
      <c r="E169" s="10"/>
      <c r="F169" t="s">
        <v>60</v>
      </c>
      <c r="G169" s="7" t="s">
        <v>410</v>
      </c>
    </row>
    <row r="170" spans="1:7" x14ac:dyDescent="0.35">
      <c r="A170" t="s">
        <v>14</v>
      </c>
      <c r="B170" s="7" t="s">
        <v>387</v>
      </c>
      <c r="C170" s="10"/>
      <c r="D170" s="10"/>
      <c r="E170" s="10"/>
      <c r="F170" t="s">
        <v>61</v>
      </c>
      <c r="G170" s="7" t="s">
        <v>388</v>
      </c>
    </row>
    <row r="171" spans="1:7" x14ac:dyDescent="0.35">
      <c r="A171" t="s">
        <v>14</v>
      </c>
      <c r="B171" s="7" t="s">
        <v>389</v>
      </c>
      <c r="C171" s="10"/>
      <c r="D171" s="10"/>
      <c r="E171" s="10"/>
      <c r="F171" t="s">
        <v>61</v>
      </c>
      <c r="G171" s="7" t="s">
        <v>390</v>
      </c>
    </row>
    <row r="172" spans="1:7" x14ac:dyDescent="0.35">
      <c r="A172" t="s">
        <v>14</v>
      </c>
      <c r="B172" s="7" t="s">
        <v>391</v>
      </c>
      <c r="C172" s="10"/>
      <c r="D172" s="10"/>
      <c r="E172" s="10"/>
      <c r="F172" t="s">
        <v>61</v>
      </c>
      <c r="G172" s="7" t="s">
        <v>392</v>
      </c>
    </row>
    <row r="173" spans="1:7" x14ac:dyDescent="0.35">
      <c r="A173" t="s">
        <v>14</v>
      </c>
      <c r="B173" s="7" t="s">
        <v>393</v>
      </c>
      <c r="C173" s="10"/>
      <c r="D173" s="10"/>
      <c r="E173" s="10"/>
      <c r="F173" t="s">
        <v>61</v>
      </c>
      <c r="G173" s="7" t="s">
        <v>394</v>
      </c>
    </row>
    <row r="174" spans="1:7" x14ac:dyDescent="0.35">
      <c r="A174" t="s">
        <v>14</v>
      </c>
      <c r="B174" s="7" t="s">
        <v>395</v>
      </c>
      <c r="C174" s="10"/>
      <c r="D174" s="10"/>
      <c r="E174" s="10"/>
      <c r="F174" t="s">
        <v>61</v>
      </c>
      <c r="G174" s="7" t="s">
        <v>396</v>
      </c>
    </row>
    <row r="175" spans="1:7" x14ac:dyDescent="0.35">
      <c r="A175" t="s">
        <v>14</v>
      </c>
      <c r="B175" s="7" t="s">
        <v>397</v>
      </c>
      <c r="C175" s="10"/>
      <c r="D175" s="10"/>
      <c r="E175" s="10"/>
      <c r="F175" t="s">
        <v>61</v>
      </c>
      <c r="G175" s="7" t="s">
        <v>398</v>
      </c>
    </row>
    <row r="176" spans="1:7" x14ac:dyDescent="0.35">
      <c r="A176" t="s">
        <v>14</v>
      </c>
      <c r="B176" s="7" t="s">
        <v>399</v>
      </c>
      <c r="C176" s="10"/>
      <c r="D176" s="10"/>
      <c r="E176" s="10"/>
      <c r="F176" t="s">
        <v>61</v>
      </c>
      <c r="G176" s="7" t="s">
        <v>400</v>
      </c>
    </row>
    <row r="177" spans="1:7" x14ac:dyDescent="0.35">
      <c r="A177" t="s">
        <v>14</v>
      </c>
      <c r="B177" s="7" t="s">
        <v>401</v>
      </c>
      <c r="C177" s="10"/>
      <c r="D177" s="10"/>
      <c r="E177" s="10"/>
      <c r="F177" t="s">
        <v>61</v>
      </c>
      <c r="G177" s="7" t="s">
        <v>402</v>
      </c>
    </row>
    <row r="178" spans="1:7" x14ac:dyDescent="0.35">
      <c r="A178" t="s">
        <v>14</v>
      </c>
      <c r="B178" s="7" t="s">
        <v>403</v>
      </c>
      <c r="C178" s="10"/>
      <c r="D178" s="10"/>
      <c r="E178" s="10"/>
      <c r="F178" t="s">
        <v>61</v>
      </c>
      <c r="G178" s="7" t="s">
        <v>404</v>
      </c>
    </row>
    <row r="179" spans="1:7" x14ac:dyDescent="0.35">
      <c r="A179" t="s">
        <v>14</v>
      </c>
      <c r="B179" s="7" t="s">
        <v>405</v>
      </c>
      <c r="C179" s="10"/>
      <c r="D179" s="10"/>
      <c r="E179" s="10"/>
      <c r="F179" t="s">
        <v>61</v>
      </c>
      <c r="G179" s="7" t="s">
        <v>406</v>
      </c>
    </row>
    <row r="180" spans="1:7" x14ac:dyDescent="0.35">
      <c r="A180" t="s">
        <v>14</v>
      </c>
      <c r="B180" s="7" t="s">
        <v>407</v>
      </c>
      <c r="C180" s="10"/>
      <c r="D180" s="10"/>
      <c r="E180" s="10"/>
      <c r="F180" t="s">
        <v>61</v>
      </c>
      <c r="G180" s="7" t="s">
        <v>408</v>
      </c>
    </row>
    <row r="181" spans="1:7" x14ac:dyDescent="0.35">
      <c r="A181" t="s">
        <v>14</v>
      </c>
      <c r="B181" s="7" t="s">
        <v>409</v>
      </c>
      <c r="C181" s="10"/>
      <c r="D181" s="10"/>
      <c r="E181" s="10"/>
      <c r="F181" t="s">
        <v>61</v>
      </c>
      <c r="G181" s="7" t="s">
        <v>410</v>
      </c>
    </row>
    <row r="182" spans="1:7" x14ac:dyDescent="0.35">
      <c r="A182" t="s">
        <v>15</v>
      </c>
      <c r="B182" s="7" t="s">
        <v>387</v>
      </c>
      <c r="C182" s="10"/>
      <c r="D182" s="10"/>
      <c r="E182" s="10"/>
      <c r="F182" t="s">
        <v>62</v>
      </c>
      <c r="G182" s="7" t="s">
        <v>388</v>
      </c>
    </row>
    <row r="183" spans="1:7" x14ac:dyDescent="0.35">
      <c r="A183" t="s">
        <v>15</v>
      </c>
      <c r="B183" s="7" t="s">
        <v>389</v>
      </c>
      <c r="C183" s="10"/>
      <c r="D183" s="10"/>
      <c r="E183" s="10"/>
      <c r="F183" t="s">
        <v>62</v>
      </c>
      <c r="G183" s="7" t="s">
        <v>390</v>
      </c>
    </row>
    <row r="184" spans="1:7" x14ac:dyDescent="0.35">
      <c r="A184" t="s">
        <v>15</v>
      </c>
      <c r="B184" s="7" t="s">
        <v>391</v>
      </c>
      <c r="C184" s="10"/>
      <c r="D184" s="10"/>
      <c r="E184" s="10"/>
      <c r="F184" t="s">
        <v>62</v>
      </c>
      <c r="G184" s="7" t="s">
        <v>392</v>
      </c>
    </row>
    <row r="185" spans="1:7" x14ac:dyDescent="0.35">
      <c r="A185" t="s">
        <v>15</v>
      </c>
      <c r="B185" s="7" t="s">
        <v>393</v>
      </c>
      <c r="C185" s="10"/>
      <c r="D185" s="10"/>
      <c r="E185" s="10"/>
      <c r="F185" t="s">
        <v>62</v>
      </c>
      <c r="G185" s="7" t="s">
        <v>394</v>
      </c>
    </row>
    <row r="186" spans="1:7" x14ac:dyDescent="0.35">
      <c r="A186" t="s">
        <v>15</v>
      </c>
      <c r="B186" s="7" t="s">
        <v>395</v>
      </c>
      <c r="C186" s="10"/>
      <c r="D186" s="10"/>
      <c r="E186" s="10"/>
      <c r="F186" t="s">
        <v>62</v>
      </c>
      <c r="G186" s="7" t="s">
        <v>396</v>
      </c>
    </row>
    <row r="187" spans="1:7" x14ac:dyDescent="0.35">
      <c r="A187" t="s">
        <v>15</v>
      </c>
      <c r="B187" s="7" t="s">
        <v>397</v>
      </c>
      <c r="C187" s="10"/>
      <c r="D187" s="10"/>
      <c r="E187" s="10"/>
      <c r="F187" t="s">
        <v>62</v>
      </c>
      <c r="G187" s="7" t="s">
        <v>398</v>
      </c>
    </row>
    <row r="188" spans="1:7" x14ac:dyDescent="0.35">
      <c r="A188" t="s">
        <v>15</v>
      </c>
      <c r="B188" s="7" t="s">
        <v>399</v>
      </c>
      <c r="C188" s="10"/>
      <c r="D188" s="10"/>
      <c r="E188" s="10"/>
      <c r="F188" t="s">
        <v>62</v>
      </c>
      <c r="G188" s="7" t="s">
        <v>400</v>
      </c>
    </row>
    <row r="189" spans="1:7" x14ac:dyDescent="0.35">
      <c r="A189" t="s">
        <v>15</v>
      </c>
      <c r="B189" s="7" t="s">
        <v>401</v>
      </c>
      <c r="C189" s="10"/>
      <c r="D189" s="10"/>
      <c r="E189" s="10"/>
      <c r="F189" t="s">
        <v>62</v>
      </c>
      <c r="G189" s="7" t="s">
        <v>402</v>
      </c>
    </row>
    <row r="190" spans="1:7" x14ac:dyDescent="0.35">
      <c r="A190" t="s">
        <v>15</v>
      </c>
      <c r="B190" s="7" t="s">
        <v>403</v>
      </c>
      <c r="C190" s="10"/>
      <c r="D190" s="10"/>
      <c r="E190" s="10"/>
      <c r="F190" t="s">
        <v>62</v>
      </c>
      <c r="G190" s="7" t="s">
        <v>404</v>
      </c>
    </row>
    <row r="191" spans="1:7" x14ac:dyDescent="0.35">
      <c r="A191" t="s">
        <v>15</v>
      </c>
      <c r="B191" s="7" t="s">
        <v>405</v>
      </c>
      <c r="C191" s="10"/>
      <c r="D191" s="10"/>
      <c r="E191" s="10"/>
      <c r="F191" t="s">
        <v>62</v>
      </c>
      <c r="G191" s="7" t="s">
        <v>406</v>
      </c>
    </row>
    <row r="192" spans="1:7" x14ac:dyDescent="0.35">
      <c r="A192" t="s">
        <v>15</v>
      </c>
      <c r="B192" s="7" t="s">
        <v>407</v>
      </c>
      <c r="C192" s="10"/>
      <c r="D192" s="10"/>
      <c r="E192" s="10"/>
      <c r="F192" t="s">
        <v>62</v>
      </c>
      <c r="G192" s="7" t="s">
        <v>408</v>
      </c>
    </row>
    <row r="193" spans="1:7" x14ac:dyDescent="0.35">
      <c r="A193" t="s">
        <v>15</v>
      </c>
      <c r="B193" s="7" t="s">
        <v>409</v>
      </c>
      <c r="C193" s="10"/>
      <c r="D193" s="10"/>
      <c r="E193" s="10"/>
      <c r="F193" t="s">
        <v>62</v>
      </c>
      <c r="G193" s="7" t="s">
        <v>410</v>
      </c>
    </row>
  </sheetData>
  <sheetProtection formatCells="0" formatColumns="0" formatRows="0" deleteRows="0" sort="0" autoFilter="0"/>
  <pageMargins left="0.7" right="0.7" top="0.75" bottom="0.75" header="0.3" footer="0.3"/>
  <headerFooter>
    <oddHeader>&amp;L&amp;"Century Gothic"&amp;10&amp;K000000 Business&amp;1#_x000D_</oddHeader>
  </headerFooter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346A2AD90AC7541B77B4E6E31B4A485" ma:contentTypeVersion="17" ma:contentTypeDescription="Create a new document." ma:contentTypeScope="" ma:versionID="4a4e319940cc200d8e7ec08aef9168db">
  <xsd:schema xmlns:xsd="http://www.w3.org/2001/XMLSchema" xmlns:xs="http://www.w3.org/2001/XMLSchema" xmlns:p="http://schemas.microsoft.com/office/2006/metadata/properties" xmlns:ns2="2e02526e-0d6d-4287-bcc6-d5a72c97e3a2" xmlns:ns3="bdd52184-04c8-4e71-922e-798f241d2f8b" targetNamespace="http://schemas.microsoft.com/office/2006/metadata/properties" ma:root="true" ma:fieldsID="8bca3ce48ddfe8183592710a9562c753" ns2:_="" ns3:_="">
    <xsd:import namespace="2e02526e-0d6d-4287-bcc6-d5a72c97e3a2"/>
    <xsd:import namespace="bdd52184-04c8-4e71-922e-798f241d2f8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e02526e-0d6d-4287-bcc6-d5a72c97e3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cb160364-55e1-4895-b5f8-0b200ced270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d52184-04c8-4e71-922e-798f241d2f8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65c51e3f-6839-4260-b1f0-cd67a724422a}" ma:internalName="TaxCatchAll" ma:showField="CatchAllData" ma:web="bdd52184-04c8-4e71-922e-798f241d2f8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dd52184-04c8-4e71-922e-798f241d2f8b" xsi:nil="true"/>
    <lcf76f155ced4ddcb4097134ff3c332f xmlns="2e02526e-0d6d-4287-bcc6-d5a72c97e3a2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AE28C574-F945-43D6-8419-2D43173711F8}"/>
</file>

<file path=customXml/itemProps2.xml><?xml version="1.0" encoding="utf-8"?>
<ds:datastoreItem xmlns:ds="http://schemas.openxmlformats.org/officeDocument/2006/customXml" ds:itemID="{BDCC9338-D05B-4A40-926C-2530FF24F4FA}">
  <ds:schemaRefs>
    <ds:schemaRef ds:uri="http://schemas.microsoft.com/office/2006/metadata/properties"/>
    <ds:schemaRef ds:uri="http://schemas.microsoft.com/office/infopath/2007/PartnerControls"/>
    <ds:schemaRef ds:uri="bdd52184-04c8-4e71-922e-798f241d2f8b"/>
    <ds:schemaRef ds:uri="2e02526e-0d6d-4287-bcc6-d5a72c97e3a2"/>
  </ds:schemaRefs>
</ds:datastoreItem>
</file>

<file path=customXml/itemProps3.xml><?xml version="1.0" encoding="utf-8"?>
<ds:datastoreItem xmlns:ds="http://schemas.openxmlformats.org/officeDocument/2006/customXml" ds:itemID="{FDB791DF-8E6F-4975-9763-E0C6D0B800B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91A866A8-A454-4D33-BA2A-CEFEA7CF4F5E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7f41cc9-f9f5-4116-a8cf-c7b5d298908f}" enabled="1" method="Privileged" siteId="{95baa318-b818-4676-8a0f-5a95a646c3c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10</vt:i4>
      </vt:variant>
    </vt:vector>
  </HeadingPairs>
  <TitlesOfParts>
    <vt:vector size="16" baseType="lpstr">
      <vt:lpstr>TORPS</vt:lpstr>
      <vt:lpstr>DATA</vt:lpstr>
      <vt:lpstr>KPI</vt:lpstr>
      <vt:lpstr>PRISM_UPLOAD_EVENTS</vt:lpstr>
      <vt:lpstr>PRISM_UPLOAD_CONTRACT</vt:lpstr>
      <vt:lpstr>PRISM_UPLOAD_DATES</vt:lpstr>
      <vt:lpstr>List_Area</vt:lpstr>
      <vt:lpstr>List_CommercialOwner</vt:lpstr>
      <vt:lpstr>List_ContractCategory</vt:lpstr>
      <vt:lpstr>List_ContractType</vt:lpstr>
      <vt:lpstr>List_Discipline</vt:lpstr>
      <vt:lpstr>List_PackageOwner</vt:lpstr>
      <vt:lpstr>List_ProcurementOwner</vt:lpstr>
      <vt:lpstr>List_Upper</vt:lpstr>
      <vt:lpstr>TORPS!Print_Area</vt:lpstr>
      <vt:lpstr>PRISM_ID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Guindy, Tarek</dc:creator>
  <cp:lastModifiedBy>El Guindy, Tarek</cp:lastModifiedBy>
  <dcterms:created xsi:type="dcterms:W3CDTF">2024-06-07T03:35:20Z</dcterms:created>
  <dcterms:modified xsi:type="dcterms:W3CDTF">2026-03-03T23:23:02Z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0x010100B346A2AD90AC7541B77B4E6E31B4A485</vt:lpwstr>
  </property>
  <property fmtid="{D5CDD505-2E9C-101B-9397-08002B2CF9AE}" pid="3" name="MediaServiceImageTags">
    <vt:lpwstr/>
  </property>
  <property fmtid="{D5CDD505-2E9C-101B-9397-08002B2CF9AE}" pid="4" name="MSIP_Label_47f41cc9-f9f5-4116-a8cf-c7b5d298908f_Enabled">
    <vt:lpwstr>true</vt:lpwstr>
  </property>
  <property fmtid="{D5CDD505-2E9C-101B-9397-08002B2CF9AE}" pid="5" name="MSIP_Label_47f41cc9-f9f5-4116-a8cf-c7b5d298908f_SetDate">
    <vt:lpwstr>2024-11-05T01:13:45Z</vt:lpwstr>
  </property>
  <property fmtid="{D5CDD505-2E9C-101B-9397-08002B2CF9AE}" pid="6" name="MSIP_Label_47f41cc9-f9f5-4116-a8cf-c7b5d298908f_Method">
    <vt:lpwstr>Privileged</vt:lpwstr>
  </property>
  <property fmtid="{D5CDD505-2E9C-101B-9397-08002B2CF9AE}" pid="7" name="MSIP_Label_47f41cc9-f9f5-4116-a8cf-c7b5d298908f_Name">
    <vt:lpwstr>Business</vt:lpwstr>
  </property>
  <property fmtid="{D5CDD505-2E9C-101B-9397-08002B2CF9AE}" pid="8" name="MSIP_Label_47f41cc9-f9f5-4116-a8cf-c7b5d298908f_SiteId">
    <vt:lpwstr>95baa318-b818-4676-8a0f-5a95a646c3c1</vt:lpwstr>
  </property>
  <property fmtid="{D5CDD505-2E9C-101B-9397-08002B2CF9AE}" pid="9" name="MSIP_Label_47f41cc9-f9f5-4116-a8cf-c7b5d298908f_ActionId">
    <vt:lpwstr>f23a7dc0-4332-47cb-89c1-953a1031e863</vt:lpwstr>
  </property>
  <property fmtid="{D5CDD505-2E9C-101B-9397-08002B2CF9AE}" pid="10" name="MSIP_Label_47f41cc9-f9f5-4116-a8cf-c7b5d298908f_ContentBits">
    <vt:lpwstr>1</vt:lpwstr>
  </property>
</Properties>
</file>